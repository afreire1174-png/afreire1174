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EstaPastaDeTrabalho" hidePivotFieldList="1" defaultThemeVersion="166925"/>
  <mc:AlternateContent xmlns:mc="http://schemas.openxmlformats.org/markup-compatibility/2006">
    <mc:Choice Requires="x15">
      <x15ac:absPath xmlns:x15ac="http://schemas.microsoft.com/office/spreadsheetml/2010/11/ac" url="https://d.docs.live.net/58aa2bcc9acdfe07/Área de Trabalho/Analytics PUC_2026/MVP_ML_Junho_26/Dataset usado/BD_Tratada/"/>
    </mc:Choice>
  </mc:AlternateContent>
  <xr:revisionPtr revIDLastSave="156" documentId="8_{195F7CED-BEF2-4DAF-9D9A-A7815E82E065}" xr6:coauthVersionLast="47" xr6:coauthVersionMax="47" xr10:uidLastSave="{A7330086-E946-41AC-84C2-2CF7A90E8C36}"/>
  <bookViews>
    <workbookView xWindow="28680" yWindow="-120" windowWidth="38640" windowHeight="15720" tabRatio="824" xr2:uid="{25AC6BBD-C5B1-4E2E-B25B-92C0E57D438B}"/>
  </bookViews>
  <sheets>
    <sheet name="BD_Acidentes" sheetId="9" r:id="rId1"/>
  </sheets>
  <definedNames>
    <definedName name="_xlnm._FilterDatabase" localSheetId="0" hidden="1">BD_Acidentes!$A$1:$S$1719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87" i="9" l="1"/>
  <c r="R785" i="9"/>
  <c r="T329" i="9"/>
  <c r="T308" i="9"/>
  <c r="T302" i="9"/>
  <c r="T266" i="9"/>
  <c r="T62" i="9"/>
  <c r="T727" i="9"/>
  <c r="T2" i="9"/>
  <c r="T3" i="9"/>
  <c r="T4" i="9"/>
  <c r="T5" i="9"/>
  <c r="T6" i="9"/>
  <c r="T7" i="9"/>
  <c r="T9" i="9"/>
  <c r="T10" i="9"/>
  <c r="T11" i="9"/>
  <c r="T12" i="9"/>
  <c r="T13" i="9"/>
  <c r="T14" i="9"/>
  <c r="T15" i="9"/>
  <c r="T16" i="9"/>
  <c r="T17" i="9"/>
  <c r="T18" i="9"/>
  <c r="T19" i="9"/>
  <c r="T20" i="9"/>
  <c r="T21" i="9"/>
  <c r="T22" i="9"/>
  <c r="T23" i="9"/>
  <c r="T24" i="9"/>
  <c r="T26" i="9"/>
  <c r="T27" i="9"/>
  <c r="T28" i="9"/>
  <c r="T30" i="9"/>
  <c r="T31" i="9"/>
  <c r="T34" i="9"/>
  <c r="T35" i="9"/>
  <c r="T36" i="9"/>
  <c r="T37" i="9"/>
  <c r="T38" i="9"/>
  <c r="T39" i="9"/>
  <c r="T40" i="9"/>
  <c r="T41" i="9"/>
  <c r="T43" i="9"/>
  <c r="T44" i="9"/>
  <c r="T48" i="9"/>
  <c r="T49" i="9"/>
  <c r="T50" i="9"/>
  <c r="T51" i="9"/>
  <c r="T52" i="9"/>
  <c r="T53" i="9"/>
  <c r="T54" i="9"/>
  <c r="T55" i="9"/>
  <c r="T56" i="9"/>
  <c r="T57" i="9"/>
  <c r="T58" i="9"/>
  <c r="T59" i="9"/>
  <c r="T60" i="9"/>
  <c r="T63" i="9"/>
  <c r="T64" i="9"/>
  <c r="T65" i="9"/>
  <c r="T66" i="9"/>
  <c r="T67" i="9"/>
  <c r="T68" i="9"/>
  <c r="T69" i="9"/>
  <c r="T70" i="9"/>
  <c r="T71" i="9"/>
  <c r="T72" i="9"/>
  <c r="T73" i="9"/>
  <c r="T74" i="9"/>
  <c r="T75" i="9"/>
  <c r="T77" i="9"/>
  <c r="T78" i="9"/>
  <c r="T81" i="9"/>
  <c r="T82" i="9"/>
  <c r="T84" i="9"/>
  <c r="T85" i="9"/>
  <c r="T86" i="9"/>
  <c r="T87" i="9"/>
  <c r="T88" i="9"/>
  <c r="T89" i="9"/>
  <c r="T90" i="9"/>
  <c r="T91" i="9"/>
  <c r="T92" i="9"/>
  <c r="T93" i="9"/>
  <c r="T94" i="9"/>
  <c r="T95" i="9"/>
  <c r="T96" i="9"/>
  <c r="T97" i="9"/>
  <c r="T98" i="9"/>
  <c r="T100" i="9"/>
  <c r="T101" i="9"/>
  <c r="T102" i="9"/>
  <c r="T103" i="9"/>
  <c r="T104" i="9"/>
  <c r="T105" i="9"/>
  <c r="T106" i="9"/>
  <c r="T107" i="9"/>
  <c r="T108" i="9"/>
  <c r="T109" i="9"/>
  <c r="T110" i="9"/>
  <c r="T111" i="9"/>
  <c r="T112" i="9"/>
  <c r="T113" i="9"/>
  <c r="T114" i="9"/>
  <c r="T115" i="9"/>
  <c r="T116" i="9"/>
  <c r="T119" i="9"/>
  <c r="T120" i="9"/>
  <c r="T121" i="9"/>
  <c r="T122" i="9"/>
  <c r="T126" i="9"/>
  <c r="T127" i="9"/>
  <c r="T128" i="9"/>
  <c r="T129" i="9"/>
  <c r="T130" i="9"/>
  <c r="T131" i="9"/>
  <c r="T132" i="9"/>
  <c r="T133" i="9"/>
  <c r="T134" i="9"/>
  <c r="T135" i="9"/>
  <c r="T136" i="9"/>
  <c r="T137" i="9"/>
  <c r="T138" i="9"/>
  <c r="T139" i="9"/>
  <c r="T140" i="9"/>
  <c r="T141" i="9"/>
  <c r="T142" i="9"/>
  <c r="T143" i="9"/>
  <c r="T144" i="9"/>
  <c r="T145" i="9"/>
  <c r="T152" i="9"/>
  <c r="T153" i="9"/>
  <c r="T157" i="9"/>
  <c r="T158" i="9"/>
  <c r="T159" i="9"/>
  <c r="T160" i="9"/>
  <c r="T161" i="9"/>
  <c r="T163" i="9"/>
  <c r="T164" i="9"/>
  <c r="T165" i="9"/>
  <c r="T166" i="9"/>
  <c r="T167" i="9"/>
  <c r="T168" i="9"/>
  <c r="T169" i="9"/>
  <c r="T170" i="9"/>
  <c r="T171" i="9"/>
  <c r="T172" i="9"/>
  <c r="T173" i="9"/>
  <c r="T174" i="9"/>
  <c r="T175" i="9"/>
  <c r="T176" i="9"/>
  <c r="T177" i="9"/>
  <c r="T178" i="9"/>
  <c r="T180" i="9"/>
  <c r="T181" i="9"/>
  <c r="T182" i="9"/>
  <c r="T183" i="9"/>
  <c r="T184" i="9"/>
  <c r="T186" i="9"/>
  <c r="T187" i="9"/>
  <c r="T188" i="9"/>
  <c r="T189" i="9"/>
  <c r="T190" i="9"/>
  <c r="T191"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9" i="9"/>
  <c r="T221" i="9"/>
  <c r="T224" i="9"/>
  <c r="T225" i="9"/>
  <c r="T226" i="9"/>
  <c r="T228" i="9"/>
  <c r="T229" i="9"/>
  <c r="T230" i="9"/>
  <c r="T231" i="9"/>
  <c r="T232" i="9"/>
  <c r="T233" i="9"/>
  <c r="T234" i="9"/>
  <c r="T235" i="9"/>
  <c r="T236" i="9"/>
  <c r="T237" i="9"/>
  <c r="T238" i="9"/>
  <c r="T239" i="9"/>
  <c r="T240" i="9"/>
  <c r="T241" i="9"/>
  <c r="T242" i="9"/>
  <c r="T243" i="9"/>
  <c r="T244" i="9"/>
  <c r="T245" i="9"/>
  <c r="T246" i="9"/>
  <c r="T247" i="9"/>
  <c r="T248" i="9"/>
  <c r="T250" i="9"/>
  <c r="T251" i="9"/>
  <c r="T254" i="9"/>
  <c r="T255" i="9"/>
  <c r="T257" i="9"/>
  <c r="T259" i="9"/>
  <c r="T261" i="9"/>
  <c r="T262" i="9"/>
  <c r="T264" i="9"/>
  <c r="T267" i="9"/>
  <c r="T269" i="9"/>
  <c r="T270" i="9"/>
  <c r="T271" i="9"/>
  <c r="T272" i="9"/>
  <c r="T273" i="9"/>
  <c r="T274" i="9"/>
  <c r="T275" i="9"/>
  <c r="T276" i="9"/>
  <c r="T277" i="9"/>
  <c r="T278" i="9"/>
  <c r="T279" i="9"/>
  <c r="T280" i="9"/>
  <c r="T281" i="9"/>
  <c r="T282" i="9"/>
  <c r="T283" i="9"/>
  <c r="T284" i="9"/>
  <c r="T285" i="9"/>
  <c r="T287" i="9"/>
  <c r="T289" i="9"/>
  <c r="T291" i="9"/>
  <c r="T292" i="9"/>
  <c r="T294" i="9"/>
  <c r="T295" i="9"/>
  <c r="T296" i="9"/>
  <c r="T297" i="9"/>
  <c r="T298" i="9"/>
  <c r="T299" i="9"/>
  <c r="T300" i="9"/>
  <c r="T301" i="9"/>
  <c r="T303" i="9"/>
  <c r="T304" i="9"/>
  <c r="T305" i="9"/>
  <c r="T306" i="9"/>
  <c r="T307" i="9"/>
  <c r="T309" i="9"/>
  <c r="T311" i="9"/>
  <c r="T312" i="9"/>
  <c r="T313" i="9"/>
  <c r="T314" i="9"/>
  <c r="T315" i="9"/>
  <c r="T316" i="9"/>
  <c r="T317" i="9"/>
  <c r="T318" i="9"/>
  <c r="T319" i="9"/>
  <c r="T320" i="9"/>
  <c r="T321" i="9"/>
  <c r="T322" i="9"/>
  <c r="T323" i="9"/>
  <c r="T324" i="9"/>
  <c r="T325" i="9"/>
  <c r="T327" i="9"/>
  <c r="T332" i="9"/>
  <c r="T333" i="9"/>
  <c r="T334" i="9"/>
  <c r="T335" i="9"/>
  <c r="T337" i="9"/>
  <c r="T338" i="9"/>
  <c r="T339" i="9"/>
  <c r="T342" i="9"/>
  <c r="T343" i="9"/>
  <c r="T344" i="9"/>
  <c r="T346" i="9"/>
  <c r="T347" i="9"/>
  <c r="T348" i="9"/>
  <c r="T349" i="9"/>
  <c r="T350" i="9"/>
  <c r="T351" i="9"/>
  <c r="T352" i="9"/>
  <c r="T353" i="9"/>
  <c r="T355" i="9"/>
  <c r="T356" i="9"/>
  <c r="T357" i="9"/>
  <c r="T359" i="9"/>
  <c r="T360" i="9"/>
  <c r="T363" i="9"/>
  <c r="T366" i="9"/>
  <c r="T368" i="9"/>
  <c r="T370" i="9"/>
  <c r="T371" i="9"/>
  <c r="T372" i="9"/>
  <c r="T373" i="9"/>
  <c r="T374" i="9"/>
  <c r="T375" i="9"/>
  <c r="T376" i="9"/>
  <c r="T377" i="9"/>
  <c r="T378" i="9"/>
  <c r="T379" i="9"/>
  <c r="T380" i="9"/>
  <c r="T381" i="9"/>
  <c r="T382" i="9"/>
  <c r="T386" i="9"/>
  <c r="T393" i="9"/>
  <c r="T395" i="9"/>
  <c r="T396" i="9"/>
  <c r="T397" i="9"/>
  <c r="T398" i="9"/>
  <c r="T399" i="9"/>
  <c r="T400" i="9"/>
  <c r="T401" i="9"/>
  <c r="T402" i="9"/>
  <c r="T403" i="9"/>
  <c r="T404" i="9"/>
  <c r="T405" i="9"/>
  <c r="T406" i="9"/>
  <c r="T407" i="9"/>
  <c r="T408" i="9"/>
  <c r="T409" i="9"/>
  <c r="T410" i="9"/>
  <c r="T411" i="9"/>
  <c r="T412" i="9"/>
  <c r="T413" i="9"/>
  <c r="T414" i="9"/>
  <c r="T415" i="9"/>
  <c r="T416" i="9"/>
  <c r="T418" i="9"/>
  <c r="T419" i="9"/>
  <c r="T421" i="9"/>
  <c r="T423" i="9"/>
  <c r="T424" i="9"/>
  <c r="T425" i="9"/>
  <c r="T427" i="9"/>
  <c r="T428" i="9"/>
  <c r="T429" i="9"/>
  <c r="T430" i="9"/>
  <c r="T431" i="9"/>
  <c r="T432" i="9"/>
  <c r="T433" i="9"/>
  <c r="T434" i="9"/>
  <c r="T435" i="9"/>
  <c r="T436" i="9"/>
  <c r="T438" i="9"/>
  <c r="T439" i="9"/>
  <c r="T440" i="9"/>
  <c r="T441" i="9"/>
  <c r="T442" i="9"/>
  <c r="T445" i="9"/>
  <c r="T446" i="9"/>
  <c r="T447" i="9"/>
  <c r="T448" i="9"/>
  <c r="T449" i="9"/>
  <c r="T450" i="9"/>
  <c r="T451" i="9"/>
  <c r="T455" i="9"/>
  <c r="T456" i="9"/>
  <c r="T458" i="9"/>
  <c r="T460" i="9"/>
  <c r="T461" i="9"/>
  <c r="T463" i="9"/>
  <c r="T464" i="9"/>
  <c r="T465" i="9"/>
  <c r="T466" i="9"/>
  <c r="T467" i="9"/>
  <c r="T468" i="9"/>
  <c r="T469" i="9"/>
  <c r="T470" i="9"/>
  <c r="T471" i="9"/>
  <c r="T473" i="9"/>
  <c r="T474" i="9"/>
  <c r="T475" i="9"/>
  <c r="T476" i="9"/>
  <c r="T477" i="9"/>
  <c r="T478" i="9"/>
  <c r="T479" i="9"/>
  <c r="T480" i="9"/>
  <c r="T481" i="9"/>
  <c r="T482" i="9"/>
  <c r="T483" i="9"/>
  <c r="T484" i="9"/>
  <c r="T485" i="9"/>
  <c r="T486" i="9"/>
  <c r="T491" i="9"/>
  <c r="T493" i="9"/>
  <c r="T494" i="9"/>
  <c r="T495" i="9"/>
  <c r="T496" i="9"/>
  <c r="T498" i="9"/>
  <c r="T501" i="9"/>
  <c r="T502" i="9"/>
  <c r="T503" i="9"/>
  <c r="T504" i="9"/>
  <c r="T505" i="9"/>
  <c r="T506" i="9"/>
  <c r="T507" i="9"/>
  <c r="T508" i="9"/>
  <c r="T509" i="9"/>
  <c r="T510" i="9"/>
  <c r="T511" i="9"/>
  <c r="T512" i="9"/>
  <c r="T513" i="9"/>
  <c r="T514" i="9"/>
  <c r="T515" i="9"/>
  <c r="T516" i="9"/>
  <c r="T517" i="9"/>
  <c r="T518" i="9"/>
  <c r="T519" i="9"/>
  <c r="T520" i="9"/>
  <c r="T521" i="9"/>
  <c r="T522" i="9"/>
  <c r="T523" i="9"/>
  <c r="T524" i="9"/>
  <c r="T526" i="9"/>
  <c r="T527" i="9"/>
  <c r="T528" i="9"/>
  <c r="T530" i="9"/>
  <c r="T533" i="9"/>
  <c r="T534" i="9"/>
  <c r="T536" i="9"/>
  <c r="T537" i="9"/>
  <c r="T542" i="9"/>
  <c r="T543" i="9"/>
  <c r="T544" i="9"/>
  <c r="T545" i="9"/>
  <c r="T547" i="9"/>
  <c r="T548" i="9"/>
  <c r="T549" i="9"/>
  <c r="T550" i="9"/>
  <c r="T552" i="9"/>
  <c r="T553" i="9"/>
  <c r="T554" i="9"/>
  <c r="T555" i="9"/>
  <c r="T556" i="9"/>
  <c r="T557" i="9"/>
  <c r="T558" i="9"/>
  <c r="T559" i="9"/>
  <c r="T560" i="9"/>
  <c r="T561" i="9"/>
  <c r="T562" i="9"/>
  <c r="T563" i="9"/>
  <c r="T564" i="9"/>
  <c r="T565" i="9"/>
  <c r="T566" i="9"/>
  <c r="T567" i="9"/>
  <c r="T568" i="9"/>
  <c r="T569" i="9"/>
  <c r="T570" i="9"/>
  <c r="T571" i="9"/>
  <c r="T572" i="9"/>
  <c r="T573" i="9"/>
  <c r="T574" i="9"/>
  <c r="T575" i="9"/>
  <c r="T576" i="9"/>
  <c r="T577" i="9"/>
  <c r="T579" i="9"/>
  <c r="T581" i="9"/>
  <c r="T582" i="9"/>
  <c r="T584" i="9"/>
  <c r="T585" i="9"/>
  <c r="T586" i="9"/>
  <c r="T587" i="9"/>
  <c r="T592" i="9"/>
  <c r="T594" i="9"/>
  <c r="T596" i="9"/>
  <c r="T597" i="9"/>
  <c r="T598" i="9"/>
  <c r="T600" i="9"/>
  <c r="T601" i="9"/>
  <c r="T602" i="9"/>
  <c r="T603" i="9"/>
  <c r="T604" i="9"/>
  <c r="T605" i="9"/>
  <c r="T606" i="9"/>
  <c r="T607" i="9"/>
  <c r="T608" i="9"/>
  <c r="T609" i="9"/>
  <c r="T610" i="9"/>
  <c r="T611" i="9"/>
  <c r="T612" i="9"/>
  <c r="T613" i="9"/>
  <c r="T614" i="9"/>
  <c r="T615" i="9"/>
  <c r="T616" i="9"/>
  <c r="T618" i="9"/>
  <c r="T619" i="9"/>
  <c r="T620" i="9"/>
  <c r="T621" i="9"/>
  <c r="T622" i="9"/>
  <c r="T623" i="9"/>
  <c r="T624" i="9"/>
  <c r="T625" i="9"/>
  <c r="T626" i="9"/>
  <c r="T627" i="9"/>
  <c r="T628" i="9"/>
  <c r="T629" i="9"/>
  <c r="T630" i="9"/>
  <c r="T631" i="9"/>
  <c r="T633" i="9"/>
  <c r="T634" i="9"/>
  <c r="T635" i="9"/>
  <c r="T636" i="9"/>
  <c r="T637" i="9"/>
  <c r="T638" i="9"/>
  <c r="T643" i="9"/>
  <c r="T644" i="9"/>
  <c r="T645" i="9"/>
  <c r="T647" i="9"/>
  <c r="T648" i="9"/>
  <c r="T650" i="9"/>
  <c r="T652" i="9"/>
  <c r="T654" i="9"/>
  <c r="T656" i="9"/>
  <c r="T657" i="9"/>
  <c r="T658" i="9"/>
  <c r="T659" i="9"/>
  <c r="T660" i="9"/>
  <c r="T661" i="9"/>
  <c r="T663" i="9"/>
  <c r="T664" i="9"/>
  <c r="T665" i="9"/>
  <c r="T666" i="9"/>
  <c r="T667" i="9"/>
  <c r="T669" i="9"/>
  <c r="T670" i="9"/>
  <c r="T671" i="9"/>
  <c r="T672" i="9"/>
  <c r="T673" i="9"/>
  <c r="T674" i="9"/>
  <c r="T675" i="9"/>
  <c r="T676" i="9"/>
  <c r="T684" i="9"/>
  <c r="T685" i="9"/>
  <c r="T687" i="9"/>
  <c r="T689" i="9"/>
  <c r="T690" i="9"/>
  <c r="T691" i="9"/>
  <c r="T692" i="9"/>
  <c r="T695" i="9"/>
  <c r="T696" i="9"/>
  <c r="T697" i="9"/>
  <c r="T698" i="9"/>
  <c r="T699" i="9"/>
  <c r="T700" i="9"/>
  <c r="T701" i="9"/>
  <c r="T702" i="9"/>
  <c r="T703" i="9"/>
  <c r="T704" i="9"/>
  <c r="T705" i="9"/>
  <c r="T706" i="9"/>
  <c r="T707" i="9"/>
  <c r="T708" i="9"/>
  <c r="T709" i="9"/>
  <c r="T710" i="9"/>
  <c r="T711" i="9"/>
  <c r="T712" i="9"/>
  <c r="T713" i="9"/>
  <c r="T714" i="9"/>
  <c r="T715" i="9"/>
  <c r="T716" i="9"/>
  <c r="T717" i="9"/>
  <c r="T718" i="9"/>
  <c r="T719" i="9"/>
  <c r="T720" i="9"/>
  <c r="T721" i="9"/>
  <c r="T722" i="9"/>
  <c r="T723" i="9"/>
  <c r="T724" i="9"/>
  <c r="T729" i="9"/>
  <c r="T730" i="9"/>
  <c r="T731" i="9"/>
  <c r="T732" i="9"/>
  <c r="T734" i="9"/>
  <c r="T735" i="9"/>
  <c r="T736" i="9"/>
  <c r="T737" i="9"/>
  <c r="T739" i="9"/>
  <c r="T742" i="9"/>
  <c r="T743" i="9"/>
  <c r="T745" i="9"/>
  <c r="T746" i="9"/>
  <c r="T748" i="9"/>
  <c r="T749" i="9"/>
  <c r="T751" i="9"/>
  <c r="T752" i="9"/>
  <c r="T753" i="9"/>
  <c r="T754" i="9"/>
  <c r="T755" i="9"/>
  <c r="T756" i="9"/>
  <c r="T757" i="9"/>
  <c r="T758" i="9"/>
  <c r="T759" i="9"/>
  <c r="T760" i="9"/>
  <c r="T761" i="9"/>
  <c r="T762" i="9"/>
  <c r="T763" i="9"/>
  <c r="T764" i="9"/>
  <c r="T765" i="9"/>
  <c r="T766" i="9"/>
  <c r="T767" i="9"/>
  <c r="T768" i="9"/>
  <c r="T769" i="9"/>
  <c r="T770" i="9"/>
  <c r="T771" i="9"/>
  <c r="T772" i="9"/>
  <c r="T773" i="9"/>
  <c r="T778" i="9"/>
  <c r="T781" i="9"/>
  <c r="T782" i="9"/>
  <c r="T783" i="9"/>
  <c r="T784" i="9"/>
  <c r="T786" i="9"/>
  <c r="T787" i="9"/>
  <c r="T788" i="9"/>
  <c r="T789" i="9"/>
  <c r="T790" i="9"/>
  <c r="T791" i="9"/>
  <c r="T792" i="9"/>
  <c r="T795" i="9"/>
  <c r="T796" i="9"/>
  <c r="T797" i="9"/>
  <c r="T800" i="9"/>
  <c r="T803" i="9"/>
  <c r="T804" i="9"/>
  <c r="T806" i="9"/>
  <c r="T807" i="9"/>
  <c r="T808" i="9"/>
  <c r="T809" i="9"/>
  <c r="T810" i="9"/>
  <c r="T811" i="9"/>
  <c r="T812" i="9"/>
  <c r="T813" i="9"/>
  <c r="T815" i="9"/>
  <c r="T816" i="9"/>
  <c r="T817" i="9"/>
  <c r="T818" i="9"/>
  <c r="T819" i="9"/>
  <c r="T820" i="9"/>
  <c r="T821" i="9"/>
  <c r="T822" i="9"/>
  <c r="T823" i="9"/>
  <c r="T824" i="9"/>
  <c r="T825" i="9"/>
  <c r="T826" i="9"/>
  <c r="T827" i="9"/>
  <c r="T828" i="9"/>
  <c r="T829" i="9"/>
  <c r="T833" i="9"/>
  <c r="T834" i="9"/>
  <c r="T835" i="9"/>
  <c r="T836" i="9"/>
  <c r="T838" i="9"/>
  <c r="T841" i="9"/>
  <c r="T842" i="9"/>
  <c r="T844" i="9"/>
  <c r="T845" i="9"/>
  <c r="T849" i="9"/>
  <c r="T850" i="9"/>
  <c r="T851" i="9"/>
  <c r="T853" i="9"/>
  <c r="T856" i="9"/>
  <c r="T857" i="9"/>
  <c r="T858" i="9"/>
  <c r="T859" i="9"/>
  <c r="T860" i="9"/>
  <c r="T861" i="9"/>
  <c r="T862" i="9"/>
  <c r="T863" i="9"/>
  <c r="T864" i="9"/>
  <c r="T865" i="9"/>
  <c r="T866" i="9"/>
  <c r="T867" i="9"/>
  <c r="T868" i="9"/>
  <c r="T869" i="9"/>
  <c r="T870" i="9"/>
  <c r="T871" i="9"/>
  <c r="T872" i="9"/>
  <c r="T873" i="9"/>
  <c r="T874" i="9"/>
  <c r="T875" i="9"/>
  <c r="T876" i="9"/>
  <c r="T878" i="9"/>
  <c r="T879" i="9"/>
  <c r="T882" i="9"/>
  <c r="T888" i="9"/>
  <c r="T890" i="9"/>
  <c r="T891" i="9"/>
  <c r="T892" i="9"/>
  <c r="T893" i="9"/>
  <c r="T894" i="9"/>
  <c r="T895" i="9"/>
  <c r="T896" i="9"/>
  <c r="T897" i="9"/>
  <c r="T898" i="9"/>
  <c r="T900" i="9"/>
  <c r="T901" i="9"/>
  <c r="T903" i="9"/>
  <c r="T904" i="9"/>
  <c r="T906" i="9"/>
  <c r="T908" i="9"/>
  <c r="T909" i="9"/>
  <c r="T910" i="9"/>
  <c r="T911" i="9"/>
  <c r="T913" i="9"/>
  <c r="T914" i="9"/>
  <c r="T917" i="9"/>
  <c r="T918" i="9"/>
  <c r="T919" i="9"/>
  <c r="T920" i="9"/>
  <c r="T921" i="9"/>
  <c r="T922" i="9"/>
  <c r="T923" i="9"/>
  <c r="T924" i="9"/>
  <c r="T925" i="9"/>
  <c r="T926" i="9"/>
  <c r="T927" i="9"/>
  <c r="T928" i="9"/>
  <c r="T929" i="9"/>
  <c r="T930" i="9"/>
  <c r="T931" i="9"/>
  <c r="T932" i="9"/>
  <c r="T933" i="9"/>
  <c r="T934" i="9"/>
  <c r="T935" i="9"/>
  <c r="T936" i="9"/>
  <c r="T937" i="9"/>
  <c r="T938" i="9"/>
  <c r="T939" i="9"/>
  <c r="T940" i="9"/>
  <c r="T941" i="9"/>
  <c r="T942" i="9"/>
  <c r="T943" i="9"/>
  <c r="T944" i="9"/>
  <c r="T945" i="9"/>
  <c r="T946" i="9"/>
  <c r="T947" i="9"/>
  <c r="T948" i="9"/>
  <c r="T949" i="9"/>
  <c r="T951" i="9"/>
  <c r="T952" i="9"/>
  <c r="T953" i="9"/>
  <c r="T955" i="9"/>
  <c r="T956" i="9"/>
  <c r="T957" i="9"/>
  <c r="T958" i="9"/>
  <c r="T960" i="9"/>
  <c r="T961" i="9"/>
  <c r="T962" i="9"/>
  <c r="T964" i="9"/>
  <c r="T966" i="9"/>
  <c r="T968" i="9"/>
  <c r="T973" i="9"/>
  <c r="T975" i="9"/>
  <c r="T979" i="9"/>
  <c r="T980" i="9"/>
  <c r="T981" i="9"/>
  <c r="T982" i="9"/>
  <c r="T983" i="9"/>
  <c r="T984" i="9"/>
  <c r="T985" i="9"/>
  <c r="T986" i="9"/>
  <c r="T987" i="9"/>
  <c r="T988" i="9"/>
  <c r="T989" i="9"/>
  <c r="T990" i="9"/>
  <c r="T991" i="9"/>
  <c r="T992" i="9"/>
  <c r="T993" i="9"/>
  <c r="T994" i="9"/>
  <c r="T995" i="9"/>
  <c r="T996" i="9"/>
  <c r="T997" i="9"/>
  <c r="T998" i="9"/>
  <c r="T999" i="9"/>
  <c r="T1000" i="9"/>
  <c r="T1001" i="9"/>
  <c r="T1002" i="9"/>
  <c r="T1003" i="9"/>
  <c r="T1004" i="9"/>
  <c r="T1005" i="9"/>
  <c r="T1006" i="9"/>
  <c r="T1007" i="9"/>
  <c r="T1008" i="9"/>
  <c r="T1011" i="9"/>
  <c r="T1012" i="9"/>
  <c r="T1013" i="9"/>
  <c r="T1014" i="9"/>
  <c r="T1015" i="9"/>
  <c r="T1016" i="9"/>
  <c r="T1019" i="9"/>
  <c r="T1020" i="9"/>
  <c r="T1023" i="9"/>
  <c r="T1024" i="9"/>
  <c r="T1025" i="9"/>
  <c r="T1026" i="9"/>
  <c r="T1027" i="9"/>
  <c r="T1028" i="9"/>
  <c r="T1029" i="9"/>
  <c r="T1030" i="9"/>
  <c r="T1032" i="9"/>
  <c r="T1033" i="9"/>
  <c r="T1034" i="9"/>
  <c r="T1035" i="9"/>
  <c r="T1036" i="9"/>
  <c r="T1037" i="9"/>
  <c r="T1038" i="9"/>
  <c r="T1039" i="9"/>
  <c r="T1040" i="9"/>
  <c r="T1042" i="9"/>
  <c r="T1043" i="9"/>
  <c r="T1045" i="9"/>
  <c r="T1049" i="9"/>
  <c r="T1051" i="9"/>
  <c r="T1052" i="9"/>
  <c r="T1053" i="9"/>
  <c r="T1054" i="9"/>
  <c r="T1056" i="9"/>
  <c r="T1058" i="9"/>
  <c r="T1060" i="9"/>
  <c r="T1061" i="9"/>
  <c r="T1063" i="9"/>
  <c r="T1064" i="9"/>
  <c r="T1065" i="9"/>
  <c r="T1066" i="9"/>
  <c r="T1067" i="9"/>
  <c r="T1068" i="9"/>
  <c r="T1069" i="9"/>
  <c r="T1070" i="9"/>
  <c r="T1071" i="9"/>
  <c r="T1072" i="9"/>
  <c r="T1073" i="9"/>
  <c r="T1074" i="9"/>
  <c r="T1075" i="9"/>
  <c r="T1076" i="9"/>
  <c r="T1077" i="9"/>
  <c r="T1078" i="9"/>
  <c r="T1079" i="9"/>
  <c r="T1080" i="9"/>
  <c r="T1081" i="9"/>
  <c r="T1082" i="9"/>
  <c r="T1083" i="9"/>
  <c r="T1084" i="9"/>
  <c r="T1085" i="9"/>
  <c r="T1086" i="9"/>
  <c r="T1087" i="9"/>
  <c r="T1088" i="9"/>
  <c r="T1089" i="9"/>
  <c r="T1090" i="9"/>
  <c r="T1091" i="9"/>
  <c r="T1092" i="9"/>
  <c r="T1093" i="9"/>
  <c r="T1095" i="9"/>
  <c r="T1096" i="9"/>
  <c r="T1097" i="9"/>
  <c r="T1100" i="9"/>
  <c r="T1101" i="9"/>
  <c r="T1102" i="9"/>
  <c r="T1103" i="9"/>
  <c r="T1104" i="9"/>
  <c r="T1105" i="9"/>
  <c r="T1106" i="9"/>
  <c r="T1107" i="9"/>
  <c r="T1108" i="9"/>
  <c r="T1109" i="9"/>
  <c r="T1112" i="9"/>
  <c r="T1116" i="9"/>
  <c r="T1117" i="9"/>
  <c r="T1119" i="9"/>
  <c r="T1120" i="9"/>
  <c r="T1121" i="9"/>
  <c r="T1122" i="9"/>
  <c r="T1123" i="9"/>
  <c r="T1125" i="9"/>
  <c r="T1126" i="9"/>
  <c r="T1127" i="9"/>
  <c r="T1128" i="9"/>
  <c r="T1129" i="9"/>
  <c r="T1130" i="9"/>
  <c r="T1131" i="9"/>
  <c r="T1132" i="9"/>
  <c r="T1133" i="9"/>
  <c r="T1134" i="9"/>
  <c r="T1135" i="9"/>
  <c r="T1136" i="9"/>
  <c r="T1137" i="9"/>
  <c r="T1138" i="9"/>
  <c r="T1139" i="9"/>
  <c r="T1140" i="9"/>
  <c r="T1141" i="9"/>
  <c r="T1142" i="9"/>
  <c r="T1144" i="9"/>
  <c r="T1145" i="9"/>
  <c r="T1146" i="9"/>
  <c r="T1148" i="9"/>
  <c r="T1149" i="9"/>
  <c r="T1150" i="9"/>
  <c r="T1152" i="9"/>
  <c r="T1153" i="9"/>
  <c r="T1154" i="9"/>
  <c r="T1157" i="9"/>
  <c r="T1158" i="9"/>
  <c r="T1159" i="9"/>
  <c r="T1161" i="9"/>
  <c r="T1163" i="9"/>
  <c r="T1165" i="9"/>
  <c r="T1166" i="9"/>
  <c r="T1167" i="9"/>
  <c r="T1168" i="9"/>
  <c r="T1169" i="9"/>
  <c r="T1170" i="9"/>
  <c r="T1171" i="9"/>
  <c r="T1172" i="9"/>
  <c r="T1173" i="9"/>
  <c r="T1174" i="9"/>
  <c r="T1175" i="9"/>
  <c r="T1176" i="9"/>
  <c r="T1177" i="9"/>
  <c r="T1178" i="9"/>
  <c r="T1179" i="9"/>
  <c r="T1180" i="9"/>
  <c r="T1181" i="9"/>
  <c r="T1182" i="9"/>
  <c r="T1186" i="9"/>
  <c r="T1188" i="9"/>
  <c r="T1189" i="9"/>
  <c r="T1192" i="9"/>
  <c r="T1194" i="9"/>
  <c r="T1195" i="9"/>
  <c r="T1196" i="9"/>
  <c r="T1197" i="9"/>
  <c r="T1198" i="9"/>
  <c r="T1199" i="9"/>
  <c r="T1200" i="9"/>
  <c r="T1201" i="9"/>
  <c r="T1203" i="9"/>
  <c r="T1204" i="9"/>
  <c r="T1205" i="9"/>
  <c r="T1206" i="9"/>
  <c r="T1207" i="9"/>
  <c r="T1209" i="9"/>
  <c r="T1210" i="9"/>
  <c r="T1216" i="9"/>
  <c r="T1219" i="9"/>
  <c r="T1221" i="9"/>
  <c r="T1222" i="9"/>
  <c r="T1223" i="9"/>
  <c r="T1224" i="9"/>
  <c r="T1225" i="9"/>
  <c r="T1226" i="9"/>
  <c r="T1227" i="9"/>
  <c r="T1228" i="9"/>
  <c r="T1232" i="9"/>
  <c r="T1234" i="9"/>
  <c r="T1235" i="9"/>
  <c r="T1237" i="9"/>
  <c r="T1238" i="9"/>
  <c r="T1239" i="9"/>
  <c r="T1240" i="9"/>
  <c r="T1241" i="9"/>
  <c r="T1242" i="9"/>
  <c r="T1243" i="9"/>
  <c r="T1244" i="9"/>
  <c r="T1245" i="9"/>
  <c r="T1246" i="9"/>
  <c r="T1247" i="9"/>
  <c r="T1248" i="9"/>
  <c r="T1249" i="9"/>
  <c r="T1250" i="9"/>
  <c r="T1251" i="9"/>
  <c r="T1252" i="9"/>
  <c r="T1254" i="9"/>
  <c r="T1256" i="9"/>
  <c r="T1258" i="9"/>
  <c r="T1261" i="9"/>
  <c r="T1266" i="9"/>
  <c r="T1267" i="9"/>
  <c r="T1269" i="9"/>
  <c r="T1270" i="9"/>
  <c r="T1271" i="9"/>
  <c r="T1274" i="9"/>
  <c r="T1275" i="9"/>
  <c r="T1278" i="9"/>
  <c r="T1279" i="9"/>
  <c r="T1280" i="9"/>
  <c r="T1281" i="9"/>
  <c r="T1282" i="9"/>
  <c r="T1284" i="9"/>
  <c r="T1285" i="9"/>
  <c r="T1286" i="9"/>
  <c r="T1288" i="9"/>
  <c r="T1289" i="9"/>
  <c r="T1290" i="9"/>
  <c r="T1291" i="9"/>
  <c r="T1292" i="9"/>
  <c r="T1293" i="9"/>
  <c r="T1294" i="9"/>
  <c r="T1300" i="9"/>
  <c r="T1301" i="9"/>
  <c r="T1302" i="9"/>
  <c r="T1305" i="9"/>
  <c r="T1306" i="9"/>
  <c r="T1307" i="9"/>
  <c r="T1308" i="9"/>
  <c r="T1312" i="9"/>
  <c r="T1314" i="9"/>
  <c r="T1316" i="9"/>
  <c r="T1317" i="9"/>
  <c r="T1319" i="9"/>
  <c r="T1320" i="9"/>
  <c r="T1321" i="9"/>
  <c r="T1322" i="9"/>
  <c r="T1323" i="9"/>
  <c r="T1327" i="9"/>
  <c r="T1332" i="9"/>
  <c r="T1335" i="9"/>
  <c r="T1336" i="9"/>
  <c r="T1337" i="9"/>
  <c r="T1339" i="9"/>
  <c r="T1342" i="9"/>
  <c r="T1343" i="9"/>
  <c r="T1344" i="9"/>
  <c r="T1345" i="9"/>
  <c r="T1346" i="9"/>
  <c r="T1347" i="9"/>
  <c r="T1348" i="9"/>
  <c r="T1349" i="9"/>
  <c r="T1350" i="9"/>
  <c r="T1354" i="9"/>
  <c r="T1356" i="9"/>
  <c r="T1357" i="9"/>
  <c r="T1358" i="9"/>
  <c r="T1361" i="9"/>
  <c r="T1363" i="9"/>
  <c r="T1364" i="9"/>
  <c r="T1365" i="9"/>
  <c r="T1366" i="9"/>
  <c r="T1368" i="9"/>
  <c r="T1369" i="9"/>
  <c r="T1370" i="9"/>
  <c r="T1371" i="9"/>
  <c r="T1372" i="9"/>
  <c r="T1373" i="9"/>
  <c r="T1374" i="9"/>
  <c r="T1375" i="9"/>
  <c r="T1376" i="9"/>
  <c r="T1378" i="9"/>
  <c r="T1379" i="9"/>
  <c r="T1380" i="9"/>
  <c r="T1382" i="9"/>
  <c r="T1383" i="9"/>
  <c r="T1385" i="9"/>
  <c r="T1386" i="9"/>
  <c r="T1388" i="9"/>
  <c r="T1389" i="9"/>
  <c r="T1390" i="9"/>
  <c r="T1391" i="9"/>
  <c r="T1393" i="9"/>
  <c r="T1394" i="9"/>
  <c r="T1395" i="9"/>
  <c r="T1396" i="9"/>
  <c r="T1398" i="9"/>
  <c r="T1399" i="9"/>
  <c r="T1400" i="9"/>
  <c r="T1401" i="9"/>
  <c r="T1402" i="9"/>
  <c r="T1404" i="9"/>
  <c r="T1405" i="9"/>
  <c r="T1407" i="9"/>
  <c r="T1408" i="9"/>
  <c r="T1409" i="9"/>
  <c r="T1410" i="9"/>
  <c r="T1411" i="9"/>
  <c r="T1412" i="9"/>
  <c r="T1413" i="9"/>
  <c r="T1414" i="9"/>
  <c r="T1415" i="9"/>
  <c r="T1416" i="9"/>
  <c r="T1417" i="9"/>
  <c r="T1418" i="9"/>
  <c r="T1419" i="9"/>
  <c r="T1420" i="9"/>
  <c r="T1421" i="9"/>
  <c r="T1423" i="9"/>
  <c r="T1424" i="9"/>
  <c r="T1427" i="9"/>
  <c r="T1429" i="9"/>
  <c r="T1430" i="9"/>
  <c r="T1431" i="9"/>
  <c r="T1433" i="9"/>
  <c r="T1435" i="9"/>
  <c r="T1436" i="9"/>
  <c r="T1438" i="9"/>
  <c r="T1439" i="9"/>
  <c r="T1440" i="9"/>
  <c r="T1441" i="9"/>
  <c r="T1442" i="9"/>
  <c r="T1443" i="9"/>
  <c r="T1444" i="9"/>
  <c r="T1445" i="9"/>
  <c r="T1447" i="9"/>
  <c r="T1448" i="9"/>
  <c r="T1449" i="9"/>
  <c r="T1450" i="9"/>
  <c r="T1451" i="9"/>
  <c r="T1455" i="9"/>
  <c r="T1456" i="9"/>
  <c r="T1457" i="9"/>
  <c r="T1458" i="9"/>
  <c r="T1459" i="9"/>
  <c r="T1460" i="9"/>
  <c r="T1461" i="9"/>
  <c r="T1462" i="9"/>
  <c r="T1468" i="9"/>
  <c r="T1471" i="9"/>
  <c r="T1472" i="9"/>
  <c r="T1474" i="9"/>
  <c r="T1475" i="9"/>
  <c r="T1476" i="9"/>
  <c r="T1477" i="9"/>
  <c r="T1479" i="9"/>
  <c r="T1488" i="9"/>
  <c r="T1489" i="9"/>
  <c r="T1493" i="9"/>
  <c r="T1494" i="9"/>
  <c r="T1496" i="9"/>
  <c r="T1498" i="9"/>
  <c r="T1499" i="9"/>
  <c r="T1500" i="9"/>
  <c r="T1503" i="9"/>
  <c r="T1504" i="9"/>
  <c r="T1507" i="9"/>
  <c r="T1508" i="9"/>
  <c r="T1509" i="9"/>
  <c r="T1510" i="9"/>
  <c r="T1511" i="9"/>
  <c r="T1514" i="9"/>
  <c r="T1521" i="9"/>
  <c r="T1522" i="9"/>
  <c r="T1523" i="9"/>
  <c r="T1524" i="9"/>
  <c r="T1525" i="9"/>
  <c r="T1526" i="9"/>
  <c r="T1527" i="9"/>
  <c r="T1528" i="9"/>
  <c r="T1529" i="9"/>
  <c r="T1530" i="9"/>
  <c r="T1531" i="9"/>
  <c r="T1532" i="9"/>
  <c r="T1533" i="9"/>
  <c r="T1534" i="9"/>
  <c r="T1535" i="9"/>
  <c r="T1536" i="9"/>
  <c r="T1537" i="9"/>
  <c r="T1538" i="9"/>
  <c r="T1539" i="9"/>
  <c r="T1540" i="9"/>
  <c r="T1541" i="9"/>
  <c r="T1542" i="9"/>
  <c r="T1543" i="9"/>
  <c r="T1544" i="9"/>
  <c r="T1545" i="9"/>
  <c r="T1546" i="9"/>
  <c r="T1548" i="9"/>
  <c r="T1549" i="9"/>
  <c r="T1550" i="9"/>
  <c r="T1551" i="9"/>
  <c r="T1552" i="9"/>
  <c r="T1553" i="9"/>
  <c r="T1554" i="9"/>
  <c r="T1555" i="9"/>
  <c r="T1556" i="9"/>
  <c r="T1557" i="9"/>
  <c r="T1559" i="9"/>
  <c r="T1560" i="9"/>
  <c r="T1562" i="9"/>
  <c r="T1563" i="9"/>
  <c r="T1564" i="9"/>
  <c r="T1565" i="9"/>
  <c r="T1566" i="9"/>
  <c r="T1571" i="9"/>
  <c r="T1574" i="9"/>
  <c r="T1576" i="9"/>
  <c r="T1577" i="9"/>
  <c r="T1578" i="9"/>
  <c r="T1579" i="9"/>
  <c r="T1581" i="9"/>
  <c r="T1582" i="9"/>
  <c r="T1585" i="9"/>
  <c r="T1586" i="9"/>
  <c r="T1587" i="9"/>
  <c r="T1588" i="9"/>
  <c r="T1591" i="9"/>
  <c r="T1594" i="9"/>
  <c r="T1595" i="9"/>
  <c r="T1596" i="9"/>
  <c r="T1597" i="9"/>
  <c r="T1598" i="9"/>
  <c r="T1599" i="9"/>
  <c r="T1600" i="9"/>
  <c r="T1601" i="9"/>
  <c r="T1602" i="9"/>
  <c r="T1603" i="9"/>
  <c r="T1604" i="9"/>
  <c r="T1610" i="9"/>
  <c r="T1611" i="9"/>
  <c r="T1612" i="9"/>
  <c r="T1614" i="9"/>
  <c r="T1615" i="9"/>
  <c r="T1616" i="9"/>
  <c r="T1617" i="9"/>
  <c r="T1618" i="9"/>
  <c r="T1619" i="9"/>
  <c r="T1620" i="9"/>
  <c r="T1621" i="9"/>
  <c r="T1622" i="9"/>
  <c r="T1623" i="9"/>
  <c r="T1624" i="9"/>
  <c r="T1625" i="9"/>
  <c r="T1626" i="9"/>
  <c r="T1627" i="9"/>
  <c r="T1628" i="9"/>
  <c r="T1629" i="9"/>
  <c r="T1630" i="9"/>
  <c r="T1632" i="9"/>
  <c r="T1633" i="9"/>
  <c r="T1634" i="9"/>
  <c r="T1635" i="9"/>
  <c r="T1636" i="9"/>
  <c r="T1637" i="9"/>
  <c r="T1638" i="9"/>
  <c r="T1639" i="9"/>
  <c r="T1640" i="9"/>
  <c r="T1641" i="9"/>
  <c r="T1642" i="9"/>
  <c r="T1643" i="9"/>
  <c r="T1644" i="9"/>
  <c r="T1645" i="9"/>
  <c r="T1646" i="9"/>
  <c r="T1647" i="9"/>
  <c r="T1648" i="9"/>
  <c r="T1649" i="9"/>
  <c r="T1650" i="9"/>
  <c r="T1651" i="9"/>
  <c r="T1653" i="9"/>
  <c r="T1654" i="9"/>
  <c r="T1655" i="9"/>
  <c r="T1656" i="9"/>
  <c r="T1657" i="9"/>
  <c r="T1658" i="9"/>
  <c r="T1659" i="9"/>
  <c r="T1661" i="9"/>
  <c r="T1662" i="9"/>
  <c r="T1663" i="9"/>
  <c r="T1664" i="9"/>
  <c r="T1665" i="9"/>
  <c r="T1666" i="9"/>
  <c r="T1667" i="9"/>
  <c r="T1668" i="9"/>
  <c r="T1669" i="9"/>
  <c r="T1670" i="9"/>
  <c r="T1671" i="9"/>
  <c r="T1672" i="9"/>
  <c r="T1673" i="9"/>
  <c r="T1674" i="9"/>
  <c r="T1675" i="9"/>
  <c r="T1676" i="9"/>
  <c r="T1677" i="9"/>
  <c r="T1678" i="9"/>
  <c r="T1679" i="9"/>
  <c r="T1680" i="9"/>
  <c r="T1682" i="9"/>
  <c r="T1683" i="9"/>
  <c r="T1684" i="9"/>
  <c r="T1685" i="9"/>
  <c r="T1686" i="9"/>
  <c r="T1687" i="9"/>
  <c r="T1688" i="9"/>
  <c r="T1689" i="9"/>
  <c r="T1690" i="9"/>
  <c r="T1691" i="9"/>
  <c r="T1692" i="9"/>
  <c r="T1693" i="9"/>
  <c r="T1695" i="9"/>
  <c r="T1698" i="9"/>
  <c r="T1699" i="9"/>
  <c r="T1700" i="9"/>
  <c r="T1701" i="9"/>
  <c r="T1703" i="9"/>
  <c r="T1704" i="9"/>
  <c r="T1707" i="9"/>
  <c r="T1708" i="9"/>
  <c r="T1709" i="9"/>
  <c r="T1714" i="9"/>
  <c r="T1715" i="9"/>
  <c r="T1717" i="9"/>
  <c r="T1719" i="9"/>
  <c r="R389" i="9"/>
  <c r="T389" i="9" s="1"/>
  <c r="R1255" i="9"/>
  <c r="T1255" i="9" s="1"/>
  <c r="R290" i="9"/>
  <c r="T290" i="9" s="1"/>
  <c r="R388" i="9"/>
  <c r="T388" i="9" s="1"/>
  <c r="R1044" i="9"/>
  <c r="T1044" i="9" s="1"/>
  <c r="R387" i="9"/>
  <c r="T387" i="9" s="1"/>
  <c r="R492" i="9"/>
  <c r="T492" i="9" s="1"/>
  <c r="R330" i="9"/>
  <c r="T330" i="9" s="1"/>
  <c r="R535" i="9"/>
  <c r="T535" i="9" s="1"/>
  <c r="R1214" i="9"/>
  <c r="T1214" i="9" s="1"/>
  <c r="T683" i="9" l="1"/>
  <c r="T364" i="9"/>
  <c r="T889" i="9"/>
  <c r="T682" i="9"/>
  <c r="T1561" i="9"/>
  <c r="T1718" i="9"/>
  <c r="T1377" i="9"/>
  <c r="T288" i="9" l="1"/>
  <c r="T681" i="9"/>
  <c r="R362" i="9" l="1"/>
  <c r="T362" i="9" s="1"/>
  <c r="T1253" i="9"/>
  <c r="T253" i="9"/>
  <c r="T80" i="9"/>
  <c r="T1326" i="9"/>
  <c r="T1010" i="9"/>
  <c r="T45" i="9"/>
  <c r="T1009" i="9"/>
  <c r="T532" i="9"/>
  <c r="T1185" i="9"/>
  <c r="T1716" i="9"/>
  <c r="T531" i="9"/>
  <c r="R252" i="9"/>
  <c r="T252" i="9" s="1"/>
  <c r="T328" i="9"/>
  <c r="T1558" i="9"/>
  <c r="T490" i="9"/>
  <c r="T1295" i="9"/>
  <c r="T61" i="9"/>
  <c r="R218" i="9"/>
  <c r="T218" i="9" s="1"/>
  <c r="R453" i="9"/>
  <c r="T453" i="9" s="1"/>
  <c r="R881" i="9"/>
  <c r="T881" i="9" s="1"/>
  <c r="R1613" i="9"/>
  <c r="T1613" i="9" s="1"/>
  <c r="R801" i="9"/>
  <c r="T801" i="9" s="1"/>
  <c r="R1681" i="9"/>
  <c r="T1681" i="9" s="1"/>
  <c r="R1568" i="9"/>
  <c r="T1568" i="9" s="1"/>
  <c r="R662" i="9"/>
  <c r="T662" i="9" s="1"/>
  <c r="R340" i="9"/>
  <c r="T340" i="9" s="1"/>
  <c r="R1283" i="9"/>
  <c r="T1283" i="9" s="1"/>
  <c r="R263" i="9"/>
  <c r="T263" i="9" s="1"/>
  <c r="R354" i="9"/>
  <c r="T354" i="9" s="1"/>
  <c r="R336" i="9"/>
  <c r="T336" i="9" s="1"/>
  <c r="R1164" i="9"/>
  <c r="T1164" i="9" s="1"/>
  <c r="R369" i="9"/>
  <c r="T369" i="9" s="1"/>
  <c r="R394" i="9"/>
  <c r="T394" i="9" s="1"/>
  <c r="T1387" i="9"/>
  <c r="R1512" i="9"/>
  <c r="T1512" i="9" s="1"/>
  <c r="R462" i="9"/>
  <c r="T462" i="9" s="1"/>
  <c r="R1259" i="9"/>
  <c r="T1259" i="9" s="1"/>
  <c r="R668" i="9"/>
  <c r="T668" i="9" s="1"/>
  <c r="R694" i="9"/>
  <c r="T694" i="9" s="1"/>
  <c r="R367" i="9"/>
  <c r="T367" i="9" s="1"/>
  <c r="R741" i="9"/>
  <c r="T741" i="9" s="1"/>
  <c r="R750" i="9"/>
  <c r="T750" i="9" s="1"/>
  <c r="R1230" i="9"/>
  <c r="T1230" i="9" s="1"/>
  <c r="R268" i="9"/>
  <c r="T268" i="9" s="1"/>
  <c r="R1432" i="9"/>
  <c r="T1432" i="9" s="1"/>
  <c r="T785" i="9"/>
  <c r="R345" i="9"/>
  <c r="T345" i="9" s="1"/>
  <c r="R1583" i="9"/>
  <c r="T1583" i="9" s="1"/>
  <c r="R260" i="9"/>
  <c r="T260" i="9" s="1"/>
  <c r="R1057" i="9"/>
  <c r="T1057" i="9" s="1"/>
  <c r="R738" i="9"/>
  <c r="T738" i="9" s="1"/>
  <c r="R1236" i="9"/>
  <c r="T1236" i="9" s="1"/>
  <c r="R1055" i="9"/>
  <c r="T1055" i="9" s="1"/>
  <c r="R1502" i="9"/>
  <c r="T1502" i="9" s="1"/>
  <c r="R1115" i="9"/>
  <c r="T1115" i="9" s="1"/>
  <c r="R1437" i="9"/>
  <c r="T1437" i="9" s="1"/>
  <c r="R1218" i="9"/>
  <c r="T1218" i="9" s="1"/>
  <c r="R422" i="9"/>
  <c r="T422" i="9" s="1"/>
  <c r="T580" i="9"/>
  <c r="T1570" i="9"/>
  <c r="T680" i="9"/>
  <c r="T1569" i="9"/>
  <c r="T220" i="9"/>
  <c r="T887" i="9"/>
  <c r="T832" i="9"/>
  <c r="T358" i="9"/>
  <c r="T489" i="9"/>
  <c r="T1213" i="9"/>
  <c r="T640" i="9"/>
  <c r="T777" i="9"/>
  <c r="T79" i="9"/>
  <c r="T1184" i="9"/>
  <c r="T776" i="9"/>
  <c r="T1318" i="9"/>
  <c r="T151" i="9"/>
  <c r="T639" i="9"/>
  <c r="T632" i="9"/>
  <c r="T831" i="9"/>
  <c r="T385" i="9"/>
  <c r="T150" i="9"/>
  <c r="T1212" i="9"/>
  <c r="T1183" i="9"/>
  <c r="T1713" i="9"/>
  <c r="T1712" i="9"/>
  <c r="T1711" i="9"/>
  <c r="T1710" i="9"/>
  <c r="T726" i="9"/>
  <c r="T679" i="9"/>
  <c r="T149" i="9"/>
  <c r="T488" i="9"/>
  <c r="T775" i="9"/>
  <c r="T1352" i="9"/>
  <c r="T678" i="9" l="1"/>
  <c r="T148" i="9"/>
  <c r="R1473" i="9"/>
  <c r="T1473" i="9" s="1"/>
  <c r="T1446" i="9"/>
  <c r="T725" i="9"/>
  <c r="T384" i="9" l="1"/>
  <c r="T1098" i="9" l="1"/>
  <c r="T147" i="9"/>
  <c r="T950" i="9"/>
  <c r="T1324" i="9"/>
  <c r="R118" i="9"/>
  <c r="T118" i="9" s="1"/>
  <c r="R1147" i="9"/>
  <c r="T1147" i="9" s="1"/>
  <c r="T361" i="9"/>
  <c r="T117" i="9"/>
  <c r="R1099" i="9"/>
  <c r="T1099" i="9" s="1"/>
  <c r="T383" i="9" l="1"/>
  <c r="T1706" i="9"/>
  <c r="T1705" i="9"/>
  <c r="T1567" i="9"/>
  <c r="T578" i="9"/>
  <c r="T830" i="9"/>
  <c r="T886" i="9"/>
  <c r="T1397" i="9"/>
  <c r="T1211" i="9"/>
  <c r="T1351" i="9"/>
  <c r="T146" i="9"/>
  <c r="R529" i="9"/>
  <c r="T529" i="9" s="1"/>
  <c r="T420" i="9"/>
  <c r="T885" i="9"/>
  <c r="T774" i="9"/>
  <c r="T326" i="9"/>
  <c r="T677" i="9"/>
  <c r="T487" i="9"/>
  <c r="T884" i="9"/>
  <c r="T249" i="9"/>
  <c r="T883" i="9"/>
  <c r="T1702" i="9"/>
  <c r="T454" i="9"/>
  <c r="T76" i="9" l="1"/>
  <c r="R331" i="9"/>
  <c r="T331" i="9" s="1"/>
  <c r="R444" i="9"/>
  <c r="T444" i="9" s="1"/>
  <c r="R1325" i="9" l="1"/>
  <c r="T1325" i="9" s="1"/>
  <c r="R286" i="9"/>
  <c r="T286" i="9" s="1"/>
  <c r="R452" i="9"/>
  <c r="T452" i="9" s="1"/>
  <c r="R1697" i="9"/>
  <c r="T1697" i="9" s="1"/>
  <c r="R1694" i="9"/>
  <c r="T1694" i="9" s="1"/>
  <c r="T1041" i="9"/>
  <c r="T1208" i="9"/>
  <c r="T1696" i="9"/>
  <c r="R525" i="9"/>
  <c r="T525" i="9" s="1"/>
  <c r="R42" i="9"/>
  <c r="T42" i="9" s="1"/>
  <c r="R25" i="9"/>
  <c r="T25" i="9" s="1"/>
  <c r="T417" i="9" l="1"/>
  <c r="T880" i="9"/>
  <c r="T1143" i="9"/>
  <c r="T1094" i="9"/>
  <c r="R653" i="9" l="1"/>
  <c r="T653" i="9" s="1"/>
  <c r="R1406" i="9"/>
  <c r="T1406" i="9" s="1"/>
  <c r="R162" i="9"/>
  <c r="T162" i="9" s="1"/>
  <c r="R1273" i="9"/>
  <c r="T1273" i="9" s="1"/>
  <c r="R1362" i="9"/>
  <c r="T1362" i="9" s="1"/>
  <c r="R794" i="9"/>
  <c r="T794" i="9" s="1"/>
  <c r="R595" i="9"/>
  <c r="T595" i="9" s="1"/>
  <c r="R192" i="9"/>
  <c r="T192" i="9" s="1"/>
  <c r="R1584" i="9"/>
  <c r="T1584" i="9" s="1"/>
  <c r="R47" i="9"/>
  <c r="T47" i="9" s="1"/>
  <c r="R1367" i="9"/>
  <c r="T1367" i="9" s="1"/>
  <c r="R978" i="9"/>
  <c r="T978" i="9" s="1"/>
  <c r="R8" i="9"/>
  <c r="T8" i="9" s="1"/>
  <c r="R599" i="9"/>
  <c r="T599" i="9" s="1"/>
  <c r="R916" i="9"/>
  <c r="T916" i="9" s="1"/>
  <c r="R1575" i="9"/>
  <c r="T1575" i="9" s="1"/>
  <c r="R156" i="9"/>
  <c r="T156" i="9" s="1"/>
  <c r="R1193" i="9"/>
  <c r="T1193" i="9" s="1"/>
  <c r="R1309" i="9"/>
  <c r="T1309" i="9" s="1"/>
  <c r="R1501" i="9"/>
  <c r="T1501" i="9" s="1"/>
  <c r="R1580" i="9"/>
  <c r="T1580" i="9" s="1"/>
  <c r="R223" i="9"/>
  <c r="T223" i="9" s="1"/>
  <c r="R1434" i="9"/>
  <c r="T1434" i="9" s="1"/>
  <c r="R1338" i="9"/>
  <c r="T1338" i="9" s="1"/>
  <c r="R965" i="9"/>
  <c r="T965" i="9" s="1"/>
  <c r="R1059" i="9"/>
  <c r="T1059" i="9" s="1"/>
  <c r="R1272" i="9"/>
  <c r="T1272" i="9" s="1"/>
  <c r="R852" i="9"/>
  <c r="T852" i="9" s="1"/>
  <c r="R1606" i="9"/>
  <c r="T1606" i="9" s="1"/>
  <c r="R83" i="9"/>
  <c r="T83" i="9" s="1"/>
  <c r="R972" i="9"/>
  <c r="T972" i="9" s="1"/>
  <c r="R1609" i="9"/>
  <c r="T1609" i="9" s="1"/>
  <c r="R1310" i="9"/>
  <c r="T1310" i="9" s="1"/>
  <c r="R799" i="9"/>
  <c r="T799" i="9" s="1"/>
  <c r="R855" i="9"/>
  <c r="T855" i="9" s="1"/>
  <c r="R1593" i="9"/>
  <c r="T1593" i="9" s="1"/>
  <c r="R341" i="9"/>
  <c r="T341" i="9" s="1"/>
  <c r="R1506" i="9"/>
  <c r="T1506" i="9" s="1"/>
  <c r="R46" i="9"/>
  <c r="T46" i="9" s="1"/>
  <c r="R293" i="9"/>
  <c r="T293" i="9" s="1"/>
  <c r="R970" i="9"/>
  <c r="T970" i="9" s="1"/>
  <c r="R124" i="9"/>
  <c r="T124" i="9" s="1"/>
  <c r="R1505" i="9"/>
  <c r="T1505" i="9" s="1"/>
  <c r="R693" i="9"/>
  <c r="T693" i="9" s="1"/>
  <c r="R912" i="9"/>
  <c r="T912" i="9" s="1"/>
  <c r="R1520" i="9"/>
  <c r="T1520" i="9" s="1"/>
  <c r="R551" i="9"/>
  <c r="T551" i="9" s="1"/>
  <c r="R649" i="9"/>
  <c r="T649" i="9" s="1"/>
  <c r="R227" i="9"/>
  <c r="T227" i="9" s="1"/>
  <c r="R33" i="9"/>
  <c r="T33" i="9" s="1"/>
  <c r="R1515" i="9"/>
  <c r="T1515" i="9" s="1"/>
  <c r="R977" i="9"/>
  <c r="T977" i="9" s="1"/>
  <c r="R1276" i="9"/>
  <c r="T1276" i="9" s="1"/>
  <c r="R1519" i="9"/>
  <c r="T1519" i="9" s="1"/>
  <c r="R1021" i="9"/>
  <c r="T1021" i="9" s="1"/>
  <c r="R426" i="9"/>
  <c r="T426" i="9" s="1"/>
  <c r="R1162" i="9"/>
  <c r="T1162" i="9" s="1"/>
  <c r="R1589" i="9"/>
  <c r="T1589" i="9" s="1"/>
  <c r="R1229" i="9"/>
  <c r="T1229" i="9" s="1"/>
  <c r="R123" i="9"/>
  <c r="T123" i="9" s="1"/>
  <c r="R1124" i="9"/>
  <c r="T1124" i="9" s="1"/>
  <c r="R1114" i="9"/>
  <c r="T1114" i="9" s="1"/>
  <c r="R967" i="9"/>
  <c r="T967" i="9" s="1"/>
  <c r="R688" i="9"/>
  <c r="T688" i="9" s="1"/>
  <c r="R976" i="9"/>
  <c r="T976" i="9" s="1"/>
  <c r="R971" i="9"/>
  <c r="T971" i="9" s="1"/>
  <c r="R1231" i="9"/>
  <c r="T1231" i="9" s="1"/>
  <c r="R1340" i="9"/>
  <c r="T1340" i="9" s="1"/>
  <c r="R651" i="9"/>
  <c r="T651" i="9" s="1"/>
  <c r="R1518" i="9"/>
  <c r="T1518" i="9" s="1"/>
  <c r="R1517" i="9"/>
  <c r="T1517" i="9" s="1"/>
  <c r="R1590" i="9"/>
  <c r="T1590" i="9" s="1"/>
  <c r="R1608" i="9"/>
  <c r="T1608" i="9" s="1"/>
  <c r="R744" i="9"/>
  <c r="T744" i="9" s="1"/>
  <c r="R1384" i="9"/>
  <c r="T1384" i="9" s="1"/>
  <c r="R1605" i="9"/>
  <c r="T1605" i="9" s="1"/>
  <c r="R1513" i="9"/>
  <c r="T1513" i="9" s="1"/>
  <c r="R546" i="9"/>
  <c r="T546" i="9" s="1"/>
  <c r="R969" i="9"/>
  <c r="T969" i="9" s="1"/>
  <c r="R1341" i="9"/>
  <c r="T1341" i="9" s="1"/>
  <c r="R915" i="9"/>
  <c r="T915" i="9" s="1"/>
  <c r="R793" i="9"/>
  <c r="T793" i="9" s="1"/>
  <c r="R1311" i="9"/>
  <c r="T1311" i="9" s="1"/>
  <c r="R802" i="9"/>
  <c r="T802" i="9" s="1"/>
  <c r="R1062" i="9"/>
  <c r="T1062" i="9" s="1"/>
  <c r="R974" i="9"/>
  <c r="T974" i="9" s="1"/>
  <c r="R798" i="9"/>
  <c r="T798" i="9" s="1"/>
  <c r="R1607" i="9"/>
  <c r="T1607" i="9" s="1"/>
  <c r="R740" i="9"/>
  <c r="T740" i="9" s="1"/>
  <c r="R1118" i="9"/>
  <c r="T1118" i="9" s="1"/>
  <c r="R258" i="9"/>
  <c r="T258" i="9" s="1"/>
  <c r="R1592" i="9"/>
  <c r="T1592" i="9" s="1"/>
  <c r="R499" i="9"/>
  <c r="T499" i="9" s="1"/>
  <c r="R1022" i="9"/>
  <c r="T1022" i="9" s="1"/>
  <c r="R32" i="9"/>
  <c r="T32" i="9" s="1"/>
  <c r="R854" i="9"/>
  <c r="T854" i="9" s="1"/>
  <c r="R593" i="9"/>
  <c r="T593" i="9" s="1"/>
  <c r="R1233" i="9"/>
  <c r="T1233" i="9" s="1"/>
  <c r="R500" i="9"/>
  <c r="T500" i="9" s="1"/>
  <c r="R125" i="9"/>
  <c r="T125" i="9" s="1"/>
  <c r="R1018" i="9"/>
  <c r="T1018" i="9" s="1"/>
  <c r="R1516" i="9"/>
  <c r="T1516" i="9" s="1"/>
  <c r="R1487" i="9"/>
  <c r="T1487" i="9" s="1"/>
  <c r="R1113" i="9"/>
  <c r="T1113" i="9" s="1"/>
  <c r="R1403" i="9"/>
  <c r="T1403" i="9" s="1"/>
  <c r="R391" i="9"/>
  <c r="T391" i="9" s="1"/>
  <c r="R959" i="9"/>
  <c r="T959" i="9" s="1"/>
  <c r="R29" i="9"/>
  <c r="T29" i="9" s="1"/>
  <c r="R1160" i="9"/>
  <c r="T1160" i="9" s="1"/>
  <c r="R589" i="9"/>
  <c r="T589" i="9" s="1"/>
  <c r="R155" i="9"/>
  <c r="T155" i="9" s="1"/>
  <c r="R222" i="9"/>
  <c r="T222" i="9" s="1"/>
  <c r="R1492" i="9"/>
  <c r="T1492" i="9" s="1"/>
  <c r="R1220" i="9"/>
  <c r="T1220" i="9" s="1"/>
  <c r="R1268" i="9"/>
  <c r="T1268" i="9" s="1"/>
  <c r="R256" i="9"/>
  <c r="T256" i="9" s="1"/>
  <c r="R392" i="9"/>
  <c r="T392" i="9" s="1"/>
  <c r="R1048" i="9"/>
  <c r="T1048" i="9" s="1"/>
  <c r="R1491" i="9"/>
  <c r="T1491" i="9" s="1"/>
  <c r="R905" i="9"/>
  <c r="T905" i="9" s="1"/>
  <c r="R1478" i="9"/>
  <c r="T1478" i="9" s="1"/>
  <c r="R1156" i="9"/>
  <c r="T1156" i="9" s="1"/>
  <c r="R1490" i="9"/>
  <c r="T1490" i="9" s="1"/>
  <c r="R591" i="9"/>
  <c r="T591" i="9" s="1"/>
  <c r="R963" i="9"/>
  <c r="T963" i="9" s="1"/>
  <c r="R646" i="9"/>
  <c r="T646" i="9" s="1"/>
  <c r="R1110" i="9"/>
  <c r="T1110" i="9" s="1"/>
  <c r="R1190" i="9"/>
  <c r="T1190" i="9" s="1"/>
  <c r="R1155" i="9"/>
  <c r="T1155" i="9" s="1"/>
  <c r="R902" i="9"/>
  <c r="T902" i="9" s="1"/>
  <c r="R459" i="9"/>
  <c r="T459" i="9" s="1"/>
  <c r="R1428" i="9"/>
  <c r="T1428" i="9" s="1"/>
  <c r="R1486" i="9"/>
  <c r="T1486" i="9" s="1"/>
  <c r="R1483" i="9"/>
  <c r="T1483" i="9" s="1"/>
  <c r="R1482" i="9"/>
  <c r="T1482" i="9" s="1"/>
  <c r="R497" i="9"/>
  <c r="T497" i="9" s="1"/>
  <c r="R686" i="9"/>
  <c r="T686" i="9" s="1"/>
  <c r="R1481" i="9"/>
  <c r="T1481" i="9" s="1"/>
  <c r="R1485" i="9"/>
  <c r="T1485" i="9" s="1"/>
  <c r="R1050" i="9"/>
  <c r="T1050" i="9" s="1"/>
  <c r="R907" i="9"/>
  <c r="T907" i="9" s="1"/>
  <c r="R390" i="9"/>
  <c r="T390" i="9" s="1"/>
  <c r="R539" i="9"/>
  <c r="T539" i="9" s="1"/>
  <c r="R1495" i="9"/>
  <c r="T1495" i="9" s="1"/>
  <c r="R1573" i="9"/>
  <c r="T1573" i="9" s="1"/>
  <c r="R1572" i="9"/>
  <c r="T1572" i="9" s="1"/>
  <c r="R1480" i="9"/>
  <c r="T1480" i="9" s="1"/>
  <c r="R1017" i="9"/>
  <c r="T1017" i="9" s="1"/>
  <c r="R541" i="9"/>
  <c r="T541" i="9" s="1"/>
  <c r="R846" i="9"/>
  <c r="T846" i="9" s="1"/>
  <c r="R1191" i="9"/>
  <c r="T1191" i="9" s="1"/>
  <c r="R590" i="9"/>
  <c r="T590" i="9" s="1"/>
  <c r="R848" i="9"/>
  <c r="T848" i="9" s="1"/>
  <c r="R1111" i="9"/>
  <c r="T1111" i="9" s="1"/>
  <c r="R1360" i="9"/>
  <c r="T1360" i="9" s="1"/>
  <c r="R1484" i="9"/>
  <c r="T1484" i="9" s="1"/>
  <c r="R847" i="9"/>
  <c r="T847" i="9" s="1"/>
  <c r="R1359" i="9"/>
  <c r="T1359" i="9" s="1"/>
  <c r="R1381" i="9"/>
  <c r="T1381" i="9" s="1"/>
  <c r="R588" i="9"/>
  <c r="T588" i="9" s="1"/>
  <c r="R540" i="9"/>
  <c r="T540" i="9" s="1"/>
  <c r="R1497" i="9"/>
  <c r="T1497" i="9" s="1"/>
  <c r="R1304" i="9"/>
  <c r="T1304" i="9" s="1"/>
  <c r="R1467" i="9"/>
  <c r="T1467" i="9" s="1"/>
  <c r="R1463" i="9"/>
  <c r="T1463" i="9" s="1"/>
  <c r="R1334" i="9"/>
  <c r="T1334" i="9" s="1"/>
  <c r="R954" i="9"/>
  <c r="T954" i="9" s="1"/>
  <c r="R899" i="9"/>
  <c r="T899" i="9" s="1"/>
  <c r="R1217" i="9"/>
  <c r="T1217" i="9" s="1"/>
  <c r="R840" i="9"/>
  <c r="T840" i="9" s="1"/>
  <c r="R457" i="9"/>
  <c r="T457" i="9" s="1"/>
  <c r="R1263" i="9"/>
  <c r="T1263" i="9" s="1"/>
  <c r="R843" i="9"/>
  <c r="T843" i="9" s="1"/>
  <c r="R1265" i="9"/>
  <c r="T1265" i="9" s="1"/>
  <c r="R1262" i="9"/>
  <c r="T1262" i="9" s="1"/>
  <c r="R1331" i="9"/>
  <c r="T1331" i="9" s="1"/>
  <c r="R1470" i="9"/>
  <c r="T1470" i="9" s="1"/>
  <c r="R1466" i="9"/>
  <c r="T1466" i="9" s="1"/>
  <c r="R1426" i="9"/>
  <c r="T1426" i="9" s="1"/>
  <c r="R1264" i="9"/>
  <c r="T1264" i="9" s="1"/>
  <c r="R1465" i="9"/>
  <c r="T1465" i="9" s="1"/>
  <c r="R365" i="9"/>
  <c r="T365" i="9" s="1"/>
  <c r="R733" i="9"/>
  <c r="T733" i="9" s="1"/>
  <c r="R1333" i="9"/>
  <c r="T1333" i="9" s="1"/>
  <c r="R642" i="9"/>
  <c r="T642" i="9" s="1"/>
  <c r="R1303" i="9"/>
  <c r="T1303" i="9" s="1"/>
  <c r="R1425" i="9"/>
  <c r="T1425" i="9" s="1"/>
  <c r="R154" i="9"/>
  <c r="T154" i="9" s="1"/>
  <c r="R538" i="9"/>
  <c r="T538" i="9" s="1"/>
  <c r="R839" i="9"/>
  <c r="T839" i="9" s="1"/>
  <c r="R1469" i="9"/>
  <c r="T1469" i="9" s="1"/>
  <c r="R1330" i="9"/>
  <c r="T1330" i="9" s="1"/>
  <c r="R1355" i="9"/>
  <c r="T1355" i="9" s="1"/>
  <c r="R1464" i="9"/>
  <c r="T1464" i="9" s="1"/>
  <c r="R1151" i="9"/>
  <c r="T1151" i="9" s="1"/>
  <c r="R1297" i="9"/>
  <c r="T1297" i="9" s="1"/>
  <c r="R583" i="9"/>
  <c r="T583" i="9" s="1"/>
  <c r="R779" i="9"/>
  <c r="T779" i="9" s="1"/>
  <c r="R1260" i="9"/>
  <c r="T1260" i="9" s="1"/>
  <c r="R728" i="9"/>
  <c r="T728" i="9" s="1"/>
  <c r="R780" i="9"/>
  <c r="T780" i="9" s="1"/>
  <c r="R641" i="9"/>
  <c r="T641" i="9" s="1"/>
  <c r="R185" i="9"/>
  <c r="T185" i="9" s="1"/>
  <c r="R1298" i="9"/>
  <c r="T1298" i="9" s="1"/>
  <c r="R1454" i="9"/>
  <c r="T1454" i="9" s="1"/>
  <c r="R1299" i="9"/>
  <c r="T1299" i="9" s="1"/>
  <c r="R837" i="9"/>
  <c r="T837" i="9" s="1"/>
  <c r="R1047" i="9"/>
  <c r="T1047" i="9" s="1"/>
  <c r="R1215" i="9"/>
  <c r="T1215" i="9" s="1"/>
  <c r="R1296" i="9"/>
  <c r="T1296" i="9" s="1"/>
  <c r="R1329" i="9"/>
  <c r="T1329" i="9" s="1"/>
  <c r="R1187" i="9"/>
  <c r="T1187" i="9" s="1"/>
  <c r="R1422" i="9"/>
  <c r="T1422" i="9" s="1"/>
  <c r="R1257" i="9"/>
  <c r="T1257" i="9" s="1"/>
  <c r="R1453" i="9"/>
  <c r="T1453" i="9" s="1"/>
  <c r="R1353" i="9"/>
  <c r="T1353" i="9" s="1"/>
  <c r="R1328" i="9"/>
  <c r="T1328" i="9" s="1"/>
  <c r="R1452" i="9"/>
  <c r="T1452" i="9" s="1"/>
  <c r="R1046" i="9"/>
  <c r="T1046" i="9" s="1"/>
  <c r="T877" i="9" l="1"/>
  <c r="T1547" i="9"/>
  <c r="T179" i="9"/>
  <c r="T443" i="9"/>
  <c r="T1287" i="9" l="1"/>
  <c r="T99" i="9" l="1"/>
  <c r="T617" i="9"/>
  <c r="R1652" i="9" l="1"/>
  <c r="T1652" i="9" s="1"/>
  <c r="R1660" i="9"/>
  <c r="T1660" i="9" s="1"/>
  <c r="R1631" i="9" l="1"/>
  <c r="T1631" i="9" s="1"/>
  <c r="R814" i="9" l="1"/>
  <c r="T814" i="9" s="1"/>
  <c r="R1202" i="9"/>
  <c r="T1202" i="9" s="1"/>
  <c r="R747" i="9"/>
  <c r="T747" i="9" s="1"/>
  <c r="R1315" i="9"/>
  <c r="T1315" i="9" s="1"/>
  <c r="R1313" i="9" l="1"/>
  <c r="T1313" i="9" s="1"/>
  <c r="R472" i="9"/>
  <c r="T472" i="9" s="1"/>
  <c r="R1392" i="9"/>
  <c r="T1392" i="9" s="1"/>
  <c r="T310" i="9" l="1"/>
  <c r="T1031" i="9" l="1"/>
  <c r="T437" i="9"/>
  <c r="T655" i="9" l="1"/>
  <c r="T265" i="9"/>
  <c r="T805" i="9"/>
  <c r="T127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Briane Cristine Mendes Correa</author>
    <author>tc={3C5B502F-9905-491F-9DB8-DD87BC633332}</author>
    <author>tc={252A8683-ED2D-43E4-813B-0353A1FC00F0}</author>
  </authors>
  <commentList>
    <comment ref="N627" authorId="0" shapeId="0" xr:uid="{5077AA91-2C53-43EE-A834-2C38B0760A69}">
      <text>
        <r>
          <rPr>
            <b/>
            <sz val="9"/>
            <color indexed="81"/>
            <rFont val="Segoe UI"/>
            <family val="2"/>
          </rPr>
          <t>07/05 - 09/05
15/05/17/05
06/07 - 06/07</t>
        </r>
      </text>
    </comment>
    <comment ref="N664" authorId="0" shapeId="0" xr:uid="{41018923-84BB-4513-B24C-12D23F848D59}">
      <text>
        <r>
          <rPr>
            <b/>
            <sz val="9"/>
            <color indexed="81"/>
            <rFont val="Segoe UI"/>
            <family val="2"/>
          </rPr>
          <t>03/01 - 08/01
09/01 - 14/01</t>
        </r>
      </text>
    </comment>
    <comment ref="K744" authorId="1" shapeId="0" xr:uid="{3C5B502F-9905-491F-9DB8-DD87BC633332}">
      <text>
        <t>[Comentário encadeado]
Sua versão do Excel permite que você leia este comentário encadeado, no entanto, as edições serão removidas se o arquivo for aberto em uma versão mais recente do Excel. Saiba mais: https://go.microsoft.com/fwlink/?linkid=870924
Comentário:
    Alterar para 1 dia afastamento</t>
      </text>
    </comment>
    <comment ref="N884" authorId="0" shapeId="0" xr:uid="{6776F0CC-D7F9-40F1-B388-A7A0CD5A8D93}">
      <text>
        <r>
          <rPr>
            <b/>
            <sz val="9"/>
            <color indexed="81"/>
            <rFont val="Segoe UI"/>
            <family val="2"/>
          </rPr>
          <t xml:space="preserve">04/09 - 05/09
</t>
        </r>
      </text>
    </comment>
    <comment ref="N1035" authorId="0" shapeId="0" xr:uid="{78D2EB3D-5EF0-437F-9E91-20F9C3D909F5}">
      <text>
        <r>
          <rPr>
            <b/>
            <sz val="9"/>
            <color indexed="81"/>
            <rFont val="Segoe UI"/>
            <family val="2"/>
          </rPr>
          <t>11/04 - 25/04
26/04 - 24/06
25/06 - 25/08</t>
        </r>
      </text>
    </comment>
    <comment ref="N1092" authorId="0" shapeId="0" xr:uid="{C0CEFC9E-AA80-4D70-AF3A-5599DBD7C33D}">
      <text>
        <r>
          <rPr>
            <b/>
            <sz val="9"/>
            <color indexed="81"/>
            <rFont val="Segoe UI"/>
            <family val="2"/>
          </rPr>
          <t>24/06 - 01/07
03/07 - 06/07
07/07 - 16/07</t>
        </r>
      </text>
    </comment>
    <comment ref="N1352" authorId="0" shapeId="0" xr:uid="{0C528187-0A98-4AE6-A915-851F26A514B0}">
      <text>
        <r>
          <rPr>
            <b/>
            <sz val="9"/>
            <color indexed="81"/>
            <rFont val="Segoe UI"/>
            <family val="2"/>
          </rPr>
          <t>07/10 - 13/10
14/10 - 19/10
20/10 - 02/11</t>
        </r>
      </text>
    </comment>
    <comment ref="A1609" authorId="2" shapeId="0" xr:uid="{252A8683-ED2D-43E4-813B-0353A1FC00F0}">
      <text>
        <t>[Comentário encadeado]
Sua versão do Excel permite que você leia este comentário encadeado, no entanto, as edições serão removidas se o arquivo for aberto em uma versão mais recente do Excel. Saiba mais: https://go.microsoft.com/fwlink/?linkid=870924
Comentário:
    Incidente (Bens materiais)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84EC7B-A3B1-4009-A0A4-8E666D51FAF9}" keepAlive="1" name="Consulta - Arquivo de Amostra" description="Conexão com a consulta 'Arquivo de Amostra' na pasta de trabalho." type="5" refreshedVersion="0" background="1">
    <dbPr connection="Provider=Microsoft.Mashup.OleDb.1;Data Source=$Workbook$;Location=&quot;Arquivo de Amostra&quot;;Extended Properties=&quot;&quot;" command="SELECT * FROM [Arquivo de Amostra]"/>
  </connection>
  <connection id="2" xr16:uid="{B79ED8E9-D324-47B5-A521-6AAFDA5AF6D5}" keepAlive="1" name="Consulta - Arquivo de Amostra (2)" description="Conexão com a consulta 'Arquivo de Amostra (2)' na pasta de trabalho." type="5" refreshedVersion="0" background="1">
    <dbPr connection="Provider=Microsoft.Mashup.OleDb.1;Data Source=$Workbook$;Location=&quot;Arquivo de Amostra (2)&quot;;Extended Properties=&quot;&quot;" command="SELECT * FROM [Arquivo de Amostra (2)]"/>
  </connection>
  <connection id="3" xr16:uid="{57500424-7935-4146-890F-252C269B85AD}" keepAlive="1" name="Consulta - Consolidado" description="Conexão com a consulta 'Consolidado' na pasta de trabalho." type="5" refreshedVersion="8" background="1" refreshOnLoad="1" saveData="1">
    <dbPr connection="Provider=Microsoft.Mashup.OleDb.1;Data Source=$Workbook$;Location=Consolidado;Extended Properties=&quot;&quot;" command="SELECT * FROM [Consolidado]"/>
  </connection>
  <connection id="4" xr16:uid="{E011B1E5-A1FD-4F22-B978-DB9DD4619B33}" keepAlive="1" name="Consulta - Geração CGT Eletrosul" description="Conexão com a consulta 'Geração CGT Eletrosul' na pasta de trabalho." type="5" refreshedVersion="0" background="1">
    <dbPr connection="Provider=Microsoft.Mashup.OleDb.1;Data Source=$Workbook$;Location=&quot;Geração CGT Eletrosul&quot;;Extended Properties=&quot;&quot;" command="SELECT * FROM [Geração CGT Eletrosul]"/>
  </connection>
  <connection id="5" xr16:uid="{ACAE9E1C-F66C-4C6F-9389-0156BFC97F73}" keepAlive="1" name="Consulta - Geração CHESF" description="Conexão com a consulta 'Geração CHESF' na pasta de trabalho." type="5" refreshedVersion="0" background="1">
    <dbPr connection="Provider=Microsoft.Mashup.OleDb.1;Data Source=$Workbook$;Location=&quot;Geração CHESF&quot;;Extended Properties=&quot;&quot;" command="SELECT * FROM [Geração CHESF]"/>
  </connection>
  <connection id="6" xr16:uid="{61A0DB50-2798-4CD9-96C6-675465CF63FE}" keepAlive="1" name="Consulta - Geração Eletronorte" description="Conexão com a consulta 'Geração Eletronorte' na pasta de trabalho." type="5" refreshedVersion="0" background="1">
    <dbPr connection="Provider=Microsoft.Mashup.OleDb.1;Data Source=$Workbook$;Location=&quot;Geração Eletronorte&quot;;Extended Properties=&quot;&quot;" command="SELECT * FROM [Geração Eletronorte]"/>
  </connection>
  <connection id="7" xr16:uid="{18F21292-8521-409B-8791-04FE7E1A3F1D}" keepAlive="1" name="Consulta - Geração Furnas" description="Conexão com a consulta 'Geração Furnas' na pasta de trabalho." type="5" refreshedVersion="0" background="1">
    <dbPr connection="Provider=Microsoft.Mashup.OleDb.1;Data Source=$Workbook$;Location=&quot;Geração Furnas&quot;;Extended Properties=&quot;&quot;" command="SELECT * FROM [Geração Furnas]"/>
  </connection>
  <connection id="8" xr16:uid="{2D6C3C69-65D6-4FE5-805B-F60AABA79A9A}" keepAlive="1" name="Consulta - Geração TNE" description="Conexão com a consulta 'Geração TNE' na pasta de trabalho." type="5" refreshedVersion="0" background="1">
    <dbPr connection="Provider=Microsoft.Mashup.OleDb.1;Data Source=$Workbook$;Location=&quot;Geração TNE&quot;;Extended Properties=&quot;&quot;" command="SELECT * FROM [Geração TNE]"/>
  </connection>
  <connection id="9" xr16:uid="{C5891CED-C31A-4616-8885-72CE010D16F6}" keepAlive="1" name="Consulta - Transformar Arquivo" description="Conexão com a consulta 'Transformar Arquivo' na pasta de trabalho." type="5" refreshedVersion="0" background="1">
    <dbPr connection="Provider=Microsoft.Mashup.OleDb.1;Data Source=$Workbook$;Location=&quot;Transformar Arquivo&quot;;Extended Properties=&quot;&quot;" command="SELECT * FROM [Transformar Arquivo]"/>
  </connection>
  <connection id="10" xr16:uid="{85B997FC-E341-4D46-B280-94B672C32CF6}" keepAlive="1" name="Consulta - Transformar Arquivo (2)" description="Conexão com a consulta 'Transformar Arquivo (2)' na pasta de trabalho." type="5" refreshedVersion="0" background="1">
    <dbPr connection="Provider=Microsoft.Mashup.OleDb.1;Data Source=$Workbook$;Location=&quot;Transformar Arquivo (2)&quot;;Extended Properties=&quot;&quot;" command="SELECT * FROM [Transformar Arquivo (2)]"/>
  </connection>
  <connection id="11" xr16:uid="{15CD3BFF-F4B0-47AC-BD06-2E4DD324B343}" keepAlive="1" name="Consulta - Transmissão CHESF" description="Conexão com a consulta 'Transmissão CHESF' na pasta de trabalho." type="5" refreshedVersion="0" background="1">
    <dbPr connection="Provider=Microsoft.Mashup.OleDb.1;Data Source=$Workbook$;Location=&quot;Transmissão CHESF&quot;;Extended Properties=&quot;&quot;" command="SELECT * FROM [Transmissão CHESF]"/>
  </connection>
  <connection id="12" xr16:uid="{200ECB49-968A-439E-894F-91AB7CFE2BD5}" keepAlive="1" name="Consulta - Transmissão Eletronorte" description="Conexão com a consulta 'Transmissão Eletronorte' na pasta de trabalho." type="5" refreshedVersion="0" background="1">
    <dbPr connection="Provider=Microsoft.Mashup.OleDb.1;Data Source=$Workbook$;Location=&quot;Transmissão Eletronorte&quot;;Extended Properties=&quot;&quot;" command="SELECT * FROM [Transmissão Eletronorte]"/>
  </connection>
  <connection id="13" xr16:uid="{79E3B83A-FE0C-4384-9D29-058DB5FDFF48}" keepAlive="1" name="Consulta - Transmissão Eletrosul" description="Conexão com a consulta 'Transmissão Eletrosul' na pasta de trabalho." type="5" refreshedVersion="0" background="1">
    <dbPr connection="Provider=Microsoft.Mashup.OleDb.1;Data Source=$Workbook$;Location=&quot;Transmissão Eletrosul&quot;;Extended Properties=&quot;&quot;" command="SELECT * FROM [Transmissão Eletrosul]"/>
  </connection>
  <connection id="14" xr16:uid="{7727B484-1575-42E1-9548-3E5B94C87D7D}" keepAlive="1" name="Consulta - Transmissão Furnas" description="Conexão com a consulta 'Transmissão Furnas' na pasta de trabalho." type="5" refreshedVersion="0" background="1">
    <dbPr connection="Provider=Microsoft.Mashup.OleDb.1;Data Source=$Workbook$;Location=&quot;Transmissão Furnas&quot;;Extended Properties=&quot;&quot;" command="SELECT * FROM [Transmissão Furnas]"/>
  </connection>
</connections>
</file>

<file path=xl/sharedStrings.xml><?xml version="1.0" encoding="utf-8"?>
<sst xmlns="http://schemas.openxmlformats.org/spreadsheetml/2006/main" count="20508" uniqueCount="1847">
  <si>
    <t>Ano</t>
  </si>
  <si>
    <t>Classificação</t>
  </si>
  <si>
    <t>Típico com afastamento</t>
  </si>
  <si>
    <t>Mês</t>
  </si>
  <si>
    <t>Outros</t>
  </si>
  <si>
    <t>Segmento</t>
  </si>
  <si>
    <t>Desvio Crítico</t>
  </si>
  <si>
    <t>Quase Acidente</t>
  </si>
  <si>
    <t>Típico sem afastamento</t>
  </si>
  <si>
    <t>Trajeto com afastamento</t>
  </si>
  <si>
    <t>Trajeto sem afastamento</t>
  </si>
  <si>
    <t>Fatalidade Trajeto</t>
  </si>
  <si>
    <t>Dia</t>
  </si>
  <si>
    <t>Hora</t>
  </si>
  <si>
    <t>Descrição</t>
  </si>
  <si>
    <t>Estado</t>
  </si>
  <si>
    <t>Dias Perdidos</t>
  </si>
  <si>
    <t>Dias Debitados</t>
  </si>
  <si>
    <t>Reabilitado</t>
  </si>
  <si>
    <t>Dias Perdidos Corrigidos</t>
  </si>
  <si>
    <t>Agente Causador</t>
  </si>
  <si>
    <t>Gravidade</t>
  </si>
  <si>
    <t>Potencial</t>
  </si>
  <si>
    <t>Grau de Risco</t>
  </si>
  <si>
    <t>Compromissos (Regra de Ouro)</t>
  </si>
  <si>
    <t>Sim</t>
  </si>
  <si>
    <t>Acima de 10 anos</t>
  </si>
  <si>
    <t>09:00 - 10:00</t>
  </si>
  <si>
    <t>Luxação no cotovelo esquerdo após queda na execução do trabalho.</t>
  </si>
  <si>
    <t>GO</t>
  </si>
  <si>
    <t>Não</t>
  </si>
  <si>
    <t>Médio</t>
  </si>
  <si>
    <t>11 - Não se Aplica</t>
  </si>
  <si>
    <t>10:00 - 11:00</t>
  </si>
  <si>
    <t>Impacto de partícula no olho direito durante limpeza do trafo.</t>
  </si>
  <si>
    <t>RJ</t>
  </si>
  <si>
    <t>Sábado</t>
  </si>
  <si>
    <t xml:space="preserve">Curto circuito durante a conexão dos fusíveis de alimentação do Filtro Prensa </t>
  </si>
  <si>
    <t>SC</t>
  </si>
  <si>
    <t>Queimadura</t>
  </si>
  <si>
    <t>4 - Eletricidade</t>
  </si>
  <si>
    <t>6 meses a 1 ano</t>
  </si>
  <si>
    <t>Fraturas no antebraço - Impacto de eucalipto durante corte de vegetação em vão de LT.</t>
  </si>
  <si>
    <t>ES</t>
  </si>
  <si>
    <t>N/A</t>
  </si>
  <si>
    <t>Golpeado por (atingido por objeto em movimento)</t>
  </si>
  <si>
    <t>6 a 10 anos</t>
  </si>
  <si>
    <t>Sexta-feira</t>
  </si>
  <si>
    <t>16:00 - 17:00</t>
  </si>
  <si>
    <t>Mordedura por piranha no reservatório da UHE Manso.</t>
  </si>
  <si>
    <t>MT</t>
  </si>
  <si>
    <t>Animal</t>
  </si>
  <si>
    <t>Baixo</t>
  </si>
  <si>
    <t>Torceu o tornozelo em um buraco existente no gramado</t>
  </si>
  <si>
    <t>RS</t>
  </si>
  <si>
    <t>Queda mesmo nível</t>
  </si>
  <si>
    <t>2 - Percepção de Risco</t>
  </si>
  <si>
    <t>NA</t>
  </si>
  <si>
    <t>35 a 40 anos</t>
  </si>
  <si>
    <t>13:00 - 14:00</t>
  </si>
  <si>
    <t>Uma dupla de colaboradores da DORPP retornava de uma atividade na SE CCD. Por volta das 13h, o condutor cochilou ao volante, saindo da rodovia, seguindo vegetação adentro até a parada completa do veículo.</t>
  </si>
  <si>
    <t>BA</t>
  </si>
  <si>
    <t/>
  </si>
  <si>
    <t>8 - Veículos e Equipamentos Móveis</t>
  </si>
  <si>
    <t>30 a 35 anos</t>
  </si>
  <si>
    <t xml:space="preserve">O funcionário estava realizando atividade de poda em vegetação com utilização de motosserra quando uma lasca da madeira foi de encontro ao globo ocular, sem ocasionar perfuração, porém houve um trauma. </t>
  </si>
  <si>
    <t>08:00 - 09:00</t>
  </si>
  <si>
    <t>Corte na perna por motoserra, ao realizar atividades de supressão de vegetação.</t>
  </si>
  <si>
    <t>Lesão no dedo ao manusear ferramenta de trabalho.</t>
  </si>
  <si>
    <t>MG</t>
  </si>
  <si>
    <t>Ferramenta Manual</t>
  </si>
  <si>
    <t>11:00 - 12:00</t>
  </si>
  <si>
    <t>Empregado caiu do veículo na SE Itabaiana.</t>
  </si>
  <si>
    <t>SE</t>
  </si>
  <si>
    <t>Queda com diferença de nível</t>
  </si>
  <si>
    <t>Empregado capotou carro de Furnas durante acesso a torre de LT.</t>
  </si>
  <si>
    <t>SP</t>
  </si>
  <si>
    <t xml:space="preserve">Carro - Colisão </t>
  </si>
  <si>
    <t>Durante movimentação de material lenhoso, uma tora de madeira caiu sobre o empregado.</t>
  </si>
  <si>
    <t>RO</t>
  </si>
  <si>
    <t>-</t>
  </si>
  <si>
    <t>Até 6 meses</t>
  </si>
  <si>
    <t>14:00 - 15:00</t>
  </si>
  <si>
    <t>Por volta das 14:15 do dia 01/02/2020, o colaborador estava ajudando na escavação de tubulações, descendo no buraco e retirando terra, o buraco tinha 1 1/2 de comprimento quando o colaborador foi descer na escada, a mesma quebrou ocasionando uma pancada no joelho esquerdo.</t>
  </si>
  <si>
    <t>PR</t>
  </si>
  <si>
    <t>Eletricidade</t>
  </si>
  <si>
    <t>17:00 - 18:00</t>
  </si>
  <si>
    <t xml:space="preserve">Impacto sofrido por pessoa de objeto projetado </t>
  </si>
  <si>
    <t>Atingido por (pontos agudos ou cortantes)</t>
  </si>
  <si>
    <t>10 a 15 anos</t>
  </si>
  <si>
    <t>Limalha de ferro no olho, após atividades na SE Natal III.</t>
  </si>
  <si>
    <t>RN</t>
  </si>
  <si>
    <t>Ao caminhar entre trilhos do transformador, o empregado ficou preso em uma fenda.</t>
  </si>
  <si>
    <t>PA</t>
  </si>
  <si>
    <t>Trauma do punho - Queda do mesmo nível em piso molhado.</t>
  </si>
  <si>
    <t>Lesão no ombro por esforço excessivo durante trabalho em cubículo.</t>
  </si>
  <si>
    <t>Limalha no olho após atividade em subestação</t>
  </si>
  <si>
    <t>20 a 25 anos</t>
  </si>
  <si>
    <t>Torção no pé ao descer de escada na SE Natal II.</t>
  </si>
  <si>
    <t>Escada - Queda</t>
  </si>
  <si>
    <t>RR</t>
  </si>
  <si>
    <t>Moto - Queda</t>
  </si>
  <si>
    <t>Alto</t>
  </si>
  <si>
    <t>20:00 - 21:00</t>
  </si>
  <si>
    <t>Queda da própria altura durante visita à Usina de Furnas.</t>
  </si>
  <si>
    <t>Ataque de abelhas durante deslocamento nas instalações da empresa.</t>
  </si>
  <si>
    <t>Ataque de abelhas próximo à barragem da usina, durante atividades de limpeza de acesso.</t>
  </si>
  <si>
    <t>15:00 - 16:00</t>
  </si>
  <si>
    <t>Ferimento por material perfurocortante, durante teste da covid-19.</t>
  </si>
  <si>
    <t>05:00 - 06:00</t>
  </si>
  <si>
    <t>Tropeçou na fórmica do revestimento do piso que está parcialmente solto, o mesmo se equilibrou para não cair, vindo a forçar o joelho causando dor e inchaço.</t>
  </si>
  <si>
    <t>PE</t>
  </si>
  <si>
    <t>07:00 - 08:00</t>
  </si>
  <si>
    <t>Durante manuseio de feramenta, o empregado deixou cair em seu pé um enxadão.</t>
  </si>
  <si>
    <t>Lesão no ombro por esforço excessivo, ao descarregar material na SE Piripiri.</t>
  </si>
  <si>
    <t>PI</t>
  </si>
  <si>
    <t>Ao caminhar, o empregado não observou a porta de vidro fechada e vindo a colidir com a mesma.</t>
  </si>
  <si>
    <t>Golpeado contra (correndo em direção, tropeçando em)</t>
  </si>
  <si>
    <t>40 a 50 anos</t>
  </si>
  <si>
    <t>Pancada na cabeça em parede durante trabalho remoto.</t>
  </si>
  <si>
    <t>Queda ao descer de ônibus na ida ao trabalho.</t>
  </si>
  <si>
    <t>Queimadura no braço provocada por fogo em equipamento no laboratório de físico-química da empresa.</t>
  </si>
  <si>
    <t>Empregado caiu ao descer do transporte coletivo público ao se dirigir à Empresa.</t>
  </si>
  <si>
    <t>12:00- 13:00</t>
  </si>
  <si>
    <t>Queda do mesmo nível no corredor da empresa, após tropeçar no piso tátil.</t>
  </si>
  <si>
    <t>3 a 6 anos</t>
  </si>
  <si>
    <t>Queda da própria altura ao tropeçar.</t>
  </si>
  <si>
    <t>18:00 - 19:00</t>
  </si>
  <si>
    <t>Queda da própria altura por tropeço no Escritório Central.</t>
  </si>
  <si>
    <t>Escorregou/Desequilibrou</t>
  </si>
  <si>
    <t>Queda da própria altura ao fugir de ataque de marimbondos.</t>
  </si>
  <si>
    <t>O colaborador foi solicitado pelo funcionário da Alupar para que mostrasse os materiais que seriam transportados, ao mostrar os materiais ele movimentou o braço esbarrando no isolador que caiu no pé esquerdo, causando ruptura simples na ponta do dedo.</t>
  </si>
  <si>
    <t>Queda de moto ao realizar serviço para a empresa.</t>
  </si>
  <si>
    <t>15 a 20 anos</t>
  </si>
  <si>
    <t>Acidente de trânsito (engavetamento), após retorno de viagem para a base.</t>
  </si>
  <si>
    <t>PB</t>
  </si>
  <si>
    <t>Acidente automobilístico durante o trabalho.</t>
  </si>
  <si>
    <t>O empregado sofreu um corte na perna ao se chocar com objeto no pátio da SE Cotegipe.</t>
  </si>
  <si>
    <t>Queimadura em dedo devido à choque elétrico em atividades em subestação.</t>
  </si>
  <si>
    <t>Fratura em dedo da mão devido a queda para fugir de um arco elétrico em subestação.</t>
  </si>
  <si>
    <t>Queda de pessoa com diferença de nível em poço, escavação, abertura no piso, etc</t>
  </si>
  <si>
    <t>3 - Trabalho em Altura</t>
  </si>
  <si>
    <t>No dia 10 de março/2021, foi programado viagem de Altamira para Marabá, para transportar o operador Gean Kleber da Silva Carneiro, matrícula 309829. O veículo H-22 (1) conduzido pelo Motorista José Ronaldo Costa Ferreira, durante o deslocamento, aproximadamente 20 Km após a balsa sentido Anapú, ocorreu a colisão do veículo L200, Prefixo H-22, Placa: QEH3282, com uma camionete Fiat TORO (2) que realizava a trajetória contrária, que invadiu a pista forçando o condutor do H-22 desviar e utilizar o acostamento, porém mesmo assim não conseguiu evitar a colisão frontal, após a colisão houve o choque com o talude da pista, fazendo o veículo cruzar a pista no sentindo contrário colidindo com o meio fio da pista e acabou capotando.</t>
  </si>
  <si>
    <t xml:space="preserve"> No dia 02/12.2021, às 10h10, a equipe de segurança do trabalho da Eletronorte, no complexo belo monte, fora acionada pelo Empregado, Sr. Tony Sandro Fernandes dos Santos, que estava com sangramento na mão esquerda o qual informou que tinha sofrido um acidente quando estava tentando normalizar a ligação do motor nº 02 da sala de ventilação nº 05, na usina Belo Monte. De imediato o acidentado foi encaminhado ao ambulatório Santo Agostinho, que fica na área do complexo belo monte, para os procedimentos iniciais necessários, e posteriormente encaminhado para a cidade de Altamira/PA para exames mais detalhados.</t>
  </si>
  <si>
    <t>7 - Bloqueio e Proteção</t>
  </si>
  <si>
    <t xml:space="preserve">Choque elétrico ao socorrer colega que teve contato acidental com o polo da fase B do disjuntor DJ122, durante a manutenção corretiva em cubículo de 13,8 kV </t>
  </si>
  <si>
    <t xml:space="preserve">Ao executar manutenção corretiva no cubículo de 13,8 kV, no DJ122, sofreu descarga elétrica por contato acidental no polo inferior da fase B do referido disjuntor </t>
  </si>
  <si>
    <t xml:space="preserve">Aprisionamento em, sobre ou entre objeto parado. </t>
  </si>
  <si>
    <t>Domingo</t>
  </si>
  <si>
    <t>Durante a realização do serviço de manutenção no transformador elevador BATF6-RESERVA, o empregado necessitou sair do local de trabalho para ir até a ferramentaria e durante o retorno ao local onde estava sendo realizado a manutenção, ao transitar na área em frente ao transformador reserva, no pátio dos transformadores, pisou na borda do ralo da canaleta de drenagem de águas pluviais e torceu o pé direito. Após a queda o empregado tentou se levantar, mas não conseguiu, pois relatou dor.</t>
  </si>
  <si>
    <t>AM</t>
  </si>
  <si>
    <t xml:space="preserve">Estava se deslocando a pé com uma mala de ferramenta da sala de telecomunicação para o estacionamento coberto do EETEL. Na passagem pela lateral do Bloco E (almoxarifado) houve a colisão da cabeça com o suporte da unidade condensadora da central de ar. </t>
  </si>
  <si>
    <t>Contusão na cabeça após impacto de cabo condutor durante o corte na bobina</t>
  </si>
  <si>
    <t>Impacto das costas no guarda corpo após movimento brusco da PTA (cabo aterramento enroscado)</t>
  </si>
  <si>
    <t>DF</t>
  </si>
  <si>
    <t>Escorregão em escada de alvenaria durante descida provocando contusão muscular lombar</t>
  </si>
  <si>
    <t>Corte por facão em atividade de supressão de vegetação.</t>
  </si>
  <si>
    <t>Queimaduras múltiplas durante combustão do álcool 92,8° usado na limpeza de seccionadora</t>
  </si>
  <si>
    <t>Contusões em partes múltiplas por tentar parar caminhão em deslocamento sem motorista.</t>
  </si>
  <si>
    <t>Atingido entre ou abaixo (esmagado ou amputado)</t>
  </si>
  <si>
    <t>Pancada na cabeça devido à chave que escorregou da mão do empregado vindo a rotacionar em alta velocidade.</t>
  </si>
  <si>
    <t>Queimadura por arco elétrico provocado por um filete de cobre solto em painel elétrico.</t>
  </si>
  <si>
    <t>Esmagamento de dedo ao recolher escada extensiva após atividades na SE Campina Grande.</t>
  </si>
  <si>
    <t xml:space="preserve">Ao acessar o vestiário pelo basculante o vidro quebrou ocasionando corte nas costas </t>
  </si>
  <si>
    <t>Queimadura na mão ao encostar no escapamento do GMG após o teste</t>
  </si>
  <si>
    <t>Queimadura leve em olho esquerdo por respingo de produto químico</t>
  </si>
  <si>
    <t>Rompimento de hérnia durante movimentação de carga na subestação</t>
  </si>
  <si>
    <t>Transporte manual de carga</t>
  </si>
  <si>
    <t>Realizava uma manobra de retirada da comporta ensecadeira jusante da UG 2, atendendo a manobra de normalização da SI 5544/21s ,quando da tentativa de alinhar os dormentes para colocar a comporta  o dormentes resvalou esmagando  o dedo polegar da mão esquerda</t>
  </si>
  <si>
    <t>MS</t>
  </si>
  <si>
    <t>Acidente motociclístico, no trajeto casa-trabalho.</t>
  </si>
  <si>
    <t>03:00 - 04:00</t>
  </si>
  <si>
    <t>Formação de arco elétrico durante manobra no trabalho.</t>
  </si>
  <si>
    <t>AO INICIAR ABASTECIMENTO DE HIDROGÊNIO NO GERADOR, MANUSEANDO VÁLVULAS PERCEBEU UM CALOR E SENTIU UMA QUEIMAÇÃO NO ROSTO</t>
  </si>
  <si>
    <t>manutenção  na mesa do módulo 03 do  jig, na tentativa de erguela para trocar a cunha usada para nivelar,  a prensa hidráulica escapou e prensou  o dedo polegar da mão esguerda</t>
  </si>
  <si>
    <t>Doença Ocupacional</t>
  </si>
  <si>
    <t>Perda dimiuição audição</t>
  </si>
  <si>
    <t>5 - Espaço Confinado</t>
  </si>
  <si>
    <t>6 - Linha de Perigo</t>
  </si>
  <si>
    <t>9 - Trabalho a Quente</t>
  </si>
  <si>
    <t>10 - Produtos Químicos Perigosos</t>
  </si>
  <si>
    <t xml:space="preserve"> Ao subir na torre dei um mal jeito no joelho</t>
  </si>
  <si>
    <t>Contusão após prensamento dos pés entre tampa de concreto e canaleta de cabos</t>
  </si>
  <si>
    <t>Acidente de trânsito com veículo da empresa (colisão com veículo de terceiro).</t>
  </si>
  <si>
    <t>Queda de carroceria de caminhão ao tentar descer.</t>
  </si>
  <si>
    <t>No desenvolvimento da atividade de implantação de rede de cabeamento óptica na zona rural do município de Itapuã do Oeste as margem da rodovia RO 458 KM 15, estado do Rondônia, por volta das 11:00 hora do dia 20/09/2021, o colaborador Leandro Silva de Souza em sua atividade de linheiro na construção da própria rede onde ouve um rompimento de suporte que prendia a cordoalha delétrica e que veio derrubar o colaborador, que por sua vez está com sua escada apoiada na cordoalha no meio do lance, ao cair de costas o colaborador teve seu braço esquerdo quebrado ao apoiar no chão.</t>
  </si>
  <si>
    <t>Quemadura por choque elétrico durante atividades na cabine de disjuntor no síncrono da SE Recife II.</t>
  </si>
  <si>
    <t>Stress pós-traumático por presenciar acidente de colega (choque elétrico no síncrono da SE Recife II).</t>
  </si>
  <si>
    <t>Acidente ocorrido na Subestação em Ji-Paraná, quando em uma manutenção de serviço de ajuste de seccionadora um cabo prendeu e ao forçar o mesmo se deslocou atingindo a boca do empregado.</t>
  </si>
  <si>
    <t>Ao realizar a manutenção da Bomba do sistema de Blowdowh o trabalhador escorregou e mergulhou a sua perna na água que estava em uma temperatura aproximada de 80 graus, ocasionando queimadura de segundo grau.</t>
  </si>
  <si>
    <t>De acordo com o relato dos colaboradores envolvidos diretamente no serviço no momento da ocorrência. A equipe iria trabalhar na desmontagem da parte superior da bomba d´água gelada do bloco 01 no pátio da usina velha (área de carga/descarga). Eles utilizavam a ponte rolante para içar o equipamento, a fim de posicionar e/ou nivelar a bomba de forma que fosse possível realizar a atividade evitando tombamento, para tanto foi usado um olhal de suspensão tipo parafuso, com uma manilha presa em uma cinta no gancho da ponte rolante. O olhal estava rosqueado no orifício superior da tampa do equipamento. Foi preciso fazer um calço na parte debaixo da referida bomba para garantir sua estabilidade, sendo seu ajuste feito pelo colaborador Marcus de Mesquita Farias, para isso foi feito uma pequena elevação do equipamento, o suficiente para ajustar a peça de madeira usada como calço, nesse momento o olhal sacou do orifício onde foi posto, deixando a bomba arriar machucando o dedo polegar da mão direita do referido colaborador. Nº ORDEM 43000866794 da atividade</t>
  </si>
  <si>
    <t>Fratura no dedo ao colocar tampa de canaleta em subestação.</t>
  </si>
  <si>
    <t>AL</t>
  </si>
  <si>
    <t>Acidente de trânsito (capotamento ao perder o controle) em veículo da empresa.</t>
  </si>
  <si>
    <t>Fratura no pé ocasionada por queda de escada mal posicionada no pátio da SE</t>
  </si>
  <si>
    <t>Lesão no dedo com Impacto do pé direito na base de uma estrutura metálica.</t>
  </si>
  <si>
    <t>Fratura do antebraço por queda de escada na SE Mirueira.</t>
  </si>
  <si>
    <t>O empregado sofreu queimadura na mão direita ao encostar em cabo que estava aquecido após curto.</t>
  </si>
  <si>
    <t xml:space="preserve">AJUSTANDO O CABO NO MOITÃO DO GUINDASTE, O CABO ESCAPOLIU IMPRENSANDO O DEDO DO EMPREGADO </t>
  </si>
  <si>
    <t>Queda da própria altura em terreno escorregadio pela chuva.</t>
  </si>
  <si>
    <t>Queimadura de arco elétrico por aproximar bastão isolante de ponto energizado na SE Piripiri.</t>
  </si>
  <si>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</si>
  <si>
    <t>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Como estava ao solo, a eletricista Gilvania sofreu queda ao mesmo nível, entretanto não foi atingida pelo arco elétrico.</t>
  </si>
  <si>
    <t>Queda devido a escorregão em poça de água no estacionamento da empresa.</t>
  </si>
  <si>
    <t>Queda de mesmo nível</t>
  </si>
  <si>
    <t>Queda no corredor da empresa (edf. sede).</t>
  </si>
  <si>
    <t>Queda em piso molhado em área administrativa.</t>
  </si>
  <si>
    <t>Queda em calçada ao se deslocar de uma instalação para outra no complexo sede.</t>
  </si>
  <si>
    <t>Pancada do dedo mínimo do pé esquerdo em armário na área administrativa.</t>
  </si>
  <si>
    <t xml:space="preserve">18:00 - 19:00 </t>
  </si>
  <si>
    <t>Contusão na perna devido à queda em canaleta externa na SE Bongi ao sair do trabalho.</t>
  </si>
  <si>
    <t>Queda em calçada irregular.</t>
  </si>
  <si>
    <t>19:00 - 20:00</t>
  </si>
  <si>
    <t>Queda de andaime de 2 metros ao retirar o cinto de segurança durante a descida do mesmo</t>
  </si>
  <si>
    <t>Contusão superficial na perna esquerda após batida em uma mesa de vidro na Eletrobras</t>
  </si>
  <si>
    <t>Acidente automobilístico ao ir para o trabalho.</t>
  </si>
  <si>
    <t>Batida na cabeça em equipamento do pátio da subestação.</t>
  </si>
  <si>
    <t>Corpo estranho no olho</t>
  </si>
  <si>
    <t>Durante o carregamento das caixas de papelão para caminhonete, em um determinado momento, o acidentado sentiu uma picada e que logo em seguida avistou o animal peçonhento (escorpião) na lateral da caixa. Ao perceber que a picada havia sido realmente do animal peçonhento, o aci_x0002_dentado ficou muito agitado e logo foi levado para a Unidade de pronto atendi_x0002_mento de Rondonópolis, onde foi atendido, medicado e ficou em observação du_x0002_rante aproximadamente 08 horas.</t>
  </si>
  <si>
    <t>Acidente de trânsito com veículo Chesf (engavetamento causado por caminhão sem freios).</t>
  </si>
  <si>
    <t>Durante realocação de uma bromélia foi atacado por uma serpente</t>
  </si>
  <si>
    <t>Amputação de 2 dedos da mão esquerda durante corte e preparo de abóbora na cozinha do canteiro</t>
  </si>
  <si>
    <t>Fratura de 4 dedos do pé esquerdo após queda de peça durante montagem de torre</t>
  </si>
  <si>
    <t xml:space="preserve">Durante realização da desmontagem do telhado do cubiculo de 13.8 kV , na SE DRO, houve batida do joelho esquerdo contra ferragem do referido cubículo. Sentindo fortes dores no momento  </t>
  </si>
  <si>
    <t>Queda de disjuntor durante seu içamento causando traumas na região do tórax do empregado</t>
  </si>
  <si>
    <t>Cortes no dedo e palma da mão após manobra errrada ao manusear lixadeira</t>
  </si>
  <si>
    <t>Acidente automobilístico durante deslocamento entre subestações</t>
  </si>
  <si>
    <t>Queda com diferença de nível (4 m) em piso falso aberto na usina.</t>
  </si>
  <si>
    <t>Queda ao tentar passar por cerca na faixa de servidão de LT.</t>
  </si>
  <si>
    <t>CE</t>
  </si>
  <si>
    <t>Lesão no ombro durante manutenção do grupo gerador (GGE) na SE Sobral II.</t>
  </si>
  <si>
    <t xml:space="preserve">O empregado pisou no trilho do trafo (parte de ferro rente ao chão) como estava úmido devido a chuva que ocorreu, o pé escorregou virou pro lado e houve uma queda, causando muita dor no tornozelo esquerdo do empregado.   </t>
  </si>
  <si>
    <t>Corte no punho por queda de equipamento em laboratório da empresa.</t>
  </si>
  <si>
    <t>Queda em altura de prancha sobre carreta durante descarregamento de material.</t>
  </si>
  <si>
    <t>Queda de mesmo nível no pátio da subestação.</t>
  </si>
  <si>
    <t>Passando pela canaleta a mesma rompeu provocando queda</t>
  </si>
  <si>
    <t>Choque elétrico ao desequilibrar e encostar a mão em ponto energizado do AT4</t>
  </si>
  <si>
    <t>Acidente de Trânsito</t>
  </si>
  <si>
    <t>Lesão na mão provocada por choque elétrico durante atividades no almoxarifado em Abreu e Lima.</t>
  </si>
  <si>
    <t>Lesão na mão provocada por choque elétrico durante atividades no aloxarifado em Abreu e Lima.</t>
  </si>
  <si>
    <t>Fatalidade</t>
  </si>
  <si>
    <t>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t>
  </si>
  <si>
    <t xml:space="preserve"> Impacto de pessoa contra objeto em movimento. Estava realizando o trabalho habitual diário quando ao soltar o ponto do vergalhão, o mesmo veio atingir a cabeça do funcionário. Ou seja, a ponta de ferro da armadura da casa de força se desprendeu e atingiu o funcionário na cabeça.</t>
  </si>
  <si>
    <t>Contusão no indicador esquerdo, após queda da placa do piso elevado</t>
  </si>
  <si>
    <t>Queimadura de 2º grau na mão direita após indução em atividade de Linha Viva</t>
  </si>
  <si>
    <t>23:00 - 00:00</t>
  </si>
  <si>
    <t>Colisão do carro com animal na pista</t>
  </si>
  <si>
    <t>Explosão da fábrica de hidrogênio</t>
  </si>
  <si>
    <t>Explosão</t>
  </si>
  <si>
    <t>Explosão de cilindros de hidrogênio durante processo de envase.</t>
  </si>
  <si>
    <t>Durante processo de descida do empregado, ele bateu o pé na estrutura metálica.</t>
  </si>
  <si>
    <t>Empregado escorregou e caiu da escada quando estava subindo com uma laranja e uma faca na mão.</t>
  </si>
  <si>
    <t>1 a 3 anos</t>
  </si>
  <si>
    <t>Queda da própria altura com lesão nos joelhos ao tentar escapar de enxame de marimbondos</t>
  </si>
  <si>
    <t>Queda ao sair do veículo, durante o trabalho</t>
  </si>
  <si>
    <t>Empregado subiu em estante de forma incorreta para alcançar uma caixa, escorregou e lesionou-se no tórax</t>
  </si>
  <si>
    <t xml:space="preserve">19:00 - 20:00 </t>
  </si>
  <si>
    <t>Luxação da articulação do ombro, em 12/09/2022, motivado por acidente do tipo queda de  bicicleta no trajeto de retorno para residência após o expediente laboral da segunda-feira, 12/09/2022, próximo às 18h00, ocorrido na Avenida Jequitibá, Águas Claras, no estacionamento em frente à Associação dos metroviários, trajeto final para a chegada à residência localizada na Quadra 209, Lote 4, Residencial Vivian Valois.</t>
  </si>
  <si>
    <t>Torção do joelho direito durante transporte manual de um mourão</t>
  </si>
  <si>
    <t>Fratura no dedo da mão devido à queda de motocicleta ao retornar do trabalho.</t>
  </si>
  <si>
    <t>Queimadura nas pernas por arco elétrico na SE Campina Grande II.</t>
  </si>
  <si>
    <t>Lesão nos olhos por arco elétrico na SE Campina Grande II.</t>
  </si>
  <si>
    <t xml:space="preserve">Empregado tropeçou em cabo ao solo vindo a cair. Na tentativa de desvencilhar-se do cabo, intensificou o impacto ao solo. </t>
  </si>
  <si>
    <t xml:space="preserve">Queda de motocicleta durante o trajeto de retorno do trabalho para a residência. </t>
  </si>
  <si>
    <t xml:space="preserve">O colaborador estava retornando do trabalho para sua residencia, ao ver fezes de animais na rodovia, caida de um caminhão, desequilibrou e perdeu o controle da sua motocicleta. </t>
  </si>
  <si>
    <t xml:space="preserve">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 </t>
  </si>
  <si>
    <t>Queda de bicicleta ao voltar para casa.</t>
  </si>
  <si>
    <t xml:space="preserve">Projeção de ácido sulfúrico durante retirada de manômetro avariado. Não havia outras testemunhas da CGT Eletrosul, apenas pessoal da EQSERV que estava trabalhando no local. </t>
  </si>
  <si>
    <t xml:space="preserve">Estava retirando rebarba de junta de tecnil quando o estilete escapou e atingiu meu dedo  </t>
  </si>
  <si>
    <t>02:00 - 03:00</t>
  </si>
  <si>
    <t>Durante movimentação manual de uma régua trancada, ocorreu um grande desconforto muscular no braço direito devido ao esforço físico realizado em posição inadequada.</t>
  </si>
  <si>
    <t>Estava descendo a escada e escorreguei em pedras de carvão acumuladas na mesma, caindo de costas na escada</t>
  </si>
  <si>
    <t>Após impelir várias vezes a turfa, utilizando uma pá para este fim, empregado sentiu uma dor muito forte no ombro esquerdo.</t>
  </si>
  <si>
    <t xml:space="preserve">O empregado ajoelhou para verificar se o motor estava com os "pés" soltos e ao retornar a posição normal sentiu dor nas costas. </t>
  </si>
  <si>
    <t xml:space="preserve"> Ao sair da rampa o empregado escorregou em uma poça com barro e, para evitar lesão, apoiou mão direita no chão. </t>
  </si>
  <si>
    <t>Ao subir escada marinheiro, escorregou e se desequilibrou batendo a cabeça na estrutura da escada.</t>
  </si>
  <si>
    <t xml:space="preserve"> Empregado escorregou na travessia para o ESP1, torcendo o joelho esquerdo. </t>
  </si>
  <si>
    <t xml:space="preserve">Ao se deslocar para seu posto de trabalho, tropeçou em desnível na calçada ao lado do sistema de desmineralização, levando à queda com lesões. </t>
  </si>
  <si>
    <t xml:space="preserve">Ao finalizar o fechamento da válvula do cilindro, a chave escapou acertando a testa </t>
  </si>
  <si>
    <t xml:space="preserve"> Impacto de pessoa contra objeto parado. Ela estava dirigindo pra casa e um caminhão que trafegava no sentido contrário não deu luz baixa, com isso ela acabou perdendo o controle do carro, saiu da pista e bateu em uma árvore.</t>
  </si>
  <si>
    <t>Queimadura por arco elétrico.</t>
  </si>
  <si>
    <t xml:space="preserve">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  </t>
  </si>
  <si>
    <t xml:space="preserve">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 </t>
  </si>
  <si>
    <t>O mesmo sofreu uma indução durante a retirada indevida de um aterramento durante realização da atividade no 
desligamento programado.</t>
  </si>
  <si>
    <t>Acidente de trânsito (perda de controle) ao se deslocar para uma subestação.</t>
  </si>
  <si>
    <t>Pancada na boca pelo retono de uma manivela de chave seccionadora no pátio da subestação.</t>
  </si>
  <si>
    <t>Esmagamento de dedo na porta do veículo</t>
  </si>
  <si>
    <t>Queda de veículo ao descarregar material, sofrendo corte por cerâmica quebrada.</t>
  </si>
  <si>
    <t>Acidente de trânsito (abalroamento com outro veículo) ao retorna para o hotel.</t>
  </si>
  <si>
    <t>Queda de cadeira</t>
  </si>
  <si>
    <t>MA</t>
  </si>
  <si>
    <t>Acidente de trajeto</t>
  </si>
  <si>
    <t>Queda e pancada por desequílibrio provocado por esforço excessivo.</t>
  </si>
  <si>
    <t>Queda de moto ao se dirigir ao serviço, quando foi se evadir de uma tentativa de assalto.</t>
  </si>
  <si>
    <t xml:space="preserve"> Empregado estava soltando um rolo de cabo escolta (cabos utilizados no tifor) dentro da concha da máquina retroescavadeira quando sofreu torção nas costas. </t>
  </si>
  <si>
    <t>Pancada no rosto pelo retono de uma manivela de chave seccionadora no pátio da subestação.</t>
  </si>
  <si>
    <t>Lesão no punho por queda no mesmo nível.</t>
  </si>
  <si>
    <t>Ataque de abelhas durante atividade.</t>
  </si>
  <si>
    <t>Distensão muscular nas costas por escorregão em piso.</t>
  </si>
  <si>
    <t>Fratura no dedo da mão por aprisionamento em macaco usado para troca de pneu de trator.</t>
  </si>
  <si>
    <t>Capotamento ocorrido na Rodovia SC 108 envolvendo o veículo V1 FORD/KA FLEX (MKQ8656) , conduzido pelo empregado no trajeto de retorno à residência.</t>
  </si>
  <si>
    <t>Carro - Capotamento</t>
  </si>
  <si>
    <t xml:space="preserve">Capotamento ocorrido na Rodovia SC 108 envolvendo o veículo V1 FORD/KA FLEX (MKQ8656) </t>
  </si>
  <si>
    <t xml:space="preserve">Ao efetuar a escalda da torre,  bateu o joelho na estrutura de maneira abrupta. </t>
  </si>
  <si>
    <t>Na construção da nova baia de contenção para materiais químicos e na realização de transferencia de IBC´s na Usina UTE Mauá o empregado terceiro se dirigia para o almoço, quando se distraiu atendendo o celular e bateu a cabeça contra uma barra de ferro.</t>
  </si>
  <si>
    <t>Colisão da chave combinada 24" com o braço esquerdo durante o processo de soltura da porca do regulador variável do estai da torre 287.</t>
  </si>
  <si>
    <t>Choque elétrido e eletroplessão (eletrocussão)</t>
  </si>
  <si>
    <t>21:00 - 22:00</t>
  </si>
  <si>
    <t>Óbito do empregado por acidente automobilístico, ao ir para o trabalho.</t>
  </si>
  <si>
    <t xml:space="preserve">Na tentativa de movimentar os cabos condutores para liberar os acessórios e ferragens retorcidas das torres, o cabo para-raio, que estava submerso e, portanto, não visível, se soltou abruptamente atingindo a perna do empregado acidentado causando a lesão.  </t>
  </si>
  <si>
    <t>Empregado, ao descer do veículo para inspeção terrestre, bateu o joelho no paralama dianteiro do veículo.</t>
  </si>
  <si>
    <t xml:space="preserve">A carroceria de um caminhão que estava se deslocando em uma curva, próximo onde a empregada estava, atingiu o braço da mesma, que estava na calçada após descer do transporte coletivo. </t>
  </si>
  <si>
    <t>Carro - Atropelamento</t>
  </si>
  <si>
    <t xml:space="preserve">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 </t>
  </si>
  <si>
    <t>Tombamento de veículo da empresa durante deslocamento à trabalho</t>
  </si>
  <si>
    <t>Corte na orelha provocado por queda de objeto sobre a cabeça em atividades na SE Abaixadora.</t>
  </si>
  <si>
    <t>Queda de bicileta durante retorno para a residência.</t>
  </si>
  <si>
    <t xml:space="preserve">Ao cair, apoiou a mão direita no chão, sofrendo corte. </t>
  </si>
  <si>
    <t>Fratura no dedo por queda de objeto sobre ele.</t>
  </si>
  <si>
    <t>Queda em calçada provocando luxação no pé.</t>
  </si>
  <si>
    <t xml:space="preserve">O empregado foi atacado por abelhas quando acompanhava o serviço de manobra das comportas de controle do lago Delmiro Gouveia </t>
  </si>
  <si>
    <t>Estava no pátio do transporte tirando fotos de alguns veículos velhos que serão disponibilizados para alienação, então ao verificar uma l200 foi surpreendido por abelhas que picaram os dois braços</t>
  </si>
  <si>
    <t>Luxação no dedo ao descarregar materiais.</t>
  </si>
  <si>
    <t>NO MOMENTO DE REGISTRAR o ponto, A EMPREGADA PISOU nUM TAPETE escorregando e BATendo O JOELHO DIREITO E O COTOVELO NO CHÃO</t>
  </si>
  <si>
    <t>Queima no rosto devido à solução de bateria que explodiu.</t>
  </si>
  <si>
    <t>Produto ou Substância Química</t>
  </si>
  <si>
    <t>Corte na cabeça devido a impacto em objeto parado.</t>
  </si>
  <si>
    <t xml:space="preserve">O empregado acidentado, após o registro do ponto, em seu horário de almoço, acessou um trecho da via interna, que estava em processo de pavimentação, etapa de planificação por nivelamento arenoso, que apresentava irregularidades devido às fortes chuvas dos dias ante-riores; vale ressaltar, que o trecho em recuperação é um aclive, vindo a cair de sua motocicle-ta. </t>
  </si>
  <si>
    <t>Mão do empregado escorregou, vindo a colidir com a correia do ventilador que estava sendo lubrificado, atingindo braço e dedo.  </t>
  </si>
  <si>
    <t>Ao abrir a porta do armário, a porta cedeu e atingiu a testa da empregada.</t>
  </si>
  <si>
    <t xml:space="preserve">O colaborador estava desenvolvendo sua atividade quando, caminhando e observando um desenho, tropeçou numa peça de borracha do transformador que estava em manutenção vindo a cair, batendo a cabeça na região da testa no chão. </t>
  </si>
  <si>
    <t>Esmagamento por tombamento de reator sobre empregado.</t>
  </si>
  <si>
    <t xml:space="preserve">21:00 - 22:00 </t>
  </si>
  <si>
    <t>Torção no pé ao se dirigir ao trabalho.</t>
  </si>
  <si>
    <t xml:space="preserve">Após o registro do ponto, em seu horário de almoço, acessou um trecho da via interna, que estava em processo de pavimentação, desequilibrou vindo a cair de sua motocicleta. </t>
  </si>
  <si>
    <t xml:space="preserve">Torção do pé direito, no dia 06/04/2022, durante trabalho de inspeção a campo no trecho da LT AN/RB. </t>
  </si>
  <si>
    <t>O empregado escorregou da escada</t>
  </si>
  <si>
    <t>1 - Álcool e Drogas</t>
  </si>
  <si>
    <t>O prestador (acidentado) apoiando seus pés na superfície que receberia o equipamento através de uma fenda circular, a qual foi projetada para acomodar seu eixo até o frange parte mais larga da bucha, tentando posicioná-la manualmente.</t>
  </si>
  <si>
    <t>Durante montagem de andaime, houve deslocamento do mesmo e causando emprensamento do braço do empregado.</t>
  </si>
  <si>
    <t>Durante caminhada o empregado sofreu um escorregão e teve traumatismos superficiais múltiplos do tornozelo e do pé</t>
  </si>
  <si>
    <t>Distensão muscular ao se desequilibrar para evitar uma queda ao solo.</t>
  </si>
  <si>
    <t>Queda em banheiro por piso molhado por empregado com deficiência física (limitação de movimentos).</t>
  </si>
  <si>
    <t>Queda de cadeira com rodízios, quando foi regular o ar condicionado.</t>
  </si>
  <si>
    <t>Queda devido a desnível no piso em um empregado deficiente visiual.</t>
  </si>
  <si>
    <t xml:space="preserve">Num dia chuvoso, havia vários guarda-chuvas na sala, saiu de sua estação de trabalho e foi tratar com outro colega que estava do lado oposto, ao retornar para sua estação de trabalho, ele escorregou no piso molhado e quase caiu. </t>
  </si>
  <si>
    <t>Queda em calçada ao se dirigir a restaurante.</t>
  </si>
  <si>
    <t>Torção do pé ao subir em escada.</t>
  </si>
  <si>
    <t>Queda na rua ("gelo baiano") ao se dirigir par ao almoço.</t>
  </si>
  <si>
    <t>Fratura no joelho provocada por queda em escada de três degraus.</t>
  </si>
  <si>
    <t>Fratura no dedo provocada por pancada em macaco hidráulico.</t>
  </si>
  <si>
    <t>Síndrome do pânico provocada por assédio moral da chefia.</t>
  </si>
  <si>
    <t>Ato de Agressão</t>
  </si>
  <si>
    <t>Corte no calcanhar por objeto que caiu sobre ele.</t>
  </si>
  <si>
    <t>Lesão completa do tendão da mão esquerda após impacto em material cortante de uma válvula</t>
  </si>
  <si>
    <t>Acidente de trajeto com colisão entre sua bicicleta e ônibus</t>
  </si>
  <si>
    <t>Torção de tornozelo esquerdo ao pisar em tampa de drenagem</t>
  </si>
  <si>
    <t>Queda da própria altura ao pisar em bueiro em frente à empresa.</t>
  </si>
  <si>
    <t xml:space="preserve">Queda de diferença de nível </t>
  </si>
  <si>
    <t>Entorse do pé direito ao caminhar de volta para casa.</t>
  </si>
  <si>
    <t>Ferimento na mão esquerda, após manobra com a furadeira.</t>
  </si>
  <si>
    <t>Queimadura na mão esquerda devido a choque elétrico</t>
  </si>
  <si>
    <t>Queda de pessoa com diferença de nível de veículo.   No trajeto do trabalho para casa, em um cruzamento, um veículo não parou e ele tentando desviar, acabou caindo da moto, machucando o braço e cortando o mesmo.</t>
  </si>
  <si>
    <t xml:space="preserve">Quando da realização do resgate de peixes no interior da caixa espiral da Unidade Geradora 1, empregado teve o pé prensado contra um peixe portando ferrão que causou perfuração do seu pé.  </t>
  </si>
  <si>
    <t>Empregado sem permissão transitando em baixo de cesto aéreo que estava avariado e parte do cesto caiu em cima do empregado.</t>
  </si>
  <si>
    <t>Queda por piso molhado.</t>
  </si>
  <si>
    <t>Lesão no punho por queda em escada tipo tesoura.</t>
  </si>
  <si>
    <t xml:space="preserve">Queda da própria altura no ambiente de trabalho com lesão no joelho direito </t>
  </si>
  <si>
    <t xml:space="preserve"> Ao realizar testes com multimetro para medição de tensão nos  barramentos, inclinou/girou  a ponteira do multÍmetro entre os barramentos ocasionando curto circuito entre as fases.  </t>
  </si>
  <si>
    <t>A pedra rolou do material lançado e atingiu seu pé esquerdo.</t>
  </si>
  <si>
    <t>Impacto da porta na região do tornozelo do pé direito</t>
  </si>
  <si>
    <t>Durante escalada da torre de telecomunicações, para manutenção do sistema de iluminação, empregado sentiu dores no braço direito</t>
  </si>
  <si>
    <t xml:space="preserve"> Impacto de pessoa contra objeto parado. De acordo com relatos de outro trabalhador contratado, que estava no mesmo local do acidente, 
o acidentado estava realizando cortes em madeiras na serra circular, em atividades de "cunho" particular. O acidente 
ocorreu no momento em que o empregado tentou retirar com o dedo "mínimo" um pedaço de madeira junto ao disco de 
corte da referida serra que permanecia ligada. </t>
  </si>
  <si>
    <t>Durante caminhada o empregado sofreu um tropeção.</t>
  </si>
  <si>
    <t>Lesão no pé provocada por queda de veículo.</t>
  </si>
  <si>
    <t>06:00 - 07:00</t>
  </si>
  <si>
    <t>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t>
  </si>
  <si>
    <t>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t>
  </si>
  <si>
    <t xml:space="preserve">Queda de pessoa com diferença de nível de escada móvel ou fixada
cujos degraus não permitem o apoio integral do pé. Ao fazer a limpeza da área de vivência e sala de elétrica escorregou ao descer da escada sofrendo uma queda. </t>
  </si>
  <si>
    <t>Queda no mesmo nível por piso molhado.</t>
  </si>
  <si>
    <t>Ao realizar atividade de manutenção corretiva, no momento de puxar uma tampa sentiu fortes dores nas costas.</t>
  </si>
  <si>
    <t>Queimadura nas mãos devido a arco elétrico em painel de baixa tensão.</t>
  </si>
  <si>
    <t>Ao se deslocar para Sobradinho, devido a um buraco, o veículo em que o empregado estava viajando chegou a roda na pista, mas sem maior gravidade.</t>
  </si>
  <si>
    <t>Ataque de peixe ao atuar no viveiro desses animais.</t>
  </si>
  <si>
    <t>Dor no cotovelo ao subir no disjuntor com o uso de cinto de segurança e talabarte.</t>
  </si>
  <si>
    <t>Acidente de trânsito entre motocicleta do empregado e veículo que cruzou sua frente.</t>
  </si>
  <si>
    <t>Moto - Colisão</t>
  </si>
  <si>
    <t>No dia 20/06/2022, aproximadamente às 16h30min, na UPCP setor da ELETRONORTE TUCURUÍ, a funcionária MARLENE ARAUJO DA SILVA, realizava sua atividade laboral nas dependências da ELETROBRÁS / ELETRONORTE. A mesma estava limpando o vitro do banheiro feminino com uma vassoura, quando em um movimento andando para traz pisou em falso na calçada e teve uma leve torsão em seu pé direito, a mesma na hora não sentiu que tinha sofrido uma lesão em seu pé, mas assim que chegou a sua casa começou a inchar seu pé devido ao ocorrido, então no mesmo momento a colaboradora se direcionou a Unidade de pronto atendimento.</t>
  </si>
  <si>
    <t>No dia 24/06/2022, aproximadamente as 07h 30min, na UPCP (Unidade de Propagação e Conservação de Plantas), ambiente da ELETRONORTE - TUCURUÍ, a funcionária da SCOVAN, JOCEANE PEREIRA DA LUZ, estava indo do refeitório para a área onde e realizado o dialogo de segurança do trabalho, com a equipe da UPCP, a mesma veio a cortar caminho por uma subida de gramado, aonde em um movimento brusco de subida veio a sentir sua panturrilha onde aconteceu a lesão muscular.</t>
  </si>
  <si>
    <t>Acidente de transito</t>
  </si>
  <si>
    <t>Durante supressão de vegetação, o empregado atingiu o pé com facão.</t>
  </si>
  <si>
    <t>Queda em caixa aspiral</t>
  </si>
  <si>
    <t>Quando a equipe formada por prestadores (José de Jesus Braga, Manoel do Socorro Costa,  e Edmilson Braga) da empresa MB Servise, acompanhados do operador de munck (Marivan Furtado) empresa Moura, estavam içando uma bucha polimérica para cima de uma estante construída para armazenamento desse tipo de equipamento, ao tentar posicionar o eixo da mesma, e, em função da baixa altura do galpão, além de canaletas de cabos fixadas na cobertura acima da estante, dificultando manobras do guincho do munck, houve necessidade de força humana a de vantagem mecânica para movimentar/posicionar a carga.</t>
  </si>
  <si>
    <t>Sem informação</t>
  </si>
  <si>
    <t>Entorse no pé ao se deslocar de um prédio para outro.</t>
  </si>
  <si>
    <t>Amputação de parte de um dedo por esmagamento em calandra. (torno)</t>
  </si>
  <si>
    <t>Incêndio</t>
  </si>
  <si>
    <t>Empregado tentou abrir janela basculante que estava emperrada, quando o vidro desta janela quebou, provocando corte no supercílio.</t>
  </si>
  <si>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</si>
  <si>
    <t xml:space="preserve">Devido as fortes rajadas de vento ocasionadas por tempestade atipica na região, houve ruptura dos eixos das roldanas superiores, ocacionando o tombamenro do portão principal da casa de força da UHSD atingindo um veiculo estacionado. </t>
  </si>
  <si>
    <t>Devido as rajadas de vento houve o desabamentodo pórtico do vertedouro  em direção a casa de máquinas, a estrutura do pórtico ficou no talude.</t>
  </si>
  <si>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</si>
  <si>
    <t>Durante substituição de esferas, o eletricista de LT conectou equivocadamente o talabarte no porta ferramentas, resultando no rompimento deste, ficando sustentado pelo dispositivo de retenção de quedas (talabarte de segurança).</t>
  </si>
  <si>
    <t>Após saída do local subestação da Eletronorte, a empregada pegou carona com seu pai em uma moto. Ao entrar em uma ponte, o piloto deu passagem para uma outra motocicleta e essa ao ultrapassar, fechou a moto que estava a empregada e ambas colidiram.</t>
  </si>
  <si>
    <t>Durante finalização dos trabalhos o empregado estava efetuando a guarda dos materiasi  de serviço no momento de fechar  a porta ocorreu o prensamento do dedo indicador da mao esuqerda causando hematomas e dor intensa.</t>
  </si>
  <si>
    <t>Queda na mesma altura, machucando o joelho, o punho e o ombro na SE Angelim.</t>
  </si>
  <si>
    <t>Contusão na cabeça durante tombamento do trator</t>
  </si>
  <si>
    <t>Contusão do pé durante movimentação de materiais no canteiro de obras</t>
  </si>
  <si>
    <t>Lesão na mão direita ocasionada por deslizamento e impacto de bobina de cabos elétricos</t>
  </si>
  <si>
    <t>Contusão no rosto, após colisão em peça metálica no pátio da Subestação</t>
  </si>
  <si>
    <t>Queimadura na mão direita ao tocar em parte quente do GMG</t>
  </si>
  <si>
    <t>Pressionamento do dedo da mão esquerda durante remoção de tocos de madeira</t>
  </si>
  <si>
    <t>Ao se deslocar durante inspeção visual, bateu a cabeça em escada no teto do automóvel, sofrendo corte na cabeça</t>
  </si>
  <si>
    <t>Escada - Não amarrada</t>
  </si>
  <si>
    <t>No trajeto de casa para o trabalho, o funcionário perdeu o equilíbrio de sua bicicleta e caiu, sofrendo escoriações e um corte no rosto.</t>
  </si>
  <si>
    <t>Queda da escada durante limpeza de tanque de ar comprimido</t>
  </si>
  <si>
    <t>Queda de diferente nível (Escada), pelo terceirizado da empresa RCA Conservação e Limpeza, causada por desequilíbrio ao descer a escada, pelo Artificie Gregory José Villarreal</t>
  </si>
  <si>
    <t>O técnico ao chegar na instalação foi calçar a bota de segurança e foi picado por um escorpião que se encontrava dentro do calçado.</t>
  </si>
  <si>
    <t xml:space="preserve">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 </t>
  </si>
  <si>
    <t>Impacto de pessoa contra objeto parado</t>
  </si>
  <si>
    <t>Ao realizar limpeza no jardim próximo a uma árvore na qual havia um ninho de cabas (vespas), o empregado foi surpreendido por uma ferroada na nuca e ocasionando dor, vermelhidão e inchaço no local.</t>
  </si>
  <si>
    <t xml:space="preserve">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 </t>
  </si>
  <si>
    <t>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t>
  </si>
  <si>
    <t>Recebeu picada de vespa</t>
  </si>
  <si>
    <t xml:space="preserve">O veiculo da CGT Eletrosul estava parado no semáforo, quando foi atingido na traseira por veiculo de terceiro que tambem tinha sido colidido na traseira por outro veiculo ( engavetamento). </t>
  </si>
  <si>
    <t>O veículo em que o empregado estava foi abalroado por uma motocicleta. Apenas o terceiro sofreu leves escoriações.</t>
  </si>
  <si>
    <t>Abertura involuntária do sistema de fechamento peitoral do cinto de segurança</t>
  </si>
  <si>
    <t>Empregado pisou em tampa de passagem para piso inferior em cabana de proteção em subestação. A tampa também estava mal colocada e caiu no piso inferior, deixando-o exposto.</t>
  </si>
  <si>
    <t>O empregado estava trabalhando na torre 91/1 da LT 05L5 (Olindina/Camaçari II) e após realizar a troca de cadeia tipo "I", 1° intervenção (na função do potencial), quando se preparava para a segunda intervenção na cadeia "V" informou que estava se sentindo mal (ânsia de vômito e tontura) e foi orientado a descer da estrutura.</t>
  </si>
  <si>
    <t>Incêndio ocorrido nos cubículos dos disjuntores de 13,8kV da Usina Térmica de Camaçari que alimentam o Serviço Auxiliar da SE Camaçari II, rede aérea. Não houve vítima, nenhum empregado realizava intervenção ou atividades próximos do cubículo no momento da ocorrência.</t>
  </si>
  <si>
    <t>Durante substituição do pneu danificado (furado) ao retirar o estepe que fica localizado embaixo do veículo (Camionete HILUX) o mesmo caiu em cima do dedo de forma brusca, em virtude de estar travado por barro o mecanismo de liberação.</t>
  </si>
  <si>
    <t>O funcionário encontrava-se realizando trabalho de troca de isolador na estrutura 43/2 da LT 04M1, contrato de reisolamento, quando teve seu braço atingido pelo bastão tensor. O funcionário desceu da estrutura sozinho e foi levado para atendimento médico.</t>
  </si>
  <si>
    <t>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</si>
  <si>
    <t>Queimadura no terceiro dedo da mão esquerda durante soldagem de chapas metálicas</t>
  </si>
  <si>
    <t xml:space="preserve">Em deslocamento SE Piripiri para Teresina, o carro realizou brusca inclinação da carroceria devido a perda da roda traseira, levando o motorista a perder o controle, vindo a cair numa ribanceira ao lado da pista.  </t>
  </si>
  <si>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</si>
  <si>
    <t>Ao fazer o salto, tentou se equilibrar fezendo um movimento com os menbros superiores elevando acima dos ombros, ocasionando dores fortes, necessitando de atendimento médico, segundo o mesmo, nos relatou que atingiu uma lesão que já havia sofrido anos atrás.</t>
  </si>
  <si>
    <t>Impacto de pessoa contra  objeto em movimento.</t>
  </si>
  <si>
    <t xml:space="preserve">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 </t>
  </si>
  <si>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</si>
  <si>
    <t xml:space="preserve">Empresa Themma Transportes, subcontratada da Cemento Del Plata, descarregava cal para o processo de dessulfurização na UTE Candiota, quando, durante a pressurização, o cilindro tanque do caminhão (/carreta) rompeu, tombando em seguida.
</t>
  </si>
  <si>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</si>
  <si>
    <t xml:space="preserve">00:00 - 01:00 </t>
  </si>
  <si>
    <t>Empregado estava deslocando para a Usina utilizando o transporte da empresa e necessitou ir ao banheiro quando estava de pé no corredor o ônibus passou em uma elevação na estrada de chão projetando o trabalhador para cima, vindo a bater com a cabeça no teto ônibus.</t>
  </si>
  <si>
    <t>O empregado estava usando a roçadeira, quanto bateu em algum objeto no chão, o que gerou um impacto contra seu braço/ombro.</t>
  </si>
  <si>
    <t xml:space="preserve">Impacto sofrido por pessoa de objeto que cai. </t>
  </si>
  <si>
    <t>Aprisionamento em, sob ou entre um objeto parado e outro em movimento</t>
  </si>
  <si>
    <t>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t>
  </si>
  <si>
    <t>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t>
  </si>
  <si>
    <t>O  colaborador  ao realizar a desmontagem  de uma chapa de piso do painel    2SA1 - 380V (sala de comando) encostou uma ferramenta  metalica no barramento vindo a ocasionar  um curto circuito entre fase e terra (tensão de 380V).</t>
  </si>
  <si>
    <t>01:00 - 02:00</t>
  </si>
  <si>
    <t>Acidente de trajeto em estrada de terra no municipio de Capitólio</t>
  </si>
  <si>
    <t>Empregado teve polegar esquerdo atingido pela caixa das bobinas que estava desconectada do bloco de comando.</t>
  </si>
  <si>
    <t>Empregado estava me deslocando saindo da SE CND em destino a Petrolina, quando de repente me apareceu na estrada um cavalo de cor escura e ocorreu a colisão frontal. 
Não houve vitimas humanas e nem danos materiais a terceiros.</t>
  </si>
  <si>
    <t>Ao passar pelo trevo de Ibiraci/MG, o caminhão sofreu uma falha no freio, levando-o a parar involuntariamente em uma área de vegetação, o motorista não sofreu nenhum ferimento</t>
  </si>
  <si>
    <t>Durante retirada de uma rampa auxiliar, o colaborador teve o dedo prensado entre a rampa e um olhal do convés.</t>
  </si>
  <si>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</si>
  <si>
    <t xml:space="preserve">Quando do retorno para Teresina, após conclusão da atividade de inspeção de roço nas LT`s 500KV Presidente Dutra / Teresina dois, os empregados que se deslocavam em veículo L200 se envolveram em um acidente de trânsito e houve o capotamento do veículo. </t>
  </si>
  <si>
    <t>Quando do retorno para Teresina, após conclusão da atividade de inspeção de roço nas LT`s 500KV Presidente Dutra / Teresina dois, os empregados que se deslocavam em veículo L200 se envolveram em um acidente de trânsito e houve o capotamento do veículo.</t>
  </si>
  <si>
    <t>Funcionário em deslocamento para inspeção LT CAX/LGR, caiu com a roda dianteira do veiculo em um bueiro.</t>
  </si>
  <si>
    <t xml:space="preserve">Lesão na mão e região lombar pela formação de arco elétrico, durante desconexão de cabos. </t>
  </si>
  <si>
    <t>Lesão no rosto ocasionada por projeção de pedra durante atividade de roçagem</t>
  </si>
  <si>
    <t>Durante corte de grama em desnível, o funcionário escorregou e caiu dentro de uma canaleta</t>
  </si>
  <si>
    <t xml:space="preserve">20:00 - 21:00 </t>
  </si>
  <si>
    <t xml:space="preserve">Lesão do braço ocasionada por objeto cortante durante roçagem </t>
  </si>
  <si>
    <t>Durante roçada de mato no talude da SE Ibiuna, o colaborador tropeçou e caiu, sofrendo inchaço no tornozelo.</t>
  </si>
  <si>
    <t>Ao realizar manutenção em equipamento com parte móveis, não desligou o mesmo e sofreu corte no dedo.</t>
  </si>
  <si>
    <t xml:space="preserve">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  </t>
  </si>
  <si>
    <t>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t>
  </si>
  <si>
    <t>Durante o deslocameto da SE ITA para Xanxere, um veiculo de terceiro perdeu a direção e bateu contra um veiculo de propriedade da CGT Eletrosul</t>
  </si>
  <si>
    <t>Impacto no tórax após rompimento mangueira de ar comprimido</t>
  </si>
  <si>
    <t>Ao afastar-se de uma caixa de marimbondo, o empregado saltou da perna da torre e pisou em falso, torcendo seu tornozelo esquerdo.</t>
  </si>
  <si>
    <t>Empregado  ao conduzir veículo no pátio da SE Recife II, caiu com o pneu em uma vala. Com isso, o empregado fez uma giro rápido no volante do veículo, utilizando apenas a mão esquerda, ocasionando entorse do 2o e 3o dedos da mão esquerda.</t>
  </si>
  <si>
    <t>Queda do empregado Ismael Dourado Ferreira dentro da canaleta de cabos, durante seu deslocamento no pátio da SE Complexo do Prata MT, o fato se deu devido a tampa metálica ter se movido quando ele pisou (a canaleta estava tampada).</t>
  </si>
  <si>
    <t xml:space="preserve">23:00 - 00:00 </t>
  </si>
  <si>
    <t>Ao caminhar no pátio 230 kV sobre canaleta, ela quebrou e o empregado caiu.</t>
  </si>
  <si>
    <t>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t>
  </si>
  <si>
    <t>Funcionários estavam instalando as empancaduras na travessia da LT 138 kV Joinville - WEG Fundição quando houve a queda das traves, devido ao solo "mole"elas cederam, vindo a ocorrer o acidente.</t>
  </si>
  <si>
    <t>Queda de árvore durante corte seletivo na faixa de servidão da LT, sofrendo escoriações na face e tórax</t>
  </si>
  <si>
    <t>Após troca de turno e durante retorno a sua residência, a empregada terceirizada trafegava em uma via de terra batida quando ao passar por cima de um galho caído, sofreu derrapagem da moto e vindo a cair.</t>
  </si>
  <si>
    <t xml:space="preserve">O prestador sofreu acidente de trajeto em deslocamento de moto da residência a caminho do trabalho. Segundo relato, no momento chovia e ao reduzir a velocidade diante de um quebra-molas, perdeu o controle da moto sofrendo queda. </t>
  </si>
  <si>
    <t>Contusão no joelho direito ao cair em desnível no trabalho</t>
  </si>
  <si>
    <t xml:space="preserve">Por volta das 9h20, o operador informou haver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
O operador confirmou que estava fazendo uso da luva nitrílica e da jaqueta FR.
O operador foi encaminhado ao ambulatório aos cuidados da Téc. de Enfermagem, que realizou os procedimentos necessários, não havendo necessidade de encaminhar para atendimento médico externo. Não houve lesão aparente no local atingido.  </t>
  </si>
  <si>
    <t>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t>
  </si>
  <si>
    <t>colaboradora da limpeza da UTE Mauá-3, de empresa terceirizada, ao manipular um galão de água sanitária, passou mal com o forte cheiro, chegando a ter tosse e irritação dos olhos.</t>
  </si>
  <si>
    <t>Devido a falha de operação remota de uma válvula, o operador (turno) se deslocou para realização de manobra manual. Ao realizar a manobra manual com o apoio de uma manopla, a válvula movimentou-se, impactando contra a mão do operador, causando fratura do metacarpo.</t>
  </si>
  <si>
    <t>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t>
  </si>
  <si>
    <t>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t>
  </si>
  <si>
    <t>Empregado estava pendurado na cabine de um trator que tentava desatolar o veículo da Eletrobras Chesf, quando o trator colidiu com um morro lateral.</t>
  </si>
  <si>
    <t>Empregado sofreu lesão no pé provocada por queda de material sobre ele, enquanto trabalhava em estrada de acesso para LT.</t>
  </si>
  <si>
    <t>Colaborador estava na guarita, quando foi picado por um escorpião</t>
  </si>
  <si>
    <t>Queda de bicicleta ao se dirigir para a empresa.</t>
  </si>
  <si>
    <t>Corte no polegar enquanto realizava atividades na SE Messias.</t>
  </si>
  <si>
    <t>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t>
  </si>
  <si>
    <t>Fratura no dedo da mão ao realizar atividades no almoxarifado de Paulo Afonso.</t>
  </si>
  <si>
    <t>Empregado sofreu uma queimadura superficial no braço, ao encostar em um trator que teve a sua parte frontal queimada por um curto circuito na parte elétrica. Não procurou atendimento médico e não nos foi reportado afastamento.</t>
  </si>
  <si>
    <t>O empregado realizava o serviço de supressão de vegetação na LT 05V3 quando foi atacado por uma cobra cascavel. O trabalhador não foi atingido diretamente, pois usava perneira. EPI de uso obrigatório para executar essa atividade.</t>
  </si>
  <si>
    <t>Após concluída a atividade de complementação do gás SF6 no disjuntor, a equipe contratada ao descarregar o cinlindo de 15 kg que estava na carroceria da pick-up na oficina do setor de manutenção, o mesmo veio a cair sobre o pé de um dos contratados, provocando a lesão.</t>
  </si>
  <si>
    <t>Impacto sofrido por pessoa, de objeto que cai</t>
  </si>
  <si>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</si>
  <si>
    <t>Durante limpeza de furos, ao puxar um tubo pressurizado com chave grifo, o suporte atingiu o colaborador, provocando ferimento no lábio</t>
  </si>
  <si>
    <t>Evento que culminou no desligamento intempestivo das Barras I e II na SE Miranda II, durante os serviços de conexão dos cabos de interligação das seccionadoras isoladoras do TR3</t>
  </si>
  <si>
    <t>Ao encerar o piso, a colaboradora escorregou na cera líquida e caiu, sofrendo luxação no joelho esquerdo</t>
  </si>
  <si>
    <t>Empregado ao se deslocar para a Eletrobras Chesf utilizando sua motocicleta, perdeu o controle da condução ao ser fechado por um carro. Ele caiu da moto e machucou a perna e o braço esquerdos.</t>
  </si>
  <si>
    <t>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t>
  </si>
  <si>
    <t xml:space="preserve">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  </t>
  </si>
  <si>
    <t>O empregado próprio queixou-se com a assistente social que tinha sido picado no dedo do pé esquerdo por uma aranha, quando foi calçar a bota ainda em ambiente administrativo da instalação. Ele recebeu a orientação para procurar atendimento médico.</t>
  </si>
  <si>
    <t>Trauma na coluna, após manobra do ônibus em que se encontrava</t>
  </si>
  <si>
    <t>Transporte Publico Regular - Queda</t>
  </si>
  <si>
    <t>Ao andar pela área britada, o funcionário tropeçou e caiu</t>
  </si>
  <si>
    <t>Colaborador foi fazer verificação/levantamento referente aos cabos a serem retirados do painel, quando se abaixou e encostou em cabo energizado de 125Vcc, onde abriu arco elétrico e acabou sofrendo uma descarga elétrica</t>
  </si>
  <si>
    <t>Explosão do disjuntor  1062 da fase A na subestação NSR, ocasionando somente danos materiais. Estilhaços dos isoladores atingiram  uma distância de aproximadamente 50m em ambas laterais.</t>
  </si>
  <si>
    <t xml:space="preserve">O funcionário estava se deslocando de moto para o trabalho, em Gravatai  - RS , quando foi atingido por outra motocicleta  e acabou caindo. Ao se levantar , sentiu dores na perna esquerda, que o levaram a buscar atendimento de emergência em Novo Hamburgo , cidade  onde reside. </t>
  </si>
  <si>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</si>
  <si>
    <t>Colisão entre veículos no trajeto ao trabalho</t>
  </si>
  <si>
    <t>A equipe estava trabalhando no processo de conexão dos cabos de alimentação AC para a chave seccionadora 32T1-4, onde, primeiramente, conectaram o circuito de alimentação trifásico AC do Motor. Em seguida, começaram a conectar o circuito AC da resistência de aquecimento. Ao conectar a primeira cabeação no ponto R4-5, a divisória de proteção entre os pontos vizinhos (R4-4/5) quebrou, sem a percepção do empregao, fechando o curto circuito em 220 Vac entre fases pela chave de fenda. Esse fato gerou uma queimadura na mão esquerda do colaborador.</t>
  </si>
  <si>
    <t>04:00 - 05:00</t>
  </si>
  <si>
    <t xml:space="preserve">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 </t>
  </si>
  <si>
    <t>Parte de concreto de uma tampa de canaleta de passagem de cabos caiu sobre o pé do empregado que nada sofreu, por estar usando botina de segurança.</t>
  </si>
  <si>
    <t>A equipe da empresa terceirizada estava realizando atividades de manutenção na barragem da Usina Apolônio Sales, quando um dos empregados estava colocando seus EPI, estando posicionado na mureta da via junto a lateral dianteira do caminhão Eletrobras Chesf, que estava estacionado e devidamente sinalizado. Um veículo leve, conduzido por um transeunte (ex-Eletrobras Chesf), atingiu a traseira do caminhão. Com o impacto o caminhão deslocou-se e o pneu atingindo o pé do empregado da contratada</t>
  </si>
  <si>
    <t>Impacto sofrido por pessoa, de objeto projetado</t>
  </si>
  <si>
    <t>Empregado ao movimentar-se na escada isolante, a perna direita do eletricista aproximou-se indevidamente do estai existente na estrutura, ocasionando imediatamente o desligamento da LT. Ao descer observou queimadura no pé.</t>
  </si>
  <si>
    <t>Empregados estavam realizando serviço de Roço quando foram surpreendidos por abelhas, reincidindo no dia seguinte. Ocorreram 2 ataques, um em cada dia.</t>
  </si>
  <si>
    <t>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t>
  </si>
  <si>
    <t xml:space="preserve">O empregado Terceirizado, ao realizar a atividade de modernização do dreno de areia, uma peça de cantoneira desprendeu na galeria vertical do dreno de areia 1, bateu na parede e resvalou atingindo o empregado no supercílio,  provocando um corte. </t>
  </si>
  <si>
    <t xml:space="preserve">A empregada do quadro próprio ao se deslocar no pátio da subestação elevadora de USD, desequilibrou-se e caiu para frente, ocasionando lesão nas mãos, joelho e tórax. </t>
  </si>
  <si>
    <t>Ao descer do terceiro patamar do andaime para o segundo, pisou em falso e torceu o pé direito.</t>
  </si>
  <si>
    <t>Passarela/ plataforma permanentes - superfície utilizada para sustentar pessoas</t>
  </si>
  <si>
    <t>Cinta de amarração de peça que estava sendo içada na UHE Paulo Afonso III ficou presa e todo serviço precisou ser paralisado com a carga suspensa.</t>
  </si>
  <si>
    <t>Empregado terceirizado durante acesso ao posto de trabalho na turbina da UG 01G3 da Usina PA IV, ao pisar na plataforma, uma das tábuas do piso movimentou-se fazendo com que o empregado deslocasse para trás e sua perna entrasse no vão do piso, provocando escoriação leve.</t>
  </si>
  <si>
    <t xml:space="preserve">Empregado estava se deslocando de USQ para a Subestação quando percebeu um barulho estranho no veículo e posterior fogo saindo do capô. Saiu rapidamente do veículo e acionou o setor de transporte. O Corpo de Bombeiro foi acionado para debelar o incêndio no veículo. </t>
  </si>
  <si>
    <t>O empregado ao realizar o fechamento do portão de acesso ao vertedouro da usina PA IV como de costume, ao movimentar a parte do portão localizado do lado direito (vista de dentro do vertedouro)  percebeu fagulhas ao posicionar a trava e quando aproximou a segunda parte do portão recebeu uma descarga elétrica que o impulsionou para trás .  Deixando o braço direito do mesmo dolorido.</t>
  </si>
  <si>
    <t>Durante deslocamento com veiculo ao parar o carro constatou que o pneu estava rasgado</t>
  </si>
  <si>
    <t>Durante treinamento da norma IM-MN-LT-M.080 (Trabalho em Altura) em estrutura de concreto, o funcionário da prestadora de serviço após nivelamento com a fiscalização Eletrobras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t>
  </si>
  <si>
    <t>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t>
  </si>
  <si>
    <t xml:space="preserve"> O empregado terceirizado estava se deslocando da sua casa para o trabalho quando perdeu o controle da sua moto e caiu no solo, o que provocou escoriações no braço. </t>
  </si>
  <si>
    <t>Impacto de eucalipto sobre cabeça durante supressão de vegetação</t>
  </si>
  <si>
    <t>Queda da própria altura e perfuração da pele, ao tropeçar em solo com capim seco</t>
  </si>
  <si>
    <t>Queimaduras por indução eletromagnética ao trabalhar com lançamento de cabos OPGW próximo à SE Penedo.</t>
  </si>
  <si>
    <t>Empregado tropeçou em um desnível no piso na UHE Luiz Gonzaga, mas não chegou a cair.</t>
  </si>
  <si>
    <t>Em viagem a serviço, a 7 km da UHE Sobradinho, o carro em que os empregados estavam atropelou um cachorro, ocasionando a quebra do para choque do veículo. Os empregados não sofreram nenhuma lesão.</t>
  </si>
  <si>
    <t>Moto - Atropelamento</t>
  </si>
  <si>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</si>
  <si>
    <t>Durante o comissionamento da substituição da proteção da LT IVP, ao fazer a conexão de um cabo novo no painel da CS1025, dois empregados levaram choque elétrico (63 Vcc).</t>
  </si>
  <si>
    <t>Ao se aproximar da cancela, ela baixou de repente, com risco de atingir o empregado.</t>
  </si>
  <si>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</si>
  <si>
    <t>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t>
  </si>
  <si>
    <t>Durante manobra padrão, ocorreu movimentação indevida das pás do rotor, resultando em danos no andaime</t>
  </si>
  <si>
    <t>Entorse do pé ao descer da caminhonete em vegetação alta</t>
  </si>
  <si>
    <t>Durante colocação de tampas de concreto em canaletas, uma delas caiu sobre seu dedo, causando corte superficial</t>
  </si>
  <si>
    <t>Dois meliantes abordaram o veículo da empresa e ficaram andando com o empregado, fazendo várias paradas pelo caminho. A abordagem só foi encerada devido a um furo no pneu após o veículo cair em um buraco.</t>
  </si>
  <si>
    <t>Colaborador estava retirando resíduos (óleo) de uma canaleta, quando a sua botina ficou presa no resíduo e o mesmo perdeu o equilibrio e escorregou, vindo a bater seu ombro direito no chão.</t>
  </si>
  <si>
    <t>Veículo colidiu com outro veículo</t>
  </si>
  <si>
    <t>O empregado sofreu uma picada de maribondo</t>
  </si>
  <si>
    <t>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</si>
  <si>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</si>
  <si>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 xml:space="preserve">Durante a atividade de substituição do Banco de Baterias da sala do Back to Back, um dos elementos do banco de baterias deslizou e prensou o dedo do profissional contra o rack que suporta o conjunto de baterias e ocasionando um corte em sua mão. </t>
  </si>
  <si>
    <t>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t>
  </si>
  <si>
    <t>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t>
  </si>
  <si>
    <t>Mal subito</t>
  </si>
  <si>
    <t>O operador de Subestação ao se deslocar sobre as tampas das canaletas do pátio do Back to Back no lado de 230kV, sofreu queda de mesmo nível pois uma das tampas cedeu e causando a queda do empregado</t>
  </si>
  <si>
    <t>Incêndio em Transformador de Corrente (TC)  na SE Presidente Dutra.</t>
  </si>
  <si>
    <t>Ao descer escada, o empregado escorregou em um dos degraus.</t>
  </si>
  <si>
    <t>Roçador estava capinando nas proximidades da Portaria principal, que dá acesso a vila de Balbina, quando uma pedra da sua própria roçadeira, atingiu sua boca entrando pela parte de baixo da viseira, fazendo um corte nos lábios, superior e inferior.</t>
  </si>
  <si>
    <t xml:space="preserve">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t>
  </si>
  <si>
    <t>Durante o trajeto de caminhão munck que transportava chaves seccionadoras retiradas da subestação de Mirueira para a subestação do Bongi, houve o rompimento de cinta de amarração do equipamento e queda da chave com quebra de porcelanas.</t>
  </si>
  <si>
    <t>Tropeço e queda na calçada ao se dirigir para o almoço.</t>
  </si>
  <si>
    <t xml:space="preserve">Empregado dirigia veículo da empresa (L200) e, parado em um semáforo, foi atingido por um veículo na traseira. Não houve lesão com os ocupantes do veículo.  </t>
  </si>
  <si>
    <t>Queda de motocicleta ao se dirigir ao trabalho.</t>
  </si>
  <si>
    <t>Empregado sofreu acidente de trajeto - caiu da moto ao atropelar cachorro em via pública - sofreu escoriações pelo corpo e contusão no tornozelo e joelho esquerdo.</t>
  </si>
  <si>
    <t>Empregado voltando do banheiro no final do corredor, próximo à sala B-209, após abrir a porta de vidro perdeu o equilíbrio e caiu dobrando os joelhos e depois com o corpo para trás. Machucou o joelho direito. Relatou dores no local.</t>
  </si>
  <si>
    <t>Durante retracionamento de tramo da LT MIM 2 no momento da abertura da emenda do cabo o empregado da COTESA ficou em série com cabo  levando descarga por induçao devido o trecho estar aterrado em apenas um aldo. Empregado estava no solo.</t>
  </si>
  <si>
    <t>Ao sair da SE MIM, o condutor bateu o veiculo em uma das folhas do portão.</t>
  </si>
  <si>
    <t>Durante a realização de sinalização dos cabos para remoção no painel PPS33, o engenheiro  levou um choque bao encostar em um cabo energizado com 65v.</t>
  </si>
  <si>
    <t>Escorregão na lama durante a inspeção de trecho da Linha de Transmissão</t>
  </si>
  <si>
    <t>AC</t>
  </si>
  <si>
    <t xml:space="preserve">Queda da própria altura ao pisar na própria roupa. </t>
  </si>
  <si>
    <t>Queda da própria altura ao ir a pé para o almoço durante o trabalho, causando ruptura do Tendão de Aquiles</t>
  </si>
  <si>
    <t>Queda da bicicleta após o pneu derrapar em um elevado na calçada</t>
  </si>
  <si>
    <t>Queda de motocicleta, após abalroamento por outro veiculo.</t>
  </si>
  <si>
    <t>Queda de mocicleta na garagem da sede ao vir para o trabalho, causando inchaço do joelho esquerdo</t>
  </si>
  <si>
    <t>Queda de mocicleta na garagem da sede ao vir para o trabalho, causando corte no dedo da mão direita</t>
  </si>
  <si>
    <t>Queda de motocicleta no trajeto da volta para casa, causando fratura na mão direita</t>
  </si>
  <si>
    <t>Ao subir numa escada, a mesma escorregou e o colaborador caiu de uma altura de aprox. 2,5m, vindo a bater com as costas na região do quadril de encontro ao solo</t>
  </si>
  <si>
    <t>Pancada no rosto provocada por sua própria mão durante atividade de içamento de material na SE</t>
  </si>
  <si>
    <t xml:space="preserve">O empregado próprio deslocava de carro de passeio Eletrobras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Eletrobras Chesf frear totalmente, colidindo levemente na traseira do veículo. </t>
  </si>
  <si>
    <t>Queda de torre  LT, devido a alta nos niveis dos rios (chuva).</t>
  </si>
  <si>
    <t>A tampa da canaleta cedeu quando o técnico de manutenção em deslocamento pisou na mesma.</t>
  </si>
  <si>
    <t>Após pausa para uma lanche e enquanto lavava uma caneca de café, o empregado sofreu um pequeno corte no dedo indicador, pois a caneca escorregou de sua mão e quebrou em vários pedaços.</t>
  </si>
  <si>
    <t>Queda de pessoa com diferença de nivel de veiculo. No trajeto do trabalho para casa, em um cruzamento.</t>
  </si>
  <si>
    <t>Duarante atividade de aperto de parafusos, o colega que estava junto,fez um movimento e acabou acertando o nariz do outro colega com o cotovelo.</t>
  </si>
  <si>
    <t>Durante trajeto até o local de trabalho, o empregado saiu do veículo para averiguar o motivo do engarrafamento e tropeçou em um buraco.</t>
  </si>
  <si>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</si>
  <si>
    <t>Acidente de trânsito provocado por um caminhão que perdeu os freios e bateu no veículo da Eletrobras Chesf.</t>
  </si>
  <si>
    <t>Empregada tropeçou e caiu no mesmo nível, provocando luxação no cotovelo. Empregada faz uso de muletas.</t>
  </si>
  <si>
    <t>Durante limpeza de um bebedouro este veio a cair sobre seu pé</t>
  </si>
  <si>
    <t>Queimaduras no rosto provocadas por alimento aquecido com água em forno microondas</t>
  </si>
  <si>
    <t>Acidente de trânsito, com o veículo da empresa sendo abalroado por trás por um veículo de terceiro.</t>
  </si>
  <si>
    <t>Empregado estava roçando a grama, quando ao desviar de uma cobra, acabou caindo em uma diferença de nível.</t>
  </si>
  <si>
    <t xml:space="preserve"> Colaborador João Victor Braga Severo ao deslocar-se torceu o pé direito na base CN02-03, onde estava auxiliando na concretagem, ao torcer o pé relata ter caido nas ferragens batendo a perna, local edemaciado, colocado gelo no local, após encaminhamento para atendimento médico.</t>
  </si>
  <si>
    <t>Funcionario trabalhava sob  uma pancada de 0,70 m de altura quando veio a se desequilibrar caindo no solo sofrendo torção no joelho esquerdo.</t>
  </si>
  <si>
    <t>Queda diferente nivel</t>
  </si>
  <si>
    <t>O funcionario estava dirigindo a moto quando um cachorro se atravessou na frente com tentativa de ataque fazendo se desequilibrar e cair.</t>
  </si>
  <si>
    <t xml:space="preserve">Durante a atividade de lançamento da fase central do cabo condutor no tramo entre as torres T24/1 e T30/1 da LT Coxilha Negra 2 – SE LIV3, a estrutura da torre T24 colapsou, torceu e caiu no solo. </t>
  </si>
  <si>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</si>
  <si>
    <t xml:space="preserve">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 </t>
  </si>
  <si>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</si>
  <si>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</si>
  <si>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</si>
  <si>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</si>
  <si>
    <t>Colaborador Estava Conduzindo Caminhao Basculante Na Estrada De Acesso Externo Ao Parque Eolico Quando Sofreu O Tombamento, Ficando Preso Pelo Cinto De Seguranca</t>
  </si>
  <si>
    <t>Ao Chegar Na Frente De Servico E Descer Do Veiculo, O Colaborador Pisou Em Uma Pedra E Torceu O Pe.</t>
  </si>
  <si>
    <t>O COLABORADOR ESTAVA DESCARREGANDO OBJETOS EM CIMA DA CARROCERIA DO CAMINHAO MUNCK E AO TERMINAR O TRABALHO, QUANDO FOI DESCER DO CAMINHAO O MESMO PULOU PARA O CHAO, PISANDO EM FALSO AO ATERRISSAR, CAUSANDO A TORCAO NO PE DIREITO.</t>
  </si>
  <si>
    <t>Profissional da área de manutenção mecânica, ao deslocar-se ao banheiro utilizando acesso inadequado, esbarrou em um tambor cortado que encontrava-se na baia de residuos, tendo sofrido corte superficial no joelho.</t>
  </si>
  <si>
    <t>Durante a atividade de drenagem, ao proceder a descarga do compactador portátil na vala, a alça do equipamento acabou resvalando no rosto do colaborador causando pequeno ferimento no supercílio.</t>
  </si>
  <si>
    <t>Colaborador trabalhando no pátio do canteiro da empresa Gel quando, ao cortar uma madeira, resvalou a mão em um prego afixado na mesma causando corte superficial na mão. O mesmo foi atendido no ambulatório da obra, submetido a curativo e liberado para voltar ao trabalho.</t>
  </si>
  <si>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</si>
  <si>
    <t xml:space="preserve"> Profissional da empresa ARVUT Meio Ambiente conduzia veículo da empresa em direção ao canteiro de obras de Coxilha Negra pelo acesso municipal quando dormiu ao volante, tendo abalroado o veículo na cerca da estrada. Somente foram evidenciados danos materiais no veículo.</t>
  </si>
  <si>
    <t>Profissional auxiliar de cozinha preparava os alimentos para o almoço da obra quando foi surpreendida pela explosão de uma panela de pressão na cozinha, ocasionando "zumbido" em seus ouvidos além de pequena vermelhidão na pele em razão da projeção de água quente.</t>
  </si>
  <si>
    <t>O profissional conduzia o veículo da empresa após uma vistoria de campo quando, ao chegar ao canteiro, executou uma freada brusca tendo o carro derrapado e atingido um poste, causando pequenos danos materiais no veículo.</t>
  </si>
  <si>
    <t>Na realização da descarga manual de peças de concreto (bloquetes), o profissional teve seu dedo prensado entre a peça e o chão causando uma leve lesão no dedo</t>
  </si>
  <si>
    <t>Durante movimentação para deslocamento até a frente de trabalho, ainda no canteiro de obras, o operador da retroescavadeira da empresa Gel Engenharia esbarrou em um veículo parado causando a quebra do farol.</t>
  </si>
  <si>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</si>
  <si>
    <t>Trabalhador efetuava corte de uma corda presa a um canaflex utilizando uma pequena faca do tipo serra, no canteiro de obras, quando acabou passando a faca sobre a mão , causando uma pequena escoriação.</t>
  </si>
  <si>
    <t>Verificou-se que um principio de incêndio em um gerador instalado no canteiro de obras da empresa Gel Engenharia, próximo ao alojamento, que foi contido sem atingir ninguém ou nenhuma outra estrutura.</t>
  </si>
  <si>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</si>
  <si>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</si>
  <si>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</si>
  <si>
    <t>Durante sua jornada de trabalho, a profissional ao sair da sala, se desequilibrou no degrau da porta (entrada/saida) e, na tentativa de se reequilibrar, pisou em falso no tapete de madeira antiderrapante torcendo o pé direito.</t>
  </si>
  <si>
    <t xml:space="preserve">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 </t>
  </si>
  <si>
    <t>Profissional caminhava pela frente de serviços registrando o avanço quando pisou em um prego. Foi atendido no ambulatório e liberado para retorno ao trabalho. Vacinas em dia.</t>
  </si>
  <si>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</si>
  <si>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</si>
  <si>
    <t xml:space="preserve">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 </t>
  </si>
  <si>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</si>
  <si>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</si>
  <si>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</si>
  <si>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</si>
  <si>
    <t xml:space="preserve">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 </t>
  </si>
  <si>
    <t>O colaborador D.M.R, enquanto ajudava na atividade de descarga de gelo, pisou em falso na diferença de nível entre as carrocerias dos caminhões envolvidos quando bateu o cotovelo direito não apresentando lesão.</t>
  </si>
  <si>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</si>
  <si>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</si>
  <si>
    <t>Estagiário sogreu queda de moto ao se deslocar para usina</t>
  </si>
  <si>
    <t>Durante instalação do cabo de aterramento temporário, o colaborador encostou na ferragem da cadeia de isoladores, levando uma descarga elétrica por indução</t>
  </si>
  <si>
    <t>Durante a realização de poda de arbustos, houve a projeçao de "farpa" no olho direito do empregado.</t>
  </si>
  <si>
    <t>Lesão no dedo indicador ocasionada por prensionamento durante lançamento de cabo condutor</t>
  </si>
  <si>
    <t>Durante transporte de colaboradores, houve quebra do diferencial traseiro, causando pequenos danos materiais.</t>
  </si>
  <si>
    <t>Durante a montagem do 04T1,  na movimentação de um dos suportes do tanque de expansão utilizando o Guindaste, o suporte bateu na escada onde estava o empregado, havendo somente o barulho da pancada e o susto de quem estava na escada, sem grandes consequências.</t>
  </si>
  <si>
    <t>Durante atividade de manutenção de disjuntor 230kV, funcionário sofreu choque elétrico por indução  (hipótese).</t>
  </si>
  <si>
    <t>Deslocamento  de sua residência até a CGT Eletrosul, RMSC- São José</t>
  </si>
  <si>
    <t>Durante atividade de movimentação de carga, para carregar o caminhão com um componente de disjuntor, um dos olhais  acabou soltando, resultando na queda do componente.</t>
  </si>
  <si>
    <t>Fazia a ronda quando pisou numa tampa mal posicionada, levando à queda dentro da caixa de passagem de água e escoriações no joelho e barriga</t>
  </si>
  <si>
    <t>Durante inspeção na UG05, o colaborador caiu do poço de inspeção (aproximadamente 80 cm), sofrendo um pequeno corte na cabeça</t>
  </si>
  <si>
    <t>Durante inspeção, foi verificado no piso presença de rocha de médio porte, devido provável queda do talude no acesso a área dos transformadores</t>
  </si>
  <si>
    <t>Durante deslocamento par a SE Itamarè/ São José do Cerrito ?SC  velocidade aproximada de 40km/h aproximando de uma curva avistou um veiculo e realizou manobra para desviar a estrada estava embarrada e o veiculo obedeceu parcialmente colidindo com a van.</t>
  </si>
  <si>
    <t>Durante corte em barras metálicas foi atingido por fragmentos de um disco de corte, resultando em ferimentos entre os dedos</t>
  </si>
  <si>
    <t>Trabalhador terceirizado ao iniciar escalada em escada de lance único (Tipo de construção civil), sofreu uma queda junto com a escada pois ela sofreu escorregamento.</t>
  </si>
  <si>
    <t xml:space="preserve">Durante o trajeto habitual de ida para o serviço o colaborador sofreu um acidente no transporte público coletivo, devido a uma freada brusca do veículo, ele sofreu um arranhão leve no braço. </t>
  </si>
  <si>
    <t>Ao caminhar do estacionamento para o prédio administrativo, pisou em falso e sofreu entorse do tornozelo direito</t>
  </si>
  <si>
    <t>Ao se deslocar, uma manga caiu e atingiu o funcionário na cabeça. O colaborador se queixou de dor de cabeça.</t>
  </si>
  <si>
    <t xml:space="preserve">Veículo com os colaboradores da Eletrobras Chesf estava parado no sinal vermelho quando foi atingido por uma moto. </t>
  </si>
  <si>
    <t>O veículo colidiu com a traseira de um caminhão</t>
  </si>
  <si>
    <t>Empregado teve fratura em um dedo do pé direito ao ser atingido por uma madeira que estava escorando um portão que estava sendo aberto por ele.</t>
  </si>
  <si>
    <t>Conjuntivite provocada pela entrada de corpo estranho no olho.</t>
  </si>
  <si>
    <t>Puxador da porta de vidro quebrou, fazendo com que ela retornasse rapidamente para o lugar, podendo quebrar.</t>
  </si>
  <si>
    <t>Ao realizar o descarregamento das alavancas sobressalentes do Rotor Kaplan, em uma das peças o pallet de transporte não suportou o peso e veio a romper resultando na queda da peça.</t>
  </si>
  <si>
    <t xml:space="preserve">Durante montagem de motor 03 do poço da turbina, escorregou e ficou pendurado a uma altura de 1,80 m. </t>
  </si>
  <si>
    <t>Funcionário estava realizando a limpeza dos trafos que estavam sobre uma mesa, quando ela quebrou repentinamente, vinda a cair, atingindo o joelho do empregado, causando escoriação.</t>
  </si>
  <si>
    <t>No percurso para a usina atropelou cachorro.</t>
  </si>
  <si>
    <t>Empregado apresentou irritação nos olhos após a realização de atividades na usina de Sobradinho.</t>
  </si>
  <si>
    <t>Empregado apresentou irritação nos olhos, após atividade de limpeza em paineis na usina de Sobradinho.</t>
  </si>
  <si>
    <t>Empregado estava esperando o elevador na UHE Sobradinho, quando a porta abriu, mas ele percerbeu que o elevador não estava no andar. Ele poderia ter caído no poço do elevador.</t>
  </si>
  <si>
    <t xml:space="preserve">A empregada terceirizada estava realizando a mudança de sala, quando em determinado momento já estando de saída do local, pegou o celular e apagou as luzes, ao caminhar veio escorregar devido a presença de água no piso da sala. </t>
  </si>
  <si>
    <t>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t>
  </si>
  <si>
    <t>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t>
  </si>
  <si>
    <t xml:space="preserve">22:00 - 23:00 </t>
  </si>
  <si>
    <t>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t>
  </si>
  <si>
    <t>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t>
  </si>
  <si>
    <t>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t>
  </si>
  <si>
    <t>Empregado foi atacada por marimbondo durante atividade de poda de vegetação.</t>
  </si>
  <si>
    <t>Empregado caiu de sua motocicleta quando se dirigia para a Eletrobras Chesf.</t>
  </si>
  <si>
    <t>Trator que estava atuando na atividade de supressão de vegetação tombou em um buraco.</t>
  </si>
  <si>
    <t>Empregado estava conduzindo veículo da Eletrobras Chesf quando foi abalroado por uma motocicleta. Não houve lesão para nenhum dos envolvidos na ocorrência, apenas pequenos danos materiais na motocicleta.</t>
  </si>
  <si>
    <t xml:space="preserve">O incêndio que ocorreu na tarde de hoje (22/09/2023) iniciou em edificações de terceiros e externas à área da Subestação de Teresina. O incêndio não afetou a área operacional da subestação e não houve qualquer impacto na prestação do serviço de energia elétrica. </t>
  </si>
  <si>
    <t>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t>
  </si>
  <si>
    <t>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t>
  </si>
  <si>
    <t xml:space="preserve">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   </t>
  </si>
  <si>
    <t>O empregado ajustava um o encaixe de tubulação para finalizar o serviço de forma inadvertida e colocou o dedo no momento do encaixe, causando dilaceração da polpa distal do dedo esquerdo pelo prensamento da tubulação originando o acidente.</t>
  </si>
  <si>
    <t>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t>
  </si>
  <si>
    <t>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t>
  </si>
  <si>
    <t>Durante a sincronização da unidade geradora n. 19, houve uma explosão do transformador n. 19 e com propagação de incêndio para Subestação blindada.</t>
  </si>
  <si>
    <t>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t>
  </si>
  <si>
    <t xml:space="preserve">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 </t>
  </si>
  <si>
    <t>após a saída da UHE Tucuruí, em deslocamento para sua residência, o empregado E.L.N, da empresa Scovan, envolveu-se em um acidente em sua motocicleta, vindo a cair e sofrendo um corte em sua mão direita.</t>
  </si>
  <si>
    <t>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t>
  </si>
  <si>
    <t>Durante realização de instalação de cabo de equipotencialização, na passarela de acesso às comportas da casa de força II, localizada na cota 36,75, o colaborador W.R.S teve crise epilética e caiu (mesmo nível), havendo um corte no supercílio esquerdo com escoriação na face.</t>
  </si>
  <si>
    <t>Fraturas de braço e perna após aprisionamento da roupa no eixo girante de um trator</t>
  </si>
  <si>
    <t>Empregado apagou com extintor um princípio de incêndio em um dos polos de um religador na UHE Funil.</t>
  </si>
  <si>
    <t>Contusão nas mãos, após rompimento de corda</t>
  </si>
  <si>
    <t>Apanhado em (agarrado, pendurado)</t>
  </si>
  <si>
    <t>Empregados do almoxarifado escutaram ruido e perceberam falta de energia no local, não identificaram  a causa. Ao religar o disjuntor constatou-se  curto-circuito em uma tomada de resitencia de aquecimento de paineis.</t>
  </si>
  <si>
    <t>Incidente ocorrido na cidade de Xanxerê SC motorista contratado  (foi buscar cabos para atendimento a serviço emergencial desligamento trafo 7 SECNO) quando em uma rotatória a caminho da base da Regional do Oeste foi atingido por um veiculo, do local.</t>
  </si>
  <si>
    <t>Durante supressão e vegetaçao exótica fora faixa ocorreu queda de um eucalipto que tocou a LT Salto Santiago/Ita 525kV ocasionando desligamento</t>
  </si>
  <si>
    <t xml:space="preserve">Queda de isolador polimérico que estava no gancho de espera da linha de mão da equipe de reisolamento Real Energy. Estrutura 146/2 da LT 04C8 fase superior.Não haviam pessoas próximas a queda do isolador. </t>
  </si>
  <si>
    <t>O empregado terceirizado, durante atividade de substituição de isoladores e grampo de suspensão na fase inferior da LT 04N2 JZDSNB, quando foi realizar a transferência dos bastões tensores da mísula central para a mísula inferior, no momento da transferência do gancho de trabalho para o gancho de espera fixado na estrutura, houve a queda de um dos bastões tensores no solo. A queda causou empenamento do parafuso tensor que fica fixado num dos lados do bastão tensor.</t>
  </si>
  <si>
    <t>Incêndio na vegetação do pátio de sucatas do almoxarifado de Abreu e Lima.</t>
  </si>
  <si>
    <t>O colaborador terceirizado estava realizando uma atividade de anotação e movimentação das estruturas metálicas no pátio. Ao passar próximo às estruturas armazenadas, ele bateu com o pé direito na ponta de uma peça de metal, o que resultou no rasgo de sua perneira e, consequentemente, de sua botina. Não houve contato direto com o pé, e nenhuma lesão foi registrada.</t>
  </si>
  <si>
    <t>Durante o recolhimento de restos de embalagens com uso de pá, a equipe de escalonamento de estruturas metálicas foi surpreendida com a presença de uma cobra coral.</t>
  </si>
  <si>
    <t>Motorista estava realizando a baldeação de uma colaboradora que trabalha na UHE Samuel, de Rio Branco-AC para a Subestação de Abunã. Ao retornar para Rio Branco, o veículo perdeu o controle num buraco e colidiu de frente com um Taxi.</t>
  </si>
  <si>
    <t>O empregado terceirizado estava caminhando sobre um container sem cinto de segurança ou qualquer sistema de prevenção de queda.</t>
  </si>
  <si>
    <t>Durante retirada de ninhos na LT, o colaborador foi atacado por um enxame de abelhas (acidentado 2)</t>
  </si>
  <si>
    <t>Durante retirada de ninhos na LT, o colaborador foi atacado por um enxame de abelhas (acidentado 1)</t>
  </si>
  <si>
    <t>Durante lançamento do saco de solo cimento para dentro a erosão, o saco atingiu o funcionário que estava em um nível abaixo, onde foi atingido na região lombar</t>
  </si>
  <si>
    <t>Durante o percurso de volta do banheiro para as suas atividades e ao passar por uma área de grama, pisou em um pedaço de madeira com pregos expostos  e perfurou  o pé direito.</t>
  </si>
  <si>
    <t>Colisão entre motocicletas no acesso às instalações da Eletrobras, sofrendo escoriações na mão direita, dores no pescoço e peito</t>
  </si>
  <si>
    <t>Moto - colisão</t>
  </si>
  <si>
    <t>Ao retirar uma cantoneira do carrinho de mão, uma segunda cantoneira se deslocou e caiu sobre o pé direito do trabalhador</t>
  </si>
  <si>
    <t>Incêndio em área verde próxima ao antigo escritório de obras</t>
  </si>
  <si>
    <t>Ao se deslocar, o colaborador escorregou em resíduo de óleo e chocou sua canela contra um material de metal, provocando um corte na pele</t>
  </si>
  <si>
    <t>Queda de disjuntor de média tensão que estava içado com uma talha. Houve rompimento de um dos elos da corrente e a queda em seguida.</t>
  </si>
  <si>
    <t>Colaborador estava desenvolvendo atividades de montagem de peças metálicas de suporte do disjuntor quanto uma das peças veio a prensar o membro contra a canaleta gerando um corte na palma da mão</t>
  </si>
  <si>
    <t>Ao desembarcar do veículo no pátio da subestação, o trabalhador pisou em falso, causando torção no joelho</t>
  </si>
  <si>
    <t>O empregado próprio, ao ligar a tração dianteira da L200 135321, o carro ficou estranho, um eletricista que estava abrindo o colchete para que adentrassem à faixa notou que algo estava solto embaixo do veículo. Desligando o veículo e olhando embaixo perceberam que os braços do conjunto de tração dianteira estavam soltos.</t>
  </si>
  <si>
    <t>Durante o processo de desconexão do TC 92J2-1.C/BNB, o técnico de manutenção O&amp;M de empresa contratada sofreu um desconforto por indução, quando tocou nesse equipamento.</t>
  </si>
  <si>
    <t>O veículo FORD modelo RANGER, trafegava da Vila dos cabanos sentido vila do conde trafegando pela Av. Padre Casemiro quando veículo modelo FIAT ARGO DRIVE 1.0 trafegando no mesmo sentido fez uma manobra irregular no cruzamento com Av. Dom Romualdo Coelho, atingindo veículo ranger de placa RWU-9J10.</t>
  </si>
  <si>
    <t xml:space="preserve">Trabalhador realizava corte de tubos cilíndricos com esmerilhadeira quando uma faísca atingiu o capim seco, provocando pequeno foco de incêndio. </t>
  </si>
  <si>
    <t>Foi observado empregado terceirizado acessando pátio da Subestação sem utilizar vestimenta retardante a chamas.</t>
  </si>
  <si>
    <t>Durante atividade de jardinagem, a roçadeira de nylon esbarrou em uma pedra e vindo a atingir o dedo indicador da mão esquerda do colaborador ocasionando corte leve.</t>
  </si>
  <si>
    <t>Ao sair da sala de Engenharia Mecânica localizada no Bloco A, o colaborador sofreu uma batida contra atingindo a cabeça na porta divisória que se encontrava aberta ocasionando um corte leve na parte frontal/ lateral da cabeça.</t>
  </si>
  <si>
    <t>O Colaborador ao deslocar-se de bicicleta em seu caminho habitual de sua casa para seu trabalho, perdeu o controle do veículo ocasionando queda e tendo como consequências escoriações e aranhões no corpo.</t>
  </si>
  <si>
    <t>Ao realizar corte de galhos em serviço de jardinagem,  o colaborador foi surpreendido por picada de marimbondo no dedo indicador da mão direta.</t>
  </si>
  <si>
    <t>No início da isolação do Banco de Capacitores 02 (GMBC6-02) para inspeção no disjuntor 12 (GMDJ6-12), foi realizado o comando de abertura pelo COI-G&amp;T sinistrando o disjuntor atingindo um dos empregados.</t>
  </si>
  <si>
    <t xml:space="preserve">a equipe estava serrando partes metálicas de andaimes utilizando a lixadeira quando percebeu que uma fagulha deu início ao fogo no mato seco que estava próximo. A equipe tentou abafar o fogo mas ele se espalhou rapidamente (local aberto com muito vento). Os empregados terceirizados se afastaram por segurança e acionaram o Corpo de Bombeiros que chegou em torno de 20 minutos. </t>
  </si>
  <si>
    <t>Durante o acompanhamento da atividade de troca de espaçadores da torre 35 da LT ARE-CNO 525kV, ao subir na torre para visualizar a atividade, colaborador escorregou e sofreu queda, causando lesão na coxa e braço esquerdo. Ele utilizava EPIs para altura no momento do incidente.</t>
  </si>
  <si>
    <t>Durante a supressão de vegetação fora da faixa de servidão, a árvore principal que estava sendo suprimida atingiu outras árvores secundárias e uma destas atingiu o empregado da empreiteira, causando escoriações e fratura no ombro esquerdo</t>
  </si>
  <si>
    <t xml:space="preserve">Durante deslocamento com caminhão guindauto, ocorreu colisão traseira no veículo (engavetamento), sem lesão ao empregado. </t>
  </si>
  <si>
    <t>O empregado realizava o trajeto casa-trabalho em sua motocicleta quando ao chegar no Centro Cívico e realizar uma curva, deparou-se com outra motocicleta, em sentido contrário, em alta velocidade. Para não colidir, freou bruscamente, perdeu o controle e caiu com a motocicleta por cima de sua perna esquerda, causando escoriações. </t>
  </si>
  <si>
    <t>O Colaborador ao deslocar-se de moto em seu caminho habitual de trabalho para sua residência, ao se aproximar de uma lombada, acionou o freio dianteiro que travou, ocasionando queda e tendo como consequências pequenas escoriações no braço e perna.</t>
  </si>
  <si>
    <t>O colaborador relata que pela manhã, umas 6:20, ao realizar seu trajeto habitual casa/trabalho, ainda na rua de casa, um carro invadiu a preferencial, e no processo de frear a moto, a moto derrapou, fazendo com ele fosse ao chão, após a queda a moto ficou em cima da perna esquerda, conseguiu se levantar e ir por conta própria ao hospital.</t>
  </si>
  <si>
    <t>O Sr. Gutenberck Rodrigues Fonseca deslocou-se de motocicleta de sua residência para o local de trabalho SE Boa Vista. Durante o trajeto sofreu algumas ferroadas de abelhas. Apesar disso, continuou sua jornada até a SE. Ao chegar, apresentou uma reação alérgica e, em decorrência disso, foi encaminhado ao hospital de emergência, onde recebeu a medicação necessária e foi liberado para retornar à sua residência.</t>
  </si>
  <si>
    <t>25 a 30 anos</t>
  </si>
  <si>
    <t>Desconexão do GIB ao Guindaste MD300, provocando a soltura da peça e atingindo a coxa esquerda do empregado, causando escoriações leves</t>
  </si>
  <si>
    <t>O empregado terceirizado prestava apoio na realocação de cercas e aberturas de colchetes para o serviço do trator de esteiras próximo a estrutura 055/1 da LT 04M9 AGL/MSI, quando foi acometido por diversas ferroadas de abelhas.</t>
  </si>
  <si>
    <t>Mordida de cachorro em perna de trabalhador na SE Brasília Geral</t>
  </si>
  <si>
    <t xml:space="preserve">No 3. Subsolo, ao caminhar no corredor em direção ao elevador, a empregado sofreu uma leve torção no pé ao pisar em falso. </t>
  </si>
  <si>
    <t>Durante atividade de desencapar fios de telecomunicações, o empregado sofreu um corte proveniente de estilete.</t>
  </si>
  <si>
    <t>Durante movimento de descida do cesto da PEMT em trabalho de substituição de TC na SE PRD houve o travamento do equipamento sem aceitar comandos. Equipe utilizou escada de apoio para retirada dos 2 O&amp;M do cesto do equipamento.</t>
  </si>
  <si>
    <t>Ao ajudar outro colaborador a subir um carrinho de mão, o profissional teve seu dedo mínimo prensado na roda do objeto, causando um corte</t>
  </si>
  <si>
    <t>o empregado terceirizado, durante a atividade de complementação de gás SF6 na câmara B do disjuntor 14T3 da SE Igaporã III (IGT), quando regulava a pressão do lado jusante do manômetro redutor para a pressão que se deseja inserir no disjuntor, a mangueira do kit de gás estourou. O segmento que estourou foi retirado, foi feito teste de pressão na mangueira, com resultado satisfatório, e concluída a complementação do gás do disjuntor.</t>
  </si>
  <si>
    <t>Durante o deslocamento, o motorista perdeu o controle do veículo, derrapou  e capotou. Os colaboradores não sofreram nenhum tipo de dano.</t>
  </si>
  <si>
    <t>O veículo da Eletrobras CHESF  modelo Palio Weekend de placa PDA 9814 estava em deslocamento na avenida Gal Costa em Salvador, com destino à Subestação Camaçari II. O motorista trafegava com cinto de segurança, dentro do limite de velocidade da via, na pista central, atrás de um veículo modelo Renault Kwid de placa RCY4G00. Havia no local (final da avenida sentido Pirajá) algumas sinaleiras defeituosas com luz amarela acesa constantemente. Ao se aproximar da segunda sinaleira defeituosa da via e perceber que não existia nenhum impedimento para passar pelo cruzamento, o motorista decidiu mudar de faixa e sair do fundo do veículo KWID. Ao olhar para o retrovisor para efetuar a manobra, foi surpreendido com a parada brusca do veículo KWID à sua frente. O veículo Palio weekend da Eletrobras CHESF freou, porém não conseguiu evitar a colisão com a traseira do veiculo KWID. Segundo relato, o condutor do KWID informou que, mesmo observando a sinaleira com defeito - por muito tempo na luz amarela - ao se aproximar, achou que a sinaleira iria fechar e por isso freou de maneira abrupta.</t>
  </si>
  <si>
    <t xml:space="preserve">A dupla da empresa contratada, seguia da subestação de Cotegipe  em direção ao alojamento na cidade de Dias Dávila BA, quando passavam pela BR 324, foi abalroada na traseira por uma carreta. O tempo estava chuvoso e o veículo estava sendo conduzido em baixa velocidade - abaixo do limite da via e condizente com as condições de trânsito e da pista. Após ser atingido o veículo foi para a outra pista do sentido contrário, onde colidiu em dois carros. Os ocupantes dos veículos envolvidos não sofreram nenhum ferimento e faziam o uso do cinto de segurança. A carreta não parou e seguiu viagem após a colisão. </t>
  </si>
  <si>
    <t>Colaborador da Bureau Veritas/BV, responsável pela qualidade, estava acompanhando as atividades de instalação de reforço em uma linha de transmissão, posicionado na estrutura da torre, quando uma das peças utilizadas no reforço caiu de uma altura aproximada de 4,5 metros. A peça colidiu com a estrutura da torre e atingiu o capacete do colaborador, que estava localizado no lado oposto da torre (trepado).</t>
  </si>
  <si>
    <t>Queda de um amarrado de peças metálicas sobre o pé do colaborador quando do descarregamento de caminhão de estruturas metálicas (recebimento), com fratura no dedão do pé direito</t>
  </si>
  <si>
    <t>Durante utilização de furadeira elétrica em plataforma metálica, a broca travou, ocasionando uma batida da furadeira contra a mão do colaborador.</t>
  </si>
  <si>
    <t>Ao roçar, ocorreu projeção de brita ao rosto do colaborador. Não houve lesão</t>
  </si>
  <si>
    <t>Empregado sofreu um corte no joelho direito, enquanto realizava atividade com esmerilhadeira.</t>
  </si>
  <si>
    <t>Durante atividade de roçado do gramado da RMMS os empregados foram surpreendidos pelo ataque de um enxame de abelhas, essas estavam localizada em uma tampa de boeiro no meio do gramado esconndido pela vegetação.</t>
  </si>
  <si>
    <t>Durante atividade de limpeza da via de acesso ao jardim a funcionaria foi picada por vespas que estavam alojadas nas plantas do jardim.</t>
  </si>
  <si>
    <t>Durante substituição de isoladores na LT 04S1 TSA/PRI, ocorreu a queda de bastão tensor, no momento da transferência do bastão entre as fases A e B da estrutura 84/1. Não haviam pessoas próximas ao local que o bastão caiu.</t>
  </si>
  <si>
    <t>Acidente de moto ao retornar do trabalho para sua residência</t>
  </si>
  <si>
    <t xml:space="preserve">Durante deslocamento da residência para o trabalho, veículo conduzido por colaboradora capotou. Colaboradora sofreu lesão na cabeça. </t>
  </si>
  <si>
    <t>Atividade de troca de isoladores na LT 04Z9 Est. 22-6 estava sendo  realizado quando o bastão isolante, que estava ancorado na escada isolante, veio a cair no solo nas proximidades da base da torre autoportante.</t>
  </si>
  <si>
    <t>Durante ronda nas proximidades do almoxarifado da UHE Samuel, área de propriedade da Eletronorte, o vigilante identificou dois suspeitos, os quais proferiram dois disparos com arma de fogo em sua direção. O Vigilante revidou com um disparo. Nenhum dos disparos resultou em vítima. A polícia militar foi acionada para atender a ocorrência.</t>
  </si>
  <si>
    <t xml:space="preserve">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 </t>
  </si>
  <si>
    <t>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t>
  </si>
  <si>
    <t>O veículo L-200 da Eletrobras Chesf estava parado dentro da subestação em frente ao prédio de apoio, o colaborador da empresa Engevale estava no lado carona, ao abrir a porta o segundo veículo da empresa Engevale que iniciava o seu deslocamento bateu na porta vindo a amassar o veículo.</t>
  </si>
  <si>
    <t>O funcionário contratado Voith usou a estrutura de acionamento do sistema de CO2 de combate a incêndio do gerador como apoio das suas luvas e ao retirar a luva houve o disparo acidental de 01 cilindro do sistema do banco reserva 04/05/06. </t>
  </si>
  <si>
    <t xml:space="preserve">Ao final do expediente o trabalhador realizava operação para estacionar a ponte rolante 01 na área de montagem, local destinado como garagem das pontes rolantes 01 e 02. Na movimentação da ponte rolante 01 o trabalhador não percebeu a proximidade da ponte rolante 02 ocasionando a colisão entre elas. </t>
  </si>
  <si>
    <t>Colisão entre veículos em rodovia, durante deslocamento entre unidades da Empresa, em Cariacica - ES</t>
  </si>
  <si>
    <t>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</si>
  <si>
    <t>Depois de finalizarem suas atividades na SE SGH (Subestação em implantação para o P&amp;D Planta Híbrida Inteligente), no retorno ao alojamento, o veículo utilizado para o transporte apresentou falha na direção colidindo com a cerca existente na estrada. Face a velocidade controlada, só restaram danos leves ao veículo e nenhuma lesão aos ocupantes.</t>
  </si>
  <si>
    <t>O empregado terceirizado estava realizando a atividade de substituição de cadeia de isoladores na estrutura 126/2 da linha 04L1, 230KV. A catraca de corrente (talha) estava posicionada adequadamente entre o estropo e a ferragem do lado terra. O eletricista manobrava a catraca para distensionar a cadeia, liberado-a para retirada. Durante a manobra, a catraca girou e atingiu um dedo da mão esquerda do profissional, que estava apoiada num isolador, gerando um corte na sua extremidade. No momento do acidente, o eletricista estava utilizando luva, o que possibilitou amenizar o corte sofrido.</t>
  </si>
  <si>
    <t xml:space="preserve">Durante a execução da atividade de conexão de pulo, com uso de PTA, o conector chapa-tubo quebrou ocorrendo queda do pulo ao solo. Vale salientar que os equipamentos estavam desligados e toda a área do eventual raio de queda estava sinalizada, isolada e livre de pessoas e equipamentos, não havendo qualquer dano material ou pessoal, além da ruptura do conector citado. Obs.: ocorreu reincidência desse evento no dia 15/07/2024 na mesma atividade </t>
  </si>
  <si>
    <t>Substituição chave seccionadora 34M2-2 - Obra Siemens. Durante a execução da atividade de conexão de pulo, com uso de Plataforma Elevatória Móvel de Trabalho (PEMT), houve a quebra do conector, resultando na queda do pulo ao solo. Vale salientar que os equipamentos estavam desligados e toda a área do eventual raio de queda estava sinalizada, isolada e livre de pessoas e equipamentos, não havendo qualquer dano pessoal, além da ruptura do conector citado.</t>
  </si>
  <si>
    <t>Durante a realização de manobras padrões na chave 32A1-8 houve a incidência de arco elétrico intrínseco a abertura de qualquer tipo de chave seccionadora que conecta reator de aterramento ao sistema elétrico. Após a manobra, o Técnico de O&amp;M da SE CPE informou um incômodo na sua visão (sensação de clarão).</t>
  </si>
  <si>
    <t>Durante deslocamento de Farroupilha com destino à SE Caxias, quando, ao diminuir a velocidade, o colaborador teve o veículo de trabalho abalroado na parte traseira por veículo de terceiro.</t>
  </si>
  <si>
    <t>Choque elétrico ao retirar um transformador 220/127V da tomada, cujo cabo de força permaneceu conectado, com partes vivas energizadas</t>
  </si>
  <si>
    <t>O empregado próprio, durante deslocamento à Fortaleza, conduzindo veículo Eletrobras Chesf (Kwid Placa QYA6690), ao passar em trecho urbano da Cidade de Chorozinho (BR-116/CE, km 64), um veículo que vinha em sentido contrário, realizou uma conversão à esquerda de forma irregular, invadindo a preferencial na pista de rolamento quando causou a colisão entre o veículo Eletrobras e o Corolla (Placa HXD8G55), resultando em danos materiais. </t>
  </si>
  <si>
    <t>A equipe de manutenção da OOTBB.C (próprios e terceiros) preparava-se para realizar atividades na subestação Cícero Dantas (CCD), realizando a montagem de andaime isolante na base da chave 34T2-4, quando o disjuntor SIEMENS 3AS2, posição 14T2-CCD, foi desligado sem o prévio afastamento da equipe de manutenção do local. Destaca-se que apesar do Centro de Operação (CROP) ter solicitado ao O&amp;M a confirmação de que não haviam equipes próximas, a equipe local (ELIMCO) autorizou o comando, sem a adequada confirmação. Salienta-se que o disjuntor manobrado 14T2 CCD não tem histórico de explosão e não faz parte dos equipamentos relacionados na Recomendação Operativa (ROP OOON.C.2024-34) e que as equipes estavam a mais de 3 metros do disjuntor manobrado.</t>
  </si>
  <si>
    <t>O empregado terceirizado ao subir no trator que estava estacionado, para colocar água no radiador, pisou no cilindro de movimentação da lâmina para se apoiar, escorregou entre a lâmina e a esteira e o pé ficou preso machucando o joelho esquerdo.</t>
  </si>
  <si>
    <t>Projeção de material durante roçada de vegetação em áreas verdes</t>
  </si>
  <si>
    <t>Ao sair de casa para o trabalho, perdeu o controle do veículo e capotou, sofrendo fratura no dedo do pé direito</t>
  </si>
  <si>
    <t>Durante atividade de concretagem das tampas das canaletas na antiga carpintaria na Uhe Mascarenhas de Moraes, o empregado foi picado por várias abelhas. O colaborador trabalhava com trator quando foi atacado por enxame de abelhas que o picaram na face, tronco e MMSS braços. CID 10 X 23.4 Contato com abelhas, vespas e vespões.</t>
  </si>
  <si>
    <t>Acidente com lixadeira de 4” ocasionando pequeno ferimento próximo punho (braço esquerdo) em atividade manutenção predial</t>
  </si>
  <si>
    <t>Equipe terceirizada do contrato de Reisolamento estava em deslocamento com caminhão 3/4 F4000, da cidade de Santo Antônio de Jesus à cidade Ubatã/BA, na rodovia BR 101 quando houve um dano repentino (estouro) no pneu dianteiro esquerdo, logo o condutor realizou a parada do veículo no acostamento.</t>
  </si>
  <si>
    <t>Choque de perna contra cantoneira guia ao pisar em tampa mal fixada, causando corte</t>
  </si>
  <si>
    <t>O empregado próprio, O&amp;M, dirigia ao centro da Cidade de Icó, quando ao chegar próximo à ponte "Piquet Carneiro", um veículo à frente freou bruscamente. Um outro que vinha atrás não parou e abalrou na viatura Kwid (prefixo 130.770), ocasionando um "engavetamento". Não houve feridos, apenas avarias na lataria.</t>
  </si>
  <si>
    <t>Durante deslocamento para aplicação de agrotóxico, colaborador pisou em um buraco, caindo e sofrendo lesão no pé esquerdo.</t>
  </si>
  <si>
    <t>Durante a execução de uma atividade de pintura, o andaime de apenas 1 lance se desmontou e resultando na queda do colaborador a uma altura de aproximadamente 1,10 metros.</t>
  </si>
  <si>
    <t>O acidente em questão ocorreu em uma atividade lançamento de cabo, onde um funcionário estava liberando a escolta de cabo piloto da bobina para o solo, onde a extremidade com a charroa (alça de emenda), que se desenrolou rapidamente do carretel da bobina e atingiu seu cotovelo.</t>
  </si>
  <si>
    <t>Empregado próprio estava se deslocando de Salvador / BA, para Jequié / BA, para acompanhar  os serviços de concretagem de bases das sirenes do Plano de Ação de Emergência - PAE da  Usina da Pedra - UPE, que iria ocorrer na data de 27/04/24. Quando trafegava na BR-116, próximo ao município de Irajuba/ BA, ao realizar uma ultrapassagem, a carreta que estava sendo ultrapassada acelerou, impossibilitando o condutor de concluir a ultrapassagem, restando como única alternativa ficar entre a carreta que estava sendo ultrapassada e uma outra que vinha em sentido contrário. Assim sofrendo  avarias nas duas laterais do veículo caminhonete L200. O empregado não sofreu lesão, foi avaliado pelos socorristas da concessionária Via Bahia e liberado.</t>
  </si>
  <si>
    <t>Durante a atividade de substituição de isoladores e pré-formados com a LT energizada a 30m de altura, Torre 67-1, Irauçuba – CE, antes de entrar ao potencial, o eletricista da empresa contratada, sentiu-se mal e foi necessário retirá-lo da torre utilizando o sistema de resgate através de linha de vida.</t>
  </si>
  <si>
    <t>Durante manuseio de tampas da caixa do sistema drenagem, uma delas escapou de suas mãos, causando o prensamento do 3º dedo da mão direita contra o solo.</t>
  </si>
  <si>
    <t>Durante deslocamento residência x trabalho, em estrada de terra com veículo próprio, o colaborador foi abalroado por veículo de terceiro que transitava em sentido contrário.</t>
  </si>
  <si>
    <t>O empregado terceirizado, ao se direcionar ao porão de cabos para realizar a atividade de lançamento de cabos, identificou a presença de duas cobras coral entre os cabos, não houve contato com os profissionais da empresa Siemens Energy, paralisado a atividade.</t>
  </si>
  <si>
    <t>Durante o deslocamento de Paulo Afonso para a ELETROBRÁS/CHESF (SE Jardim/SE) no município de Areia Branca-SE, houve colisão com outro veículo de passeio que estava à frente passando por um quebra mola que realizou uma freada brusca e não teve o tempo hábil para não gerar a colisão. Incidente gerou apenas danos materiais.</t>
  </si>
  <si>
    <t>Trabalhador estava recolhendo galhos provenientes de supressão vegetal, quando ao caminhar, se desequilibrou e torceu o tornozelo direito</t>
  </si>
  <si>
    <t>Ao remover a tampa de concreto das caneletas de cabo elétrico em conjunto com outro colaborador, ao descer a tampa manualmente próximo dopiso a mesma escorregou de suas mão atingindo a ponta do seu pé esquerdo.</t>
  </si>
  <si>
    <t>O empregado próprio, após realizar entrega de material na sala de comando da subestação de Recife II estava caminhando próximo ao estacionamento da instalação, foi picado por abelhas.</t>
  </si>
  <si>
    <t>A empregada estava a caminho do seu primeiro dia de trabalho utilizando um serviço de moto Uber, quando a moto em que estava sofreu uma colisão do lado direito, imediatamente após a abertura do sinal, por um carro que estava na outra faixa de mesmo sentido e, tentou virar à direita. A empregada sofreu uma queda, resultando em arranhões no braço direito e no joelho direito. Ela realizou os primeiros socorros em casa após a ocorrência. No dia seguinte, ao comparecer na empresa para iniciar suas atividades laborais, foi conduzida pelo seu gestor até a área de Saúde para esclarecimentos sobre o incidente. Questionada sobre tratamento ambulatorial, a empregada indicou que optou por autocuidado, considerando as escoriações leves. Durante a orientação da área de Segurança e Saúde Ocupacional (SSO), foi atendida pelo médico da empresa que confirmou apenas existências de escoriações leves. </t>
  </si>
  <si>
    <t>O funcionário próprio estava se deslocando da Eletrobras Chesf para a sua residência utilizando sua motocicleta, quando trafegava pela BR 232, na altura do bairro Vila Rica, município de Jaboatão dos Guararapes/ PE, sofreu uma colisão traseira. Com o impacto, o funcionário sofreu uma queda da moto em direção ao acostamento, sofrendo assim escoriações leves. O veículo causador evadiu-se do local. Neste momento foi ajudado por outras pessoas que lhe prestaram o apoio local, sendo posteriormente conduzido à sua residência por familiares. Não buscou atendimento médico.</t>
  </si>
  <si>
    <t>Funcionário terceirizado do setor de vigilância, ao realizar a costumeira ronda interna na Subestação de Recife II com o uso da motocicleta, ao frear, a moto tombou sobre o seu tornozelo esquerdo. Continuou normalmente suas atividades e por voltas das 13:00h, o tornozelo começou a incomodar ao realizar a passagem de marcha, informou à empresa que providenciou sua locomoção para um atendimento médico.</t>
  </si>
  <si>
    <t>Durante corte de vegetação em faixa de servidão, o colaborador foi atingido pela motosserra resultando em corte na perna direita</t>
  </si>
  <si>
    <t>Durante a substituição do transformador de corrente 94T1 fase A na subestação Jaguarari, ao realizar o içamento  do equipamento a ser substituído utilizando um munck, cintas e uma corda que prendia a parte superior do TC nas cintas, houve o tombamento do TC quando a corda que fazia a amarração das cintas no corpo do equipamento se desprendeu. Com isto, o TC ficou  preso apenas pelas cintas em sua base e fez um movimento de pêndulo atingindo a caixa do secundário do TP da mesma fase e a estrutura metálica da base.</t>
  </si>
  <si>
    <t>O empregado terceirizado, durante a preparação em solo para a atividade da troca dos isoladores da estrutura 119/2 de circuito duplo da LT 04N2 JZDSNB e 04L1 JGRSNB de 230 kV, encaixou a escada na extensão, mas não inseriu as travas corretamente. Em seguida, escalou a estrutura seguindo os procedimentos padrões. Durante o içamento da escada pelos colaboradores em solo, a parte extensora se desprendeu e caiu de uma altura de 3 metros e atingiu a estrutura, danificando a escada. Houve somente danos materiais.</t>
  </si>
  <si>
    <t>O empregado terceirizado ao realizar furos na base da torre com uso de furadeira magnética ocorreu o desprendimento do ponto de fixação ocasionando a quebra da broca, o empregado tentou segurar o equipamento e nesse momento sofreu um corte superficial no dedo.</t>
  </si>
  <si>
    <t>O colaborador estava sentado na cadeira quando foi picado por um escorpião na perna direita. Conseguiu de imediato abater o animal e avisou ao porteiro líder aguardando sua chegada.</t>
  </si>
  <si>
    <t>Empregado terceirizado, durante deslocamento de Canindé de São Francisco -SE no sentido Milagres-CE, parou no acostamento da rodovia próximo à Cidade de Jatobá-PE, devido o intervalo do tacógrafo, para tomar água e ir ao banheiro. No mesmo sentido, veio um veículo Sonic vermelho, que foi ultrapassar uma carreta e acabou perdendo o controle, capotando na pista e batendo na lateral traseira esquerda do caminhão cesto aéreo da Eletrobras. O empregado não foi atingido, não houve lesão.</t>
  </si>
  <si>
    <t>Durante a atividade de desmontagem de um redutor do pórtico montante da usina da Pedra, referente ao contrato de modernização dos pórticos da usina da Pedra (SI 11704/23H), o empregado terceirizado da empresa Jonfra Cranes machucou a mão esquerda, sofrendo um pequeno corte superficial, enquanto utilizava um saca polia e um martelo.</t>
  </si>
  <si>
    <t>Na atividade de substituição de cadeia de isoladores da estrutura 071/1, da LT 05S5 PAQ/JER, realizada pela equipe da contratada Essencial, durante movimentação da cadeia de isoladores de vidro pela linha de mão, houve um choque entre os isoladores e a estrutura metálica. O vidro de um dos isoladores quebrou e os pequenos estilhaços caíram na direção da equipe de solo. Não houve vítimas.</t>
  </si>
  <si>
    <t>Veículo L200 (prefixo 132705) conduzido por empregado próprio, que seguia da Subestação de Santa Rita II (SRD) para Subestação Mussuré II (MRD) pela BR 101, foi levemente abalroado no paralama dianteiro direito por veículo de cor vermelha que vinha cortando veículos em zigue-zague. A colisão ocorreu em frente a lombada eletrônica da BR 101 próximo a entrada da SE MRD. Não houve lesão aos colaboradores da companhia.</t>
  </si>
  <si>
    <t>Durante deslocamento para realizar manutenção de uma luminária, técnico escorregou ao pisar em uma calçada com limo sofrendo escoriações</t>
  </si>
  <si>
    <t>Ao deslocar-se para residência com veículo próprio, colaborador foi atingido na traseira por terceiro em engarrafamento. Impacto causou dores lombares</t>
  </si>
  <si>
    <t>O empregado terceirizado, durante a atividade da troca do seccionador de 230 kV, 34S1-6, na SE-JZD, saiu do cesto da PTA e acessou o pórtico da estrutura sem utilizar a ancoragem corretamente. Tal prática é um descumprimento das regras de segurança presentes na NR-35 e normativos internos da Eletrobras Chesf. A atividade contava com o acompanhamento de fiscal e TST que ao perceberem que o funcionário estava se movimentando sem ancoragem, durante deslocamento entre PTA e pórtico, paralisaram de imediato os serviços.</t>
  </si>
  <si>
    <t xml:space="preserve">Empregado terceirizado ao conduzir o veículo da empresa, tipo caminhonete, colidiu com o veículo de pequeno porte que trafegava a sua frente que e diminuiu abruptamente a velocidade para realizar conversão à esquerda. O veículo do terceiro girou e se chocou na traseira de um veículo tipo caminhão, que estava estacionado fora da pista. Não houve lesões físicas com os empregados contratados envolvidos na ocorrência. </t>
  </si>
  <si>
    <t>O colaborador ao se deslocar na área desativada da SE Macapá I, pisou em uma das tampas de concreto da canaleta de comando / controle, que quebrou. Durante a queda houve o impacto do colaborador com a tampa de concreto, resultando em lesão na boca.</t>
  </si>
  <si>
    <t>AP</t>
  </si>
  <si>
    <t>Na chegada à Torre 156 ARE/CBA, o Empregado da CGT Eletrosul, ao passar pela porteira de acesso, o veículo deslizou para a direita e bateu no mourão da cerca resultando em dano material apenas, amassando a lataria e quebrando a lanterna traseira (lado direito) do veículo.</t>
  </si>
  <si>
    <t>O colaborador estava se dirigindo para pegar a condução (rota) para vir a usina, quando pisou em falso em um desnível na rua e teve uma entorse de tornozelo.</t>
  </si>
  <si>
    <t>Ao sentar-se de maneira mais brusca, o encosto da cadeira do posto de trabalho do empregado se quebrou e fazendo com que o trabalhar caísse no chão</t>
  </si>
  <si>
    <t>Dois ajudantes de serviços gerais foram transportar manualmente um bebedouro industrial, ao baixarem o bebedouro até o solo, o senhor MLBS escorregou, sofrendo um engate do dedo mindinho da mão esquerda na grade de escoamento de água do bebedouro, próximo ao local que estava segurando para apoio na movimentação. Como consequência do engate o colaborador sofreu uma torção seguida de corte da extremidade do dedo.</t>
  </si>
  <si>
    <t>O colaborador ao ser designado para destravar manualmente uma chapa metálica emperrada na lateral de uma carreta de transporte, sofreu um ferimento no dedo do pé direito, durante uma movimentação de carga devido ao impacto sofrido pela queda da mesma.</t>
  </si>
  <si>
    <t>A empregada VCSM ao se deslocar para acompanhar os serviços de manutenção corretiva na área operacional da UTE Mauá 3, pisou em falso, próximo a máquina 02, vindo a cair por diferença de nível.</t>
  </si>
  <si>
    <t>O colaborador estava executando a atividade de descarte manual de resíduos metálicos dentro de uma caixa coletora, quando houve o prensamento do dedo indicador da mão esquerda entre o resíduo (calha de leito elétrico) e a borda da caixa coletora.</t>
  </si>
  <si>
    <t>Durante a atividade de desmontagem do Banco de Capacitores BSFIIV3, pertinente a LT Ivaiporã - Foz do Iguaçu (LTFIIV3) especificamente na descida da plataforma de sustentação dos componentes do banco, a estrutura iniciou o movimento de giro, se aproximando de um dos guindastes mobilizados para tal, o que resultou na desestabilização do posicionamento dos isoladores de sustentação da referida plataforma. Com isso, consequentemente, a plataforma "acompanhou" esse movimento em sentido transversal, ocasionando o choque mecânico com uma das PEMT's envolvidas na atividade</t>
  </si>
  <si>
    <t>O trabalhador ao se deslocar de motocicleta até o Bairro Nova Marabá na busca de um equipamento portátil para realização de atividade na SE Marabá, sofreu uma batida na traseira da sua moto por uma Caminhonete e com impacto foi ao chão sofrendo algumas escoriações.</t>
  </si>
  <si>
    <t>O empregado terceirizado que é eletricista estava trabalhando ao potencial na fase central, de uma estrutura autoportante e posicionado na cadeia V esquerda, com dupla equalização. Quando o profissional iniciou a preparação para o processo de desequalização, foi orientado pelo supervisor que ainda havia duas fitas condutivas no cabo. Após a orientação o profissional fez a retirada e acondicionamento da segunda fita e procedeu normalmente com o processo de saída do potencial, sem maiores consequências.</t>
  </si>
  <si>
    <t>Estava sendo realizada a atividade de substituição de isolador na estrutura 133/3 da LT 04L5 OLD/CMD pela equipe contratada, quando o eletricista de topo instalava a linha de mão, uma das treliças se desprendeu da misúla da estrutura (+- 10 m) e veio abaixo e antes de atingir o solo resvalou na estrutura e na sequência atingiu levemente a perna direita do eletricista.  levemente.</t>
  </si>
  <si>
    <t>Ao fechar a tampa da carroceria de um veículo, que estava usando para o deslocamento da sua atividade, o empregado  teve um pequeno corte no dedo mínimo da mão direita.</t>
  </si>
  <si>
    <t>O empregado próprio, realizava o deslocamento utilizando uma motocicleta pela Rodovia CE-293, entre as cidades de Crato e Milagres, no Ceará, para assumir o turno das 00h00 às 06h00 do dia 04/11/24. Durante o trajeto, deparou-se com um buraco na via, caindo dentro dele, perdendo o controle e sofrendo a queda. Sofreu escoriações no cotovelo esquerdo, punho e pé direito. O empregado continuou o deslocamento até a SE MLG, onde trabalhou em suas atividades normalmente.</t>
  </si>
  <si>
    <t>Perda de controle da direção causado por animal selvagem cruzando a via, causando estouro dos dois pneus dianteiros</t>
  </si>
  <si>
    <t>Ao descer do caminhão bombeiro, pisou em uma pequena rocha, resultando na torção do tornozelo direito</t>
  </si>
  <si>
    <t>Durante secagem após lavagem do piso do Edifício de Controle da usina, a trabalhadora escorregou e caiu apoiando-se sobre a mão esquerda, causando luxação no dedo mínimo.</t>
  </si>
  <si>
    <t>Ao fazer a ronda em trecho de asfalto escorregadio, a motocicleta caiu e o trabalhador sofreu escoriações leves no joelho esquerdo</t>
  </si>
  <si>
    <t>TO</t>
  </si>
  <si>
    <t>Durante a atividade de reisolamento da LT 05V7 500kV, quando a equipe havia realizado a troca do polimérico do lado direito da cadeia V, houve a que a queda do jugo/foice do alto da estrutura 37/1.</t>
  </si>
  <si>
    <t xml:space="preserve">Ao chegar na subestação de Miranda II – MA, a colaboradora foi descer do carro e atravessar para o outro lado, pisou na parte de concreto, do meio fio, próximo da entrada da sala de comando, ao firmar o pé direito em cima do concreto ele quebrou fazendo com que ela caísse batendo o joelho esquerdo no chão. </t>
  </si>
  <si>
    <t>O veículo do turno de operadores da SE Miranda do Norte estava realizando o trajeto com destino à Subestação para mudança de turno.
O trânsito estava bastante congestionado com o carro da empresa andando em uma fila atrás de uma carreta. De repente, uma van realizou uma ultrapassagem indevida e entrou bruscamente na frente da carreta. Neste momento a carreta freou e o veículo onde se encontrava os operadores colidiu com a traseira do caminhão. Apenas danos materiais.</t>
  </si>
  <si>
    <t>Durante corte de prateleiras agachado sobre um mezanino metálico, o mesmo cedeu e o profissional caiu de uma altura de 2 metros. Nesse momento, uma chapa caiu sobre ele, ocasionando um corte na cabeça.</t>
  </si>
  <si>
    <t>O colaborador se desequilibrou com lixadeira ligada vindo a lesionar o dedo indicador esquerdo</t>
  </si>
  <si>
    <t>Durante as atividades de descarregamento de materiais de bota-fora, proveniente das escavações da obra executada pela contratada Hersa, um caminhão do tipo caçamba colidiu com uma estrutura de concreto (poste) de uma LT 13,8kV energizada, causando sua queda. Apenas danos materiais foram provocados.</t>
  </si>
  <si>
    <t>Com a linha de vida devidamente instalada, foi autorizada a escalada do segundo eletricista Márcio sena, da empresa essencial construções. O eletricista utilizando seu trava-quedas deslizante instalado na linha de vida e seus ganchos posicionados, começou a fazer seu trajeto de escalada. Com aproximadamente 5 metros de altura, o eletricista posicionou sua perna de força em uma treliça para seguir a escalada em direção a parte superior da estrutura, quando o parafuso dessa peça quebrou e se desprendeu do montante da estrutura. Nesse momento, o eletricista estava com o seu trava-quedas devidamente instalado na linha de vida e seus ganchos presos em peças distintas. Com isso o eletricista veio a ter apenas um susto, sem fator de queda e sem ferimentos.</t>
  </si>
  <si>
    <t>Durante atividade de desmontagem do andaime da parede corta fogo nas fases A e B, o colaborador pisou em uma placa do piso metálico, sendo que a placa destravou ocasionando a queda do funcionário.</t>
  </si>
  <si>
    <t>Após atividade de colocação de ferragens nas paredes corta fogo 3 e 4, o colaborador caminhava na obra quando pisou em falso por consequência de um desnível no solo, vindo a torcer o tornozelo
direito.</t>
  </si>
  <si>
    <t>Durante troca de acessórios da torre, empregado sentiu dores na região lombar.</t>
  </si>
  <si>
    <t>Durante deslocamento para manutenção em torres, o motorista perdeu o controle, derrapou na estrada de terra e caiu na ribanceira. O veículo capotou e o motorista e dois passageiros sofreram escoriações leves (2º passageiro)</t>
  </si>
  <si>
    <t>Durante deslocamento no trecho entre Nova Laranjeiras e Quedas do Iguaçu, colaborador atropelou um cachorro que acabou invadindo seu lado da pista de rodagem. Colaborador não sofreu nenhuma lesão.</t>
  </si>
  <si>
    <t xml:space="preserve">Abertura manual da seccionadora CS 771, com carga, na SE Nova Prata 2. Não houve lesão. </t>
  </si>
  <si>
    <t>O empregado terceirizado, durante atividade de limpeza do banheiro do prédio administrativo, estava removendo o lixo quando se deparou com um escorpião amarelo entre a parede e a lixeira. O empregado estava utilizando todos os EPIs (Equipamentos de Proteção Individual) e não houve contato com o animal.</t>
  </si>
  <si>
    <t>O empregado foi acionado para atendimento ao DRILL do plano de contingência da Subestação Jaru e, no percurso para o trabalho, ele caiu de moto, sofrendo escoriações leves. Ele foi encaminhado para unidade de saúde para procedimentos padrões;</t>
  </si>
  <si>
    <t>O empregado terceirizado ao conduzir um caminhão Munck da Eletrobras Chesf, de placa KHH 0938, prefixo 120.782, se deslocava de RIO LARGO/AL para ABREU E LIMA/PE. Ao trafegar pela BR 101, passando pelo Km 173, entre Palmares/PE e Ribeirão/PE, deparou-se com um radar de velocidade e acionou os freios. Após essa ação, o veículo derrapou em direção ao canteiro central vindo a tombar e capotar. Chovia no momento e a visibilidade estava prejudicada. O condutor não sofreu lesão aparente. O veículo sofreu danos sobretudo na cabine.</t>
  </si>
  <si>
    <t>A equipe, formada por um O&amp;M e dois mantenedores, estavam executando manutenção preventiva no disjuntor 12T3, mas acessaram, por engano, o disjuntor 12D1, que estava energizado, ocasionando um arco elétrico que atingiu os três.</t>
  </si>
  <si>
    <t xml:space="preserve">O funcionário terceirizado estava auxiliando na atividade de roço e ao se locomover não se atentou à existência de uma caixa de drenagem sem tampa vindo a de desequilibrar e chocar-se resultando em uma escoriação leve na parte inferior da perna. Ele se apresentou ao encarregado, limpou o ferimento aplicou um curativo e o funcionário voltou ao trabalho. </t>
  </si>
  <si>
    <t xml:space="preserve">O empregado terceirizado, ao sair do setor de pintura no complexo UPA dirigindo um veículo Chesf (L200), não observou a aproximação de outro veículo (Van) e não freou, provocando uma colisão. </t>
  </si>
  <si>
    <t>Empregado estava realizando atividade de limpeza de calha no telhado do prédio pavimento térreo da OOSPT.C., com pé direito de 3,3mts  no complexo da usina de Paulo Afonso, quando ao iniciar a descida pela escada extensível de fibra a mesma veio a escorregar a sua base, provocando sua queda de pé. Com o intuito de tentar se segurar na calha o empregado sofreu uma escoriação no braço direito. Foi observado que o piso estava molhado, a escada sem ancoragem e o empregado sem o cinto de segurança</t>
  </si>
  <si>
    <t>O Colaborador estava na casa de força elevação 136 quando percebeu que uma limalha havia caído em seu olho esquerdo.</t>
  </si>
  <si>
    <t>Ao acender a chama de fogo da caneta do maçarico, realizou o ajuste da chama e foi surpreendido com o estouro da caneta. Apenas danos materiais.</t>
  </si>
  <si>
    <t>O empregado próprio foi informado que houve um centelhamento entre a carcaça e o suporte de um aparelho de ar condicionado no Hall de montagem da Usina Paulo Afonso II (USD) . O mesmo procedeu a medição com detector de tensão confirmando que havia vazamento de corrente, acarretando risco de choque elétrico.</t>
  </si>
  <si>
    <t xml:space="preserve">A equipe de empregados terceirizados estavam realizando uma atividade de troca de tubulação do esgotamento da caixa espiral 01G4 USD. Simultaneamente estava ocorrendo uma atividade de desobstrução do esgotamento da caixa espiral da 01G6. Durante essa desobstrução houve um volume inesperado de água que causou um susto na equipe da 01G4, que reagiu saindo rapidamente do local e durante essa saída um dos empregados veio a tropeçar nos cabos do equipamento que estava transportando (máquina de solda e esmerilhadeira). </t>
  </si>
  <si>
    <t>Três colaboradores próprios se deslocavam de Recife para Paulo Afonso, via BR 232, quando na altura da “Encruzilhada de São João”, foi avistado uma movimentação na pista que os obrigou a parar o veículo. O veículo que vinha atrás (Toyota Hilux) conseguiu frear, entretanto o veículo que vinha atrás da Hilux (Renegade) não conseguiu. O Renegade colidiu com a Hilux, que colidiu no veículo dos funcionários da Eletrobras Chesf (T-cross, alugado na Movida). O funcionário Chesf que estava conduzindo o carro chegou a tentar andar um pouco com o carro para frente, tentando evitar a colisão, entretanto não foi possível. Não houve nenhum ferimento com os empregados próprios.</t>
  </si>
  <si>
    <t>O empregado contratado estava realizando a fixação de alguns grampos (vergalhão 3/8") na parede de concreto do paramento de jusante da Usina Paulo Afonso I. A atividade consistia em fixar o vergalhão com o uso de marreta, em furos feitos previamente.  Ao bater com a marreta emim grampo, este soltou-se e foi projetado em direção ao rosto do empregado, provocando um corte um pouco acima do lábio superior. O empregado estava utilizando todos os EPI’s adequados para a atividade (capacete, óculos, luva de proteção e protetor auricular).</t>
  </si>
  <si>
    <t>Um empregado próprio constatou pedaços de concreto no Piso Gerador da Usina de Paulo Afonso I, nas proximidades da 01G1, provenientes de desprendimento do teto.</t>
  </si>
  <si>
    <t>O empregado terceirizado ao auxiliar os colegas que realizavam a atividade de movimentação das vigas da plataforma de fechamento da tulipa do adutor de 01G2, teve o dedo indicador da mão esquerda prensado entre a viga e o guarda-corpo da parte superior da plataforma.</t>
  </si>
  <si>
    <t xml:space="preserve">O empregado terceirizado estava concluindo a limpeza do banheiro e ao sair do local e passando pela porta, apoiou a mão esquerda no portal da porta onde ficam as dobradiças. Nesse momento a porta fechou de forma abrupta, prendendo o seu dedo indicador da mão esquerda. </t>
  </si>
  <si>
    <t xml:space="preserve">O empregado terceirizado se descolocava entre as alavancas do distribuidor da máquina 01 G3, que está parada e em montagem devido a modernização, quando o seu pé direito entrou entre as alavancas, causando uma torção. </t>
  </si>
  <si>
    <t>Empregado terceirizado ao realizar a atividade de montagem das guias de ar inferiores da unidade 01G3, na realização da sustentação manual da peça, uma das guias se deslocou provocando o choque do cotovelo direito do empregado contra o batente da estrutura de concreto, causando luxação.</t>
  </si>
  <si>
    <t>No dia 18/01/2024 por volta das 17:40, o empregado terceirizado da Aliança Transportes Lorisvaldo José Valencia da Silva, se deslocava do local de trabalho (almoxarifado de Paulo Afonso fora do complexo das usinas), para sua residência, usando sua bicicleta, fazendo o costumeiro percurso pelo dique da Usina Paulo Afonso IV (USQ), quando na curva da descida perdeu o controle, vindo a colidir em uma mureta, caindo no chão e apoiando o seu peso sobre sua mão esquerda, causando uma fratura. Após o ocorrido ele foi socorrido por um funcionário da Chesf que o conduziu a sua residência.</t>
  </si>
  <si>
    <t xml:space="preserve">Ao realizar o procedimento de ligar a unidade de filtragem de óleo (operação realizada diariamente) neste dia a unidade não ligou, o que gerou a realização de um procedimento adicional (o mesmo deveria ter realizado este procedimento através da IHM). Porém o empregado acionou diretamente no disjuntor, pois acreditou que através da IHM não iria resolver. Porém, no momento de acionar o disjuntor que deveria ser o K3 (bomba de saída), cometeu um equívoco e acionou o K1 (bomba de entrada), o que provocou o esguicho de óleo. O empregado recebeu respingos de óleo na cabeça, mas não houve lesões. Usava óculos de grau. </t>
  </si>
  <si>
    <t>Empregado próprio, ao sair do trabalho na troca do turno da manhã, deslocando-se em veículo próprio, ao realizar a curva na altura da SE ABX, viu que um objeto que estava no painel do carro deslizou no sentido da direita. Ao desviar o olhar para o objeto, não percebeu que o carro se aproximou da mureta a esquerda e quando percebeu já estava muito próximo e não conseguiu evitar a colisão e em seguida tombamento lateral do veículo.</t>
  </si>
  <si>
    <t>O empregado terceirizado da empresa TECMANIE que atua como eletricista de manutenção em Redes (Linhas 13.8kV e Circuito de Baixa Tensão), estava limpando área onde uma árvore Algaroba iria ser cortada quando sofreu um ataque de abelhas sendo ferroado na região lateral do pescoço, rosto e topo da cabeça. </t>
  </si>
  <si>
    <t xml:space="preserve">No dia 16/08/2024, às 14h40, no retorno do almoço na sua residência para o prédio OOTBD.C, o colaborador AVANTIA, passava pela Av. Getúlio Vargas, 474, Centro, quando uma moto que estava a sua frente e no lado direito da via, realizou uma conversão à esquerda de forma abrupta, sem indicar anteriormente o sentido que iria tomar, fazendo com que o colaborador AVANTIA não tivesse tempo hábil para frear. Dessa forma, as duas motos colidiram, e os pilotos caíram ao chão. Essa ocorrência somente foi informada para a contratante no dia 20/08/2024. </t>
  </si>
  <si>
    <t>O veículo da GE estava transitando dentro da subestação PAF quando parou próximo ao local da atividade de substituição do disjuntor 14S2/PAF. Ao parar o veículo, o motorista puxou o freio de mão mas não desengatou a marcha e o veículo se deslocou um pouco para frente fazendo com que o paralama e o retrovisor esquerdo colidisse com a manivela da chave 34S3-7. Imediatamente o motorista pisou no freio e afastou o veículo da chave seccionadora. Houve pequeno dano ao veículo e um leve deformação na manivela da chave seccionadora.</t>
  </si>
  <si>
    <t>O empregado terceirizado ao realizar o transporte de uma central de tratamento de óleo da USQ  para ULG, ao manobrar o caminhão da Eletrobras Chesf em uma curva, veio a colidir com um veículo de terceiro que estava estacionado, provocando danos materiais neste veículo.</t>
  </si>
  <si>
    <t>O empregado terceirizado no deslocamento do trabalho para a residência conduzindo uma motocicleta quando ao ligar o pisca-alerta para fazer uma conversão à esquerda (entrada do bairro), foi surpreendido por uma outra moto, com os faróis apagados, que veio a colidir com sua moto, provocando a queda.</t>
  </si>
  <si>
    <t>A empregada terceirizada seguia em ronda de rotina com uso da motocicleta, realizando atividade em dupla com outro vigilante, quando a condutora percebeu um estalo no pneu traseiro, que imediatamente travou, vindo a derrapar e cair com a moto em um desnível de aproximadamente 2m, em um terreno bastante pedregoso.</t>
  </si>
  <si>
    <t>Rompimento do ponto de ancoragem inferior conectado à estruturada da torre, danificando a misula da torre e causando escoriações na perna e pé de um dos colaboradores</t>
  </si>
  <si>
    <t>Durante intervenção na LT 04N2 Goianinha (GNN) / João Pessoa II (JPD), na estrutura 28/2, realizada pela empresa Engevale para substituição do conjunto de fixação do para-raios, o eletricista de apoio, que se encontrava na parte superior da estrutura, passou mal, perdendo a consciência momentaneamente. O eletricista estava preso pelos ganchões e talabarte de posicionamento, fixados em pontos distintos. Foi realizado o resgate com a linha de vida.</t>
  </si>
  <si>
    <t>O colaborador deslocava-se para o trabalho conduzindo sua motocicleta quando ao realizar uma curva, derrapou e, na tentativa de evitar a queda, apoiou sua perna esquerda no solo ocasionando fratura na mesma.</t>
  </si>
  <si>
    <t>Durante coleta de amostra de água e ao se deslocar para o local de trabalho, colidiu com uma motocicleta no cruzamento, não sofrendo nenhuma lesão</t>
  </si>
  <si>
    <t>Ao efetuar a retirada da catraca da bomba de esvaziamento n° 2 da UHE Luíz Carlos Barreto de Carvalho, com uso da talha de marca Berg-Steel com capacidade de 1,5 toneladas, foi atingido no lábio inferior, gerando um corte, pela alavanca de acionamento manual da talha.</t>
  </si>
  <si>
    <t>Durante inspeção da BEM, o líder da brigada cortou três dedos na rebarba do tambor de óleo do almoxarifado</t>
  </si>
  <si>
    <t>Os empregados terceirizados estavam realizando a passagem da escada da fase B para fase C quando houve a queda da escada isolante da estrutura 124/2, LT 05V7.</t>
  </si>
  <si>
    <t>Escada - Manuseio</t>
  </si>
  <si>
    <t>O empregado próprio, durante a atividade de inspeção de linhas na faixa de servidão , pisou em um Prego que transpassou a bota na lateral do pé direito do funcionário, sem causar ferimento.</t>
  </si>
  <si>
    <t>Tratorista estava realizado atividade de supressão de vegetação com trator de esteira, quando esbarrou em um estai de um poste da rede de distribuição local e vindo a derrubá-lo.</t>
  </si>
  <si>
    <t>Ao instalar o cabo de aterramento, houve a quebra do grampo de fixação, provocando a queda do cabo no solo</t>
  </si>
  <si>
    <t>No serviço de roçada da grama com uso de roçadeira houve ataque de abelhas</t>
  </si>
  <si>
    <t>Colabrador realizava descarga manual de chapas quando ao puxar material, duas chapas escorregaram atingindo seu torax</t>
  </si>
  <si>
    <t>Colaborador realizava atividade de reposicionamento de bloco de madeira  no nicho de estocagem de paines da tomada d agua, quando ao arrastar calços de madeira prensou o dedo.</t>
  </si>
  <si>
    <t xml:space="preserve">O colaborador da empresa Facilite, executava a instalação dos tirantes na canaleta da viga de sustentação do estator, quando ao soltar o tirante  para realizar o ajuste de encaixe, atingiu dois dedos da mão. </t>
  </si>
  <si>
    <t>Ao conduzir o veículo houve incidência direta de luz solar provocando o ponto cego em que o motorista veio a colidir o veículo em manobra com o poste, danificando o para-choque esquerdo.</t>
  </si>
  <si>
    <t>Durante resgate de peixes no tubo de sucção, um colaborador acidentalmente pisou sobre um peixe, e o ferrão do peixe perfurou seu pé esquerdo</t>
  </si>
  <si>
    <t>Durante o manuseio de um tambor, o colaborador acidentalmente cortou os dedos anelar e mindinho da mão esquerda na borda do tambor</t>
  </si>
  <si>
    <t>Durante serviços de supressão vegetal os colaboradores foram atacados por um enxame de abelhas (2º acidentado)</t>
  </si>
  <si>
    <t>Durante serviços de supressão vegetal os colaboradores foram atacados por um enxame de abelhas (1º acidentado)</t>
  </si>
  <si>
    <t>Colaborador terceirizado, ao realizar a instalação do barramento na área do 230 kv sofreu uma picada de abelha na mão direita.</t>
  </si>
  <si>
    <t>Colaborador realizava atividade de concretagem dos pilares, quando o motorista do caminhão betoneira levantou a lança do cocho o peso da madeira não suportou o concreto vindo a cair por cima da perna esquerda do colaborador; OBS: madeira foi adaptada para prolongar o choco da betoneira.</t>
  </si>
  <si>
    <t>O operador da Pezinho Guincho prestador de serviço da empresa Siemens Energy, estava fixando os três polos da chave seccionadora (34D1-3)  com a cinta de amarração tipo catraca na carroceria do caminhão munck, quando os equipamentos caíram. O empregado estava em solo e não sofreu nenhuma lesão, havendo apenas danos material do equipamento substituído.</t>
  </si>
  <si>
    <t>O funcionário estava retirando as formas de madeira da viga superior da casa de comando, quando ao sair da posição de apoio da escada para mudar posição da corda de serviço a escada escorregou vindo o funcionário cair de aproximadamento 3 metros de altura,</t>
  </si>
  <si>
    <t>O colaborador, estava instalando uma estrutura de armadura de aço com outros colaboradores, realizando a descida da peça em uma forma de fundação em construção. Quando da descida da peça, onde é utilizado o dispositivo de cordas de sustentação, de forma a evitar o uso das mãos. O colaborador em um determinado momento por iniciativa própria, utilizou a mão para facilitar o posicionamento da peça, nesse momento, ocorreu o imprevisto do contato indevido que veio a prensar de maneira leve e rápida seu dedo mínimo da mão esquerda entre a peça metálica e a fôrma de madeira da fundação.</t>
  </si>
  <si>
    <t>Colaborador J.P., pedreiro, estava realizando a construção do encabeçamento do bueiro de drenagem do platô da SE Caladinho, em certo momento ao se movimentar sofreu uma torção no pé esquerdo, pois pisou em um pedaço de bloco de concreto. Ele, imediatamente informou ao SESMT da obra e foi encaminhado para avaliação médica na UPA de Porto Velho.</t>
  </si>
  <si>
    <t>A retroescavadeira estava escavando vala, quando ao sair desbarrancou a beira da vala, vindo a roda dianteira da máquina cair dentro da mesma</t>
  </si>
  <si>
    <t xml:space="preserve">Durante o deslocamento entre sua residência e o ponto de ônibus que realiza o transporte dos colaboradores para a obra, o colaborador E.J.L veio a sofrer uma colisão com um ônibus de transporte coletivo municipal </t>
  </si>
  <si>
    <t>Transporte Publico Regular - Colisão</t>
  </si>
  <si>
    <t>Durante limpeza dentro do viveiro aquático, o colaborador pisou sobre uma ponta de ferro e sofreu uma lesão puntiforme superficial no pé direito</t>
  </si>
  <si>
    <t>Colaboradora prensou sua mão na porta do carro</t>
  </si>
  <si>
    <t>Durante a atividade de Revisão de 25.000 horas na UG 18, ao passar entre o dispositivo de vedação das palhetas e o guarda corpo o colaborador prensou o terceiro dedo da mão esquerda</t>
  </si>
  <si>
    <t>Durante deslocamento no sentido UHE Santo Antônio para Porto Velho, o colaborador teve uma distração e colidiu com as estacas de madeira instaladas no canteiro central que fica entre as vias.</t>
  </si>
  <si>
    <t>Durante manutenção do guindaste PH, uma partícula se desprendeu da capa da roldana e atingiu a perna direita do colaborador</t>
  </si>
  <si>
    <t>Durante separação de material de manutenção do Log Boom, houve movimentação indevida de um pino/eixo de ligação de grades, resultando no prensamento do dedo polegar direito do integrante</t>
  </si>
  <si>
    <t>Colisão entre micro onibus e  motocicleta que vinha no sentido contrário, causando somente danos materias em ambos.</t>
  </si>
  <si>
    <t>Impacto de marreta sobre o dedo anelar da mão direita durante quebra de torque e retirada dos prisioneiros de acoplamento da Ogiva com o Anel Guia</t>
  </si>
  <si>
    <t>Durante desmontagem dos conjuntos [Chassis e Grades] - Manutenção do Log Boom, o integrante desequilibrou-se e tentou se apoiar no chassis, sofrendo um corte no antebraço</t>
  </si>
  <si>
    <t>Integrante relata que montava andaime quando a chave escapou e bateu no nariz.</t>
  </si>
  <si>
    <t xml:space="preserve">Colaborador manuseava telha zinco para realizar a cobertura do refeitório, quando precisou empurrar uma telha para que ela ficasse no local correto e acabou lesionando com um pequeno corte o seu dedo da mão. </t>
  </si>
  <si>
    <t xml:space="preserve"> Motorista estava conduzindo os funcionários em sua rota habitual (dentro da cidade) para a SE coletora,onde realizariam atividades de desligamento na subestação. Ao passar pelo Comercial Dias, localizado na Rua Anarí, deparou-se com uma camionete modelo S-10 estacionada de forma inadequada, ocupando parte da pista de rolamento. Devido à escuridão do ambiente, apesar da iluminação adequada do veículo, não foi possível desviar a tempo para evitar a colisão, resultando apenas em danos materiais em ambos os veículos.</t>
  </si>
  <si>
    <t>O operador de retroescavadeira, transitava na via de acesso da subestação realizando coleta de materiais descartáveis madeiras e tambor na concha, ocasionando uma colisão na traseira do veículo L200 que estava estacionado próximo a faixa de pedestre.</t>
  </si>
  <si>
    <t>Houve um incêndio no reator de barra PDRE7-09 500 kV, causando derretimento de cabos, muita fumaça e vazamento de óleo isolante, onde ele foi contido pelas bacias de contenção de óleo do equipamento.</t>
  </si>
  <si>
    <t>Por volta das 14h, ocorreu uma explosão no capacitor de equalização PDDJ7-01 FASE V 500kV. Esse evento gerou um arco elétrico de grande magnitude e provocou um princípio de incêndio em materiais sólidos do equipamento. Alguns estilhaços foram projetados nas redondezas do aparelho e, durante a ocorrência, notou-se a presença de fumaça nas proximidades do equipamento.</t>
  </si>
  <si>
    <t>Por volta das 09:00 horas da manhã ao acessar o deposito 1 e 2. localizados no CPPMQA em atendimento ao serviço de confecção de estrutura de madeira e instalação das novas placas do CPPMQA o funcionario da Empresa JF Tecnologia, Valdir Pinto Moraes percebeu que algo estava caminhando sobre sua camisa e ao passar a mão direita foi picado por um escorpoão.</t>
  </si>
  <si>
    <t>Trabalhador ao entrar no recinto de animais silvestres, foi mordido por um porco na perna direita</t>
  </si>
  <si>
    <t>Ao se deslocar para o trabalho, colaborador sofreu uma queda de moto, devido uma árvore que havia caído na Estrada.</t>
  </si>
  <si>
    <t xml:space="preserve">Ao executar a atividade de manutenção de tratamento anticorrosivo em quadro elétrico no pátio da Subestação Bongi. O empregado próprio executava a atividade posicionado sobre a tampa de canaleta, em frente ao referido quadro elétrico. Após cerca de 1h, a tampa da canaleta quebrou e afundou juntamente com o empregado. </t>
  </si>
  <si>
    <t>A empregada estava chegando na empresa, em torno da 7h20 da manhã, quando escorregou no estacionamento do COS, em frente a portaria, caindo com o joelho esquerdo no chão. Nesse dia, o chão estava molhado, devido às chuvas.</t>
  </si>
  <si>
    <t>A empregada estava saindo da empresa, em torno das 18h, pisou à frente e não viu o batente caindo no chão com os dois joelhos, ao lado da portaria do COS, mais precisamente no caminho entre o refeitório e a portaria da saída.</t>
  </si>
  <si>
    <t>O empregado próprio ao descer as escadas do prédio Anexo 2 pisou em um parafuso, que perfurou seu calçado e causou um ferimento em seu pé esquerdo. O empregado retirou o objeto sozinho, reportou aos presentes na recepção e seguiu para casa para fazer os primeiros socorros e curativos necessários.</t>
  </si>
  <si>
    <t>A empregada Eletrobras Chesf, ao sair da companhia escorregou ao atravessar a rua, vindo a cair, ocasionando lesão no cóccix.</t>
  </si>
  <si>
    <t>O empregado próprio estava realizando o trajeto em área urbana, de sua residência para a instalação onde trabalha (Eletrobras Chesf - sede Anexo II), utilizando uma motocicleta quando houve um choque com outra motocicleta, de forma que a mão do empregado recebeu uma parte do impacto ocasionado pelo choque. A outra motocicleta envolvida transportava na garupa uma gaiola de ferro utilizado para transporte de carga, com limite excedente fazendo que essa parte atingisse o guidão e mão direita do empregado, causando a lesão no metacarpo</t>
  </si>
  <si>
    <t>Ao adentrar no bloco B do edifício sede da Eletrobrás Chesf, o empregado próprio trainee escorregou para frente ao pisar com o pé direito no chão molhado, caindo com o joelho esquerdo no chão. Não sofreu lesão.</t>
  </si>
  <si>
    <t>O empregado próprio, após o expediente de trabalho, durante o retorno para casa, tropeçou em um desnível da calçada, próximo ao ponto de ônibus fora da empresa, vindo a cair e sofrer escoriações no joelho direito.</t>
  </si>
  <si>
    <t>Empregado próprio, ao conduzir veículo da frota Eletrobras Chesf, tipo caminhonete, placa QYD2449, na BR 101, durante o trajeto para a subestação de Mirueira, colidiu na traseira de um veículo (Placa KJH2G36), que se deslocou e colidiu na traseira de outro veículo (Placa KYT9J60). O choque foi devido uma diminuição brusca de velocidade veículo QYD2449. Não houve lesão aos colaboradores da companhia.</t>
  </si>
  <si>
    <t>1mês</t>
  </si>
  <si>
    <t>O empregado prórpio, ao conduzir a sua motocicleta da sua residência para o trabalho,ao tentardesviar de um cachorro na Av Doutor Cláudio José Gueiros Leite, na frente da escola municipal Maria José Barbosa (Recife-PE) ,colidiu com o animal atravessando a avenida,vindo a cair ao solo.</t>
  </si>
  <si>
    <t>O Empregado próprio trafegando em pista molhada, ao desviar de um buraco, o veículo rodou e colidiu com o muro do condomínio.</t>
  </si>
  <si>
    <t>O representante da empresa FVA Glass, empresa parceira (fornecedor) da empresa contratada CETEST Minas,  ao executar serviço de entrega de girafa hidráulica, durante a atividade de elevar o equipamento ele se desprendeu da sua mão, vindo a pressionar o seu dedo. Ao puxar a mão o mesmo teve sua unha e parte do dedo lesionados, causando fratura exposta na falange distal do quarto quirodáctilo direito.</t>
  </si>
  <si>
    <t xml:space="preserve">O empregado terceirizado, durante a limpeza do banheiro, apoiou levemente a bucha de limpeza na cuba para lavá-la. Ao fazer isso, a cuba se desprendeu, caindo no chão e quebrando. </t>
  </si>
  <si>
    <t>O colaborador terceirizado estava chegando para iniciar sua jornada de trabalho quando se chocou com a porta de vidro da sala de monitoramento. Sofreu um pequeno arranhão próximo ao supercílio esquerdo, causado pela armação de seus óculos.</t>
  </si>
  <si>
    <t>O empregado terceirizado ao erguer o andaime para transportá-lo, não percebeu o desnível no piso e pisou em falso, perdendo a sustentação do corpo. Nesse momento, seu braço ficou preso entre o andaime e a parede que estava sendo trabalhada, realizando um movimento semelhante ao de uma alavanca, o que ocasionou a lesão no braço esquerdo.</t>
  </si>
  <si>
    <t>O empregado terceirizado, ao realizar serviço de sondagem com a utilização de martelete rompedor rotativo para medições de gases em solo, na área próxima ao laboratório de físico-química, atingiu o cabeamento subterrâneo da subestação que fica atrás do laboratório, atuando a proteção de sobrecorrente da chave fusível do transformador que alimenta prédios administrativos do ANEXO VI. A descarga elétrica produzida não atingiu o operador, que foi protegido pelo isolamento elétrico do equipamento. O equipamento ficou danificado (queimou). Não houve nenhuma implicação ao colaborador. O operador estava acompanhado do líder da equipe durante a execução do trabalho.</t>
  </si>
  <si>
    <t>A empregada terceirizada ao ergueu a vassoura para retirar do carrinho de limpeza, sem se dar conta da altura do forro, atingindo a bandeja que se desprendeu e caiu sobre sua cabeça, sem causar ferimentos.</t>
  </si>
  <si>
    <t>O empregado terceirizado estava descartando dois baldes com água coletados de infiltrações da sala C309 (Edf Sede) e ao despejar o conteúdo do segundo balde na pia, a cuba se desprendeu e caiu no chão. A cuba de louça quebrou em vários pedaços, mas não provocou lesão no empregado.</t>
  </si>
  <si>
    <t>O empregado terceirizado que conduzia o veículo da Eletrobras Chesf, placa DKH5F46, tipo caminhão, após abastecimento, sofreu uma colisão lateral leve, de um veículo de terceiro, ainda nas dependências do posto de combustível, AUTO POSTO BOM DE PREÇO, BR-230, KM 77/,1 SN, Riachão do Poço - PB, ocasionando pequenos danos leves no veículo da frota própria citado e no veículo tipo picape TORO, de terceiro, placa OGE4492. Não houve vítimas dos danos materiais citados. Após nivelamentos no local o condutor terceiro saiu do local e o nosso ativo seguiu viagem.</t>
  </si>
  <si>
    <t>Durante execução de manobras para isolamento e posterior normalização, controladas pelo COSE, houve descumprimento de procedimentos</t>
  </si>
  <si>
    <t>Durante atividade de reparo de cabos de LT, roldana que suspendia o cabo se soltou e atingiu a mão do colaborador, provocando fraturas em 2 dedos</t>
  </si>
  <si>
    <t>Um empregado terceirizado, que realizaria a atividade de substituição de espaçador, se preparava para acessar o cabo, momento em que ocorreu o desprendimento de um pequeno pedaço de concreto, que estava localizada na proximidade da união do poste com a cruzeta da estrutura. Esse pedaço de concreto se chocou em seguida com a ferragem da cadeia de isoladores e foi projetado a uma distância de aproximadamente  6 metros da base da torre, atingindo um outro eletricista que estava dando apoio no solo, ocasionando um corte na boca e consequente queda do colaborador com o impacto. Ele estava utilizando o capacete, balaclava e os óculos de proteção, além da vestimenta, luvas e botas.</t>
  </si>
  <si>
    <t>o condutor teve que carregar um barril de óleo diesel na parte de trás da caminhonete. Por não ter fixado adequadamente o objeto, ao frear devido às condições da estrada, o recipiente se deslocou para a frente, causando danos no vidro traseiro do veículo.</t>
  </si>
  <si>
    <t>Na manhã desta quarta-feira, dia 09 de outubro, a colaboradora MARIA CRISTINA SILVA DO NASCIMENTO sofreu um acidente de trânsito à caminho do trabalho, às 6:40 da manhã, antes de bater o ponto de entrada em seu serviço. Não houve fratura ou sangramento. A funcionária foi encaminhada ao Pronto Socorro da cidade, e após toda a bateria de exames urgentes, está em casa de alta. Foi passado 2 medicamentos: um remédio para dor e um anti-inflamatório.</t>
  </si>
  <si>
    <t>O funcionário estava realizando o serviço de inspeção visual do nível de óleo no tanque de expansão do comutador AT 6-02 e durante a execução da tarefa, ao caminhar sobre o pátio da subestação em área britada, sofreu um tropeção e torceu levemente o tornozelo direito.</t>
  </si>
  <si>
    <t>Empregado vítima de atropelamento por veículo de passeio em frente ao Edifício Barão de Mauá</t>
  </si>
  <si>
    <t>Ao descer a rampa que dá acesso a garagem de bicicletas no EBM, empregada caiu da bicicleta, machucando rosto e pernas</t>
  </si>
  <si>
    <t>Perfuração de dedo por grampo de etiqueta de identificação de materiais de estoque no Almoxarifado da SE Jacarepaguá / RJ</t>
  </si>
  <si>
    <t>No trajeto entre a residência e o restaurante o colaborador pisou em falso num desnível, provocando uma queda e 2 fraturas</t>
  </si>
  <si>
    <t>Ao fechar o portão de ferro prensou o dedo anelar, causando luxação leve</t>
  </si>
  <si>
    <t>Ao descer da plataforma Palfinger P200A, o funcionário torceu o tornozelo direito ao pisar no piso de brita da subestação</t>
  </si>
  <si>
    <t>Queda ao atravessar a faixa de pedestre, com entorse do pé direito</t>
  </si>
  <si>
    <t>Torção do tornozelo do pé direito, seguida de queda da própria altura, causado por desnível no piso, na saída "F" do Metrô da Cinelândia, na Av. Rio Branco, 251</t>
  </si>
  <si>
    <t>Ao dar apoio para levantar a tampa de drenagem, um material soltou, colidindo com a mão do funcionário, causando uma luxação no canto esquerdo da mão</t>
  </si>
  <si>
    <t>Durante deslocamento para Rio Grande/RS, colaborador avançou a preferencial provocando abalroamento. Não houve lesões</t>
  </si>
  <si>
    <t>O empregado terceirizado ao iniciar a escalada na estrutura 120/1, na LT 05V7, foi surpreendido por algumas abelhas do tipo moribundos, que o picaram próximo ao olho e à orelha. Devido à intensa dor causada pelas picadas, o empregado foi prontamente levado pelo encarregado ao posto de saúde da cidade de Rio Real para receber tratamento médico.</t>
  </si>
  <si>
    <t>Enquanto realizava distribuição de garrafas de café, a empregada sofreu escorregão ao pisar em folhas molhadas caídas na porta da sala de manutenção.</t>
  </si>
  <si>
    <t>Por volta das 08:50 horas, o jardineiro Antônio Bessa Da Silva estava realizando podas de alguns galhos das palmeiras, quando atingiu um galho com cachopa de marimbondo, o Sr. Antônio Bessa Da Silva foi acertado por 6 marimbondo, ocasionando inchaços pelo rosto e dores de cabeça</t>
  </si>
  <si>
    <t>Motorista estava em movimento prestando apoio de transporte de retorno de Cuiabá para Rondonópolis após término de curso para o endereço AV Governador Júlio José de Campos com a AV Lions Internacional, quando avistou a 30 metros faixa de pedestre o mesmo acionou a o pisca alerta e parou o veículo próximo com veículo já parado recebeu a colisão na parte traseira do veículo locado que conduzia.</t>
  </si>
  <si>
    <t xml:space="preserve">Empregado terceirizado ao deslocar-se de moto em seu caminho habitual de casa para trabalho, sofreu colisão de um veículo de passeio que fez uma mudança de faixa repentina e veio a colidir com a moto. </t>
  </si>
  <si>
    <t>Empregado terceirizado enquanto realizava descarregamento de peças de torres (conjunto de feixes), sofreu impacto na canela de um feixe que rolou e prensou sua perna na parede do caminhão.</t>
  </si>
  <si>
    <t>Durante manuseio da tampa do mancal da unidade geradora, uma das cordas utilizadas para supender, arrebentou, vindo a ficar apoiada sobre as pranchas. Não houve lesões</t>
  </si>
  <si>
    <t>O empregado próprio, ao sair da oficina com destino a Fortaleza, percebeu instabilidade do veículo de prefixo 128724, parou na subestação de Russas II (local mais próximo e seguro), inspecionou o veículo e identificou que os parafusos da roda dianteira, lado do motorista, estavam folgados. Veículo estava em manutenção recorrente no sistema de freios e foi entregue pela oficina credenciada na cidade de Russas/CE.</t>
  </si>
  <si>
    <t xml:space="preserve">O empregado terceirizado estava posicionando a escada isolante na cadeia V esquerda quando a corrente prendeu na luva, resultando em uma pressão na extremidade do dedo contra a treliça, o que ocasionou um corte na pele. O eletricista conseguiu descer sem a necessidade de ajuda ou uso da linha de resgate, pois estava se sentindo bem e tranquilo. No solo, o técnico de segurança realizou um curativo como primeiro atendimento, onde será avaliado em posto de saúde. </t>
  </si>
  <si>
    <t>O empregado próprio, durante o deslocamento de casa para a CHESF por meio de transporte público (ônibus/metrô/ônibus). Próximo à estação de transbordo AEROPORTO o ônibus estava se aproximando da área do desembarque quando fez uma parada brusca, o empregado estava com o braço esquerdo segurando na barra superior e a outra mão segurando a mochila e foi projetado para a frente. Sentiu uma fisgada no dedo da mão que estava segurando a barra, porém não apresentou incômodo imediato. No turno da tarde, iniciou uma dor forte progressiva e o dedo estava “estalando” quando o mexia. No dia seguinte, foi à clínica ORTOPED, onde foi feito o atendimento emergencial, raio X do dedo, diagnóstico de fissura na parte externa na falange do dedo midinho.</t>
  </si>
  <si>
    <t>Durante movimentação da PEMT sobre o pátio britado, uma das rodas afundou sobre a tampa de uma caixa do sistema de drenagem encoberta pela brita.</t>
  </si>
  <si>
    <t xml:space="preserve">Durante a atividade de reconexão dos pulos que interligam as chaves 34T2-1 a 34T2-6, desligadas e isoladas, o braço articulado da PEMT 1188128 da Mills, modelo 800AJ, desceu lentamente sem o comando do operador. Vale ressaltar que, no dia anterior, foi realizado o check list de inspeção e operação da PEMT com resultados satisfatórios e emissão de laudo técnico, com participação de técnico da Mills. </t>
  </si>
  <si>
    <t>No início das atividades ao abrir o portão de acesso à área restrita da SE Pituaçu, o funcionário sentiu dores na região lombar.</t>
  </si>
  <si>
    <t>Durante perfuração da estrutura, o colaborador teve o dedo anelar da mão direita prensado causando um pequeno corte, ocasionado pelo travamento da broca da furadeira</t>
  </si>
  <si>
    <t>Ao movimentar uma tampa de canaleta, o colaborador teve a extremidade superior do dedo médio da mão esquerda atingido pela mesma</t>
  </si>
  <si>
    <t>Ao retirar um recipiente de vidro da geladeira a empregada teve os dedos cortados devido à queda do recipiente sobre sua mão</t>
  </si>
  <si>
    <t xml:space="preserve">Durante a atividade de lançamento de cabos para raios nas proximidades da estrutura 77/1, a camisa de emenda temporária, usada para levar o cabo antigo até a bobina, ao passar através do puller se rompeu. </t>
  </si>
  <si>
    <t>O empregado terceirizado, após escalar a estrutura, estava manuseando o julgo para entregar ao eletricista de topo, quando lesionou o ombro.</t>
  </si>
  <si>
    <t>Durantte deslocamento para Santo Ãngelo , colaborador avançou preferencial ocasioando a colisão. Não houve lesões</t>
  </si>
  <si>
    <t>O empregado próprio, durante o trajeto de deslocamento entre as Subestações de Mussuré II e Santa Rita II o operador perdeu o controle da direção do veículo na via, que saiu da pista, vindo a capotar. No momento da ocorrência, o operador dirigia o veículo sozinho, sem acompanhante.</t>
  </si>
  <si>
    <t>Ao iniciar manobra de elevação dos colaboradores com cesto acoplado, ocorreu desprendimento do olhal superior de sustentação de cesto.Não houve lesões</t>
  </si>
  <si>
    <t>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t>
  </si>
  <si>
    <t>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t>
  </si>
  <si>
    <t>Durante a desmontagem da treliça do guindaste para desmobilização, o colaborador ajudante operador de guindastes se posicionou  sobre a peça. Ao retirar o pino que une as treliças, tendo em vista a mesma estar tensionada , houve um efeito "catapulta" tendo o colaborador se desequilibrado e caido da treliça, ficando preso pelo cinto. Durante a queda, o colaborador teve escoriações no braço e região  da costela. Foi atendido e conduzido ao hospital para exames complementares.</t>
  </si>
  <si>
    <t>Funcionario utilizava uma parafusadeira eletrica com uma broca para misturar o graute quando, durante a atividade a broca se quebrou tendo projetado contra o braço do profissional. O material rasgou o uniforme causando um pequeno corte no braço.</t>
  </si>
  <si>
    <t>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t>
  </si>
  <si>
    <t>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t>
  </si>
  <si>
    <t>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t>
  </si>
  <si>
    <t>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t>
  </si>
  <si>
    <t>O funcionario estava realizando a organização de linha de vida provisoria em cima de paletes de madeira no almoxarifado, quando não percebeu um palete no chão com prego virado de ponta e pisou em cima.</t>
  </si>
  <si>
    <t>Durante o descarregamento de um bloco estrutural movimentado na concha da retroescavadeira na SE, o operador não percebeu a presença do funcionario da Bassani e acabou atingindo a perna causando lesoes no pe e na canela.</t>
  </si>
  <si>
    <t>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t>
  </si>
  <si>
    <t>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t>
  </si>
  <si>
    <t>Na madrugada do dia 03/03/2024, um vendaval atingiu a Usina Eólica Coxilha Negra causando danos significativos as estruturas das empresas contratadas. Nenhum trabalhador sofreu lesões por conta deste evento</t>
  </si>
  <si>
    <t>Segundo relato do líder, o colaborador estava acessando o T-7 da torre, quando ao subir em uma escada fixa portando ferramentas manuais, escorregou e caiu sobre a plataforma, de uma altura aproximada de 0,80m. O impacto gerou torção em seu tornozelo direito</t>
  </si>
  <si>
    <t>Quando realizava a oleta de resfduos, com apoio do caminhao munck, houve um acidente envolvendo os colaboradores, Orlando Junior Silva Graces, operador do carninhão munck da empresa TOP WIND, Jose Vinicius Rosada Silva e Carlos Alberto Almeida Rodrigues ambos auxiliares de cargas e descargas da empresa CONFER, O colaborador Jose Vinfc ius Rosada Silva estava sobre a carroceria do caminhao munck, quando ao puxar sobras de cordoalhas (cabo azul) por uma cinta deelevacao, teve seu dedo minimo esquerdo uma leve perfuracao com um dos pregos que tinha no caixote de madeira que estava acima da carroceria do caminhao munck.</t>
  </si>
  <si>
    <t>Durante deslocamento, condutor da van dormiu no volante, caindo em uma valeta. Não houve lesões a nenhum ocupante da van</t>
  </si>
  <si>
    <t>Ao realizar a movimentação de carga (caixote de madeira), devido o piso iregular o garfo recolheu danificando o pino de travamento, desequilibrando a carga e atingindo a parte frontal do veículo. Não houve danos pessoais.</t>
  </si>
  <si>
    <t>Estava em cima do caminão para colocar os cabos no moitão do guindaste, após concluir, o mesmo deu um passo para trás pisando em falso e vindo a cair da carreta.</t>
  </si>
  <si>
    <t>Ao abrir a porteira o cambão de madeira escorregou de suas mãos e atingiu sua boca.</t>
  </si>
  <si>
    <t>Durante o acesso à carroceria do caminhão munk, utilizando a escada do veículo, empregado escorregou, perdendo o equilíbrio e caindo ao solo.</t>
  </si>
  <si>
    <t xml:space="preserve"> Colaborador ao tentar fechar a porteira (n. º 19), de acesso à área onde seria realizada a atividade de grout vertical (junção dos segmentos da torre), deixou o Trinco da porteira escorregar de sua mão, atingindo sua boca.</t>
  </si>
  <si>
    <t>Na porteira N° 15, próxima à CN 03-08, ocorreu evento com o motorista de carreta C.T.M. Enquanto ele estava transportando peças da LG e ao abrir a porteira, que estava sob muita tensão, o cambão de madeira escorregou de suas mãos e atingiu sua boca.</t>
  </si>
  <si>
    <t>Colaboradora Técnica de Enfermagem da Empresa Radar, ao descer da ambulância, acabou escorregando nos degraus vindo a cair ao solo.</t>
  </si>
  <si>
    <t>Ao descer da carreta tipo escritório, a colaboradora escorregou nos degraus da escada de acesso vindo a cair ao solo.</t>
  </si>
  <si>
    <t>Colaborador da Empresa CONFER, durante o deslocamento de Santana do Livramento ao canteiro de obras em Coxilha Negra, próximo ao acesso ao PECN,  pneu de seu veículo rasgou/estourou. Como resultado, o veículo saiu da pista de rodagem  e chocou-se com uma cerca de madeira, causando apenas danos materiais.</t>
  </si>
  <si>
    <t>Durante a movimentação de peças, colaborador da Empresa Darcy Pacheco, ao manobrar uma carreta em marcha à ré, acabou tocando lateralmente na ambulância da Empresa Radar, que estava estacionada e sem ocupantes no interior. A ocorrência resultou apenas em danos materiais.</t>
  </si>
  <si>
    <t>O trabalhador JAC da empresa GEL Engenharia relata que se deslocava para a frente de serviço na Jazida 12 para retirada material arenoso e parou para utilizar o banheiro químico da RMT. Para acessar o banheiro foi necessário pular uma vala de drenagem próxima e ao retornar o caminhão o colaborador sofreu distensão muscular em sua perna direita ao pular novamente a vala.</t>
  </si>
  <si>
    <t>Aodeslocar-se pelo setor de carpintaria, para pegar material quando sem perceber pisou em um pedaço de madeira com prego pontiagudo, que perfurou o solado da botina de segurança e atingiu o seu pé esquerdo.</t>
  </si>
  <si>
    <t>Lesão causada por material pontiagudo</t>
  </si>
  <si>
    <t xml:space="preserve"> Durante a abertura da porteira nº 23 para acessar o local de trabalho, o colaborador da empresa Ambiclean foi atingido no rosto pelo cambão que mantinha a porteira tensionada ao moirão. O evento não causou lesões</t>
  </si>
  <si>
    <t>Colaborador da empresa GEL, conduzia um caminhão basculante carregado com solo mole. Durante o trajeto em direção á jazida 12, ao passar pela porteira 48, o veículo deslizou para dentro da vala, ficando atolado.</t>
  </si>
  <si>
    <t>Ao realizar manobra com o caminhão carreta ma CN04-18, colidiu com um componente do aerogerador(blade), que estava acondicionado no berço para futura instalação.</t>
  </si>
  <si>
    <t>Ao se deslocar de Santana do Livramento para o canteiro de obras em Coxilha Negra, o condutor do caminhão da Empresa Sinal Engenharia acabou entrando em uma "vala" localizada no acostamento. Não ocorreram danos materiais ou pessoais</t>
  </si>
  <si>
    <t>Durante a realização da lavagem de louças no refeitório da Empresa Ninos Alimentos, localizado em Coxilha Negra, a profissional sofreu um corte no dedo indicador direito ao quebrar um copo.</t>
  </si>
  <si>
    <t>Durante a execução de atividades de injeção de impermeabilizante nos aerogeradores, colaborador da empresa Calter, ao concluir a tarefa, foi realizar o registro fotográfico do trabalho realizado. Nesse momento, a mangueira de injeção rompeu parcialmente, jateando calda de cimento que acabou atingiu seu rosto. É importante ressaltar que o colaborador utilizava óculos de proteção durante a atividade.</t>
  </si>
  <si>
    <t>Colaborador da empresa Bassani Engenharia, ao retornar da cidade de Santana do Livramento, onde realizava compras administrativas, em direção ao canteiro de obras, perdeu o controle do veículo devido a problemas mecânicos, resultando em um capotamento</t>
  </si>
  <si>
    <t>Colaborador foi atingido na mão por objeto após cabos de aço do elevador saírem da roldana guia, causando fratura nos dedos.</t>
  </si>
  <si>
    <t>Durante a movimentação de uma das pás do aerogerador pela empresa Confer, ocorreu um movimento pendular que resultou no impacto com o para-brisa do guindaste, causando danos materiais leves ao veículo.</t>
  </si>
  <si>
    <t>O operador de guindaste da empresa Confer, durante a movimentação de desverticalização do gerador na CN2-24, colidiu com a PEMT que estava estacionada na área de movimentação. Apenas danos materiais.</t>
  </si>
  <si>
    <t>Ao realizar movimentação manual de tampas de concreto de um local para o outri, relatou dor na região da verilha.</t>
  </si>
  <si>
    <t>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t>
  </si>
  <si>
    <t>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t>
  </si>
  <si>
    <t>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t>
  </si>
  <si>
    <t>Ao realizar transporte manual de cargas sem uso de luvas, um dos pedestais escorregou vindo a sofrer um corte na mão</t>
  </si>
  <si>
    <t>Ao bater a alavanca para descompressão, durante o pneus, o cabo da marreta rompeu atingindo a parte inferior da perna esquerda, causando contusão.</t>
  </si>
  <si>
    <t>Durante atividade de rolo de pneus em terraplanagem, ao descer do equipamento, escorregou ao pisar no estribo batendo a perna direita. Houve leve lesão</t>
  </si>
  <si>
    <t>Durante deslocamento da cidade de Santana do Livramento para a obra, o veículo conduzido pelo colaborador da Gel (J.P.N.L), saiu da pista de rodagem tendo adentrado a vegetação lateral a pista</t>
  </si>
  <si>
    <t>Durante deslocamento do canteiro de obras de Coxilha Negra a Santana do Livramento, ônibus que realiza o transporte dos colaboradores da Empresa GEL, apresentou problemas mecânicos, sendo necessário sua substituição. Ao realizar acesso ao ônibus, o colaborador colidiu o joelho com os degraus da escada.</t>
  </si>
  <si>
    <t>Após a execução de solda em um perfil de aço, o colaborador (I.M.G), retirou suas luvas de proteção, e estava recolhendo os materiais utilizados na atividade. Quando sem perceber acabou apoiando sua mão no perfil que havia efetuado a solda e que estava quente.</t>
  </si>
  <si>
    <t>Ao movimentar andaime móvel para realizar uma atividade de pintura, o colaborador P.G.C.S. soltou a tubulação, resultando no aprisionamento do dedo e de parte do pulso.</t>
  </si>
  <si>
    <t>Equipe estava realizando a desmobilização da usina de concreto utilizando caminhão munck na movimentação das peças, quando o colaborador L.F.S.O., que estava auxiliando no posicionamento de um motor, manteve a mão no raio de movimentação da carga, sofrendo um prensamento dos dedos.</t>
  </si>
  <si>
    <t>Conforme relato, o colaborador estava abrindo a porteira de N° 22 quando o cambão, que a mantém presa e tensionada ao moirão, se soltou, vindo a atingir o lado esquerdo de seu rosto, na região da face.</t>
  </si>
  <si>
    <t>Um empregado terceirizado, ao sair do trabalho na subestação de Santo Antônio de Jesus, sofreu uma queda de bicicleta após o "garfo" da bicicleta soltar, o que resultou na colisão de seu rosto com o chão, ocasionando a quebra de um dente.</t>
  </si>
  <si>
    <t>Choque elétrico por indução durante substituição de cadeias de isoladores</t>
  </si>
  <si>
    <t>Ao sair do local de treinamento para almoçar, ela virou o pé em um desnível na calçada da ladeira, causando entorse no tornozelo esquerdo</t>
  </si>
  <si>
    <t>Durante a atividade de troca de isoladores de cadeia “V” em torre autoportante tipo A, realizada por empregado terceirizado, o jugo RITZ lado terra foi instalado em uma base para se construir um retângulo de forças. No início do tracionamento, o pino da base que disciplina o jugo se partiu, promovendo redistribuição dos esforços na cadeia de isoladores voltando a ficar tracionada. Houve danos materiais e sem lesão ao empregado.</t>
  </si>
  <si>
    <t>Atividade de limpeza de calha sendo realizada sobre laje de 5 metros de altura sem medidas de proteção (documentações, PEX, PT, APR e Epi´s e proteção contra quedas)</t>
  </si>
  <si>
    <t>Colaborador teve 2 dedos da mão prensados pelo extintor de incêndio durante transporte para o caminhão, causando ferimento superficial.</t>
  </si>
  <si>
    <t>O colaborador ao efetuar a retirada de uma das barras do estator da UG08, a corda arrebentou vindo a alavanca chocar-se contra a perna esquerda do mesmo, entre a canela e o joelho</t>
  </si>
  <si>
    <t>Durante o enchimento com ar comprimido em um Disjuntor para realização de testes, a válvula de segurança atuou. O deslocamento de ar danificou o telhado do local de ensaios. Não houve danos físicos a nenhum dos colaboradores.</t>
  </si>
  <si>
    <t>Irritação ocular durante manuseio de pó de argamassa</t>
  </si>
  <si>
    <t>Durante o serviço de supressão de vegetação no trecho de uma LT, ocorreu um ricocheteamento de um pedaço da galha da árvore na testa do empregado contratado, após a referida galha vir ao solo e ricochetear pois estava tracionada para guiar a queda.</t>
  </si>
  <si>
    <t>Durante serviço de regularização de estrada de acesso às estruturas 15/03 da LT 04C4 (RCD/MRR) e 21/04 da LT 04C8/C9 (RCD/GNN) - (circuito duplo), ocorreu o afundamento parcial da retroescavadeira RET0009 em terreno alagadiço. Observando a eventual impossibilidade de retirar o equipamento com os recursos próprios da retroescavadeira (pá frontal, patolas e concha traseira), o operador decidiu abandonar a cabine da máquina, por questão de segurança. Após sua saída da cabine, a máquina afundou um pouco mais até a estabilização.</t>
  </si>
  <si>
    <t>Colaboradora terceirizada estava em seu posto de trabalho (portaria), quando um veículo se aproximou e ela foi realizar o procedimento de verificação na mala do veículo e, ao se aproximar, ela escorregou no tapete da portaria, desequilibrou e caiu.</t>
  </si>
  <si>
    <t xml:space="preserve">O empregado estava em deslocamento de retorno de viagem a serviço para o aeroporto em um taxi, quando o veículo foi atingido por uma caminhão na lateral esquerda. </t>
  </si>
  <si>
    <t>Na torre 31 da LT São Luis II-III, 4 colaboradores terceirizados estavam em atividade, sendo dois deles em cima da torre. O colaborador acidentado se preparava para escalar a torre quando o quarto empregado, com auxílio de corda de serviço realizava o içamento de 3 polias. Durante a subida, uma das polias veio a esbarrar na estrutura e soltando-se da corda de serviço. Na queda do equipamento, o material acertou a cabeça do colaborador que se preparava para escalar a torre. Ele estava com capacete e todos os EPIs inerentes a atividade.</t>
  </si>
  <si>
    <t>Ao abrir um portão metálico que dá acesso alternativo ao pátio da subestação, o portão quebrou e caiu em direção ao colaborador. Houve um leve ferimento na mão e na perna esquerda.</t>
  </si>
  <si>
    <t>O colaborador terceirizado estava realizando serviços de supressão de vegetação rasteira, em atividade rotineira no terreno da Eletrobras-Eletronorte quando foi atacado pelas costas por um enxame de abelhas.</t>
  </si>
  <si>
    <t xml:space="preserve"> Durante atividade de pintura externa de um prédio o trabalhador subiu sem cinto no primeiro lance dessa estrutura de andaime para fazer a desmontagem do mesmo e vindo a se desequilibrar por ter pisado em falso ao lado da base, sofrendo uma queda de aproximadamente 1 metro e tendo seu corpo arremessado contra a própria estrutura do andaime, além de seu braço preso em um das partes. O colaborador relatou dor intensa no seu braço. </t>
  </si>
  <si>
    <t>Empregado terceiro foi encontrado acessando área de risco elétrico sem autorização, sem EPI necessários, exerceu resistência em obedecer a solicitação de saída e criticou de forma jocosa as regras de segurança da Eletrobras.</t>
  </si>
  <si>
    <t>O empregado em deslocamento com veículo próprio entre sua residência e o trabalho (LT FIIV3) colidiu com a traseira de outro veículo que transitava no mesmo sentido e em baixa velocidade</t>
  </si>
  <si>
    <t>Acidente de moto durante deslocamento para a Subestação de Guarulhos, causando dores no braço.</t>
  </si>
  <si>
    <t xml:space="preserve">Na atividade de substituição de isolador na estrutura 86 da LT 04M3 CTUGVM realizada pela empresa contratada, durante a aproximação do eletricista ao potencial, o olhal da escada isolante em que estava posicionado, arrastou o estai de sustentação da estrutura, aproximando-o da fase, o que gerou um arco elétrico.  O eletricista usava roupa condutiva por cima da roupa antichama e não sofreu nenhuma descarga elétrica, ficando exposto aos efeitos térmicos do arco elétrico na face e não havendo outros danos pessoais percebidos. A atividade estava sendo acompanhada pela fiscalização operacional ELB Chesf e pela fiscalização EPER de Segurança do Trabalho. </t>
  </si>
  <si>
    <t>Durante deslocamento na BR 116, ocorreu uma colisão na traseira do veículo de trabalho por um terceiro. Não houve lesões.</t>
  </si>
  <si>
    <t>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t>
  </si>
  <si>
    <t>Funcionário terceirizado, durante os trabalhos de passagem de cabo entre a caixa de interface do sistema de videomonitoramento e a guarita, para instalação de um ramal VoIP, feriu-se ao empurrar a tampa de concreto para fechar a caixa de passagem. O empregado estava usando EPI (luva), o corte foi no dedo maior da mão esquerda, causando ferimento na unha.</t>
  </si>
  <si>
    <t>Durante atuação no painel do LTC do AT02FB, o trabalhador se assustou com marimbondos no local e desequilibrou-se da base, caindo sentado para trás. A queda causou escoriação na cabeça e desconforto na região do cóccix.</t>
  </si>
  <si>
    <t xml:space="preserve">O operador de instalação realizava teste no sistema de ventilação forçada do 04T3/CTG.  No momento que foi testar o grupo 2 de ventilação, ocorreu quebra de hélices do moto ventilador número 14. Após a quebra, duas das hélices ficaram presas na grade de proteção, mas uma delas foi projetada para fora e alcançou uma distância aproximada de 5m. Como o OPI já estava do lado oposto do trafo 04T3, não sofreu nenhum dano ou lesões. </t>
  </si>
  <si>
    <t xml:space="preserve">O operador de instalação realizava manobras de liberação da LT-02L2/CTG para intervenção da COELBA. No momento que foi realizar fechamento da seccionadora 32L2-7, ocorreu quebra do varão vertical próximo ao conector superior. Após a quebra, o varão arriou  lentamente e o operador conseguiu segurá-lo e direcionar ao chão em segurança. </t>
  </si>
  <si>
    <t>Colaborador ao deslocar-se de moto em seu caminho habitual de trabalho para almoço, sofreu uma colisão junto a um veículo de passeio.</t>
  </si>
  <si>
    <t>Durante atividade de substituição de cadeia de isoladores “I” na LT 05S4 LGZ/OLD, na estrutura 133/4, com eletricista da contratada Real Energy, durante etapa de retirada de parte da cadeia de isoladores, ocorreu a queda dos oito primeiros discos de vidro. O material atingiu o solo longe da equipe de apoio.</t>
  </si>
  <si>
    <t>Durante a  atividade de movimentação de carga (porta-buchas), com utilização de ponte rolante, ocorreu deslocamento da carga quando eram içados duas porta-buchas simultaneamente, vindo em direção ao colaborador que estava próximo da atividade sem resvalar no mesmo.</t>
  </si>
  <si>
    <t>Durante a realização de atividades de limpeza e recolhimento de materiais na plataforma de manutenção adjacente à comporta vagão da máquina 2, ocorreu a execução de um comando pelo sensor de posição do sistema fazendo com que a comporta iniciasse a descida sem a comunicação com o colaborador que encontrava-se próximo, causando um enorme susto no mesmo. Não foi registrado nenhum dano material ou lesão ao colaborador com o incidente. Importante mencionar que o sistema é autorizado a funcionar com pessoas próximas desde que cumpridos os procedimentos próprios dentre os quais a comunicação entre as partes.</t>
  </si>
  <si>
    <t>No momento em que o colaborador foi realizar o acionamento de uma bomba, no piso 04, ao lado da máquina 01, ele recebeu uma descarga elétrica na carcaça do painel onde a bomba estava ligada. Colaborador está bem, sem lesões.</t>
  </si>
  <si>
    <t>Durante a atividade de remoção das borrachas anti vibração da unidade geradora 01G1 o colaborador utilizava a ferramenta para a suspensão das chapas, conhecidas como “pé de cabra”, que segundo seu relato, escorregou na estrutura da chapa, quando o mesmo realizava a remoção das borrachas anti vibrações, o que ocasionou o prensamento  dos dedos médio e anelar da  mão direita do colaborador.</t>
  </si>
  <si>
    <t>Empregado ao  realizar atividade de içamento para retirada da tubulação no Pipe Shop, situado nas proximidades dos galpões de armazenamento de materiais do canteiro de obras de empresa Andritz, posicionou caminhão Munck e no momento em que fazia patolamento uma guia das mangueiras de lubrificação, que fica localizada na lateral da patola, prensou seu dedo mínimo da mão direita contra viga da estrutura do Pipe Shop. </t>
  </si>
  <si>
    <t>O empregado terceirizado ao auxiliar na retirada de equipamento (torqueadeira) que se encontrava em cima da mesa elevatória, quando ela virou, vindo a cair sobre o seu pé esquerdo do funcionário.</t>
  </si>
  <si>
    <t>O vigilante terceirizado da segurança móvel, ao desembarcar do veículo, percebeu que a arma estava irregular no coldre. Foi para a traseira do veículo para ajustar a arma e acabou efetuando o disparo que atingiu a tampa traseira da pick-up e  foi em direção ao piso de terra. Não houve vítimas e nem lesões aos empregados e/ou terceiros. A atividade não estava sendo realizada na troca de guarda.</t>
  </si>
  <si>
    <t>Empregado estava removendo a tinta da tampa auxiliar da UG 01 com lixadeira de 4 polegadas e escova rotativa. Ao parar a atividade, a escova permaneceu girando, em redução de velocidade, por inércia. O empregado não percebeu e, ao se aproximar, teve o dedo indicador da mão direita atingido.</t>
  </si>
  <si>
    <t>Colaborador realizava atividade de montagem de plug Steck no Pipe shop, quando decapava cabo elétrico deixou seu dedo médio no raio de ação do estilete sendo atingido e sofrendo o Lesão.</t>
  </si>
  <si>
    <t xml:space="preserve">Empregados terceirizados realizavam a atividade de montagem da comporta no Vão Esquerdo da Comporta UG02, quando durante do processo (movimentação do pórtico), o carro placa SIF5B60 modelo MOBBI/Fiat, cor branca, estava posicionado em área próximo ao caminho de rolamento do Pórtico. Nesta manobra de movimentação do Pórtico ocorreu uma deste ao veículo. </t>
  </si>
  <si>
    <t>Empregados terceirizados realizavam a atividade de desacoplamento do dispositivo de içamento da árvore kaplan em uma PEMT (plataforma elevatória móvel de trabalho) quando, durante o processo, o tubo que sustentava a peça se quebrou fazendo com que a Biela descesse e ficasse apoiada nos tirantes e no cesto da PEMT. Os profissionais foram retirados do cesto através de uma escada manual.</t>
  </si>
  <si>
    <t>O empregado terceirizado após utilizar o banheiro para o tomar banho, no momento de vestir as calças, perdeu o equilíbrio e caiu. Ao tentar apoiar-se no vidro da janela, este quebrou causando ferimentos no ombro direito do colaborador.</t>
  </si>
  <si>
    <t>O prestador de serviço, durante a execução de serviço de pintura do meio fio da via pavimentada da subestação de sorriso, foi atacado por dois cachorros. Não sofreu ferimentos. Contornou o incidente jogando brita nos animais.</t>
  </si>
  <si>
    <t>O empregado próprio, durante inspeção no cubículo de fechamento do Delta do 05T4/TSD, sofreu queda de nível diferente (aproximadamente 1 metro) após quebra de canaleta, ocasionando pequenas escoriações no lado direito da coxa. A comunicação do relato quanto a lesão só foi informada no dia 09/12 ás 16h.</t>
  </si>
  <si>
    <t>A empregada terceirizada, no deslocamento para o trabalho conduzindo uma motocicleta, foi atingida por outro motociclista ao entrar em uma rotatória. O motociclista invadiu a preferencial e colidiu com ela. Com o impacto, a empregada foi arremessada ao chão, fazendo com o que capacete saísse, vindo a bater a cabeça e sofrer escoriações nos membros inferiores.</t>
  </si>
  <si>
    <t>O empregado terceirizado, após o descarregamento de um caminhão munk, foi realizar a soltura do gancho (bico de papagaio) a pedido do motorista. Nesse momento, teve o dedo mínimo da mão esquerda preso, o que resultou em escoriações</t>
  </si>
  <si>
    <t xml:space="preserve">O empregado terceirizado durante a realização da atividade de troca da mola da porta de vidro da sala de Engenharia (OOGSC.C) no prédio administrativo de Teresina, ao suspender a porta de vidro para ajustes, houve um pequeno impacto do canto da porta de vidro ao solo, o que ocasionou o colapso do vidro temperado, resvalando estilhaço sob outro empregado terceirizado, o qual sofreu escoriação leve no braço esquerdo. </t>
  </si>
  <si>
    <t>O empregado terceirizado realizava atividade de retirada de concertina no muro da fachada frontal da Subestação Teresina II, quando sofreu um corte na parte posterior da mão esquerda. O empregado fazia o uso da luva de vaqueta quando foi atingido pela concertina e ao se assustar fez um movimento repentino com a mão, fazendo com que perfurasse a luva, ocasionando o corte</t>
  </si>
  <si>
    <t>O empregado terceirizado estava no deslocamento do trabalho (Subestação Teresina) para sua residência utilizando uma motocicleta. Quando o mesmo estava parado no semáforo uma outra motocicleta avançou o sinal vermelho, entrou na contramão e para desviar de um outro veículo (carro) colidiu de lado com a moto do empregado. Houve impacto no empregado na região do joelho, causando uma pequena ruptura no osso da tíbia da perna esquerda.</t>
  </si>
  <si>
    <t>O empregado estava realizando serviços de roçagem com uma roçadeira quando a mesma projetou um prego que atingiu o dorso do seu pé direito, após ter ultrapassado a proteção da roçadeira, a perneira e a bota, causando lesão por perfuração.</t>
  </si>
  <si>
    <t>Durante finalização do turno de trabalho colaborador sofreu queda em mesmo nível ao tropeçar em um objeto disposto em área de armazenamento de produtos químicos. Durante a queda o colaborador apoiou a palma da mão sobre a borda superior de uma bacia de contenção confeccionada com folhas de zinco, causando corte contuso em sua mão.</t>
  </si>
  <si>
    <t>Durante a manutenção no poço da turbina da máquina 10, um trabalhador se apoiou em uma chapa de aço e ela se deslocou para parte interna da tampa da turbina na pá 07 do distribuidor. A chapa caio e resvalou no rosto do colaborador que estava em um piso inferior (70cm abaixo). Ele sofreu corte no lábio superior e no supercílio esquerdo.</t>
  </si>
  <si>
    <t xml:space="preserve">Por volta das 15h30m, no galpão se materiais do almoxarifado próximo a UFPA, durante a fixação da carga sobre caminhão guindauto/Munck, um dos colaboradores arremeçou a cinta de amarração sobre a carga atingindo um outro  colaborador, que estava do lado oposto, ferindo seu supercilio esquerdo, provocando ferimento leve. </t>
  </si>
  <si>
    <t>Colaborador perdeu o controle de sua moto durante deslocamento em horário de almoço e colidiu lateralmente com um poste, sofrendo queda.</t>
  </si>
  <si>
    <t>Durante a movimentação de um ventilador, o dedo anelar da mão esquerda do colaborador tocou na parte móvel (palheta) do ventilador, levando à um pequeno corte.</t>
  </si>
  <si>
    <t>Durante a movimentação de um transformador de 500Kv sobre trilhos, utilizando um sistema de tração com guincho elétrico com polias e correntes, ancoradas em olhais metálicos fixados no concreto estrutural, um dos olhais colapsou em sua base, vindo a projetar a corrente com olhal em direção ao transformador. A área estava isolada, portanto não havia pessoas na zona de risco, havendo apenas danos materiais.</t>
  </si>
  <si>
    <t>Colaborador J.C.P.B ao afastar uma gaiola de ferro que se encontrava embaixo da torre da UG09 na elevação 26,60 teve o dedo indicador da mão direita prensado contra a torre provocando corte na primeira falange.</t>
  </si>
  <si>
    <t>A colaboradora da empresa Brasanitas ao deslocar pela escada de acesso do piso C para o piso 4 do Edifício de comando escorregou e veio a bater o joelho e o braço contra o piso, Foi encaminhada UPA.</t>
  </si>
  <si>
    <t xml:space="preserve">Durante o deslocamento da casa para o trabalho, nas proximidades de uma rotatória, o colaborador sofreu queda de moto ao derrapar na via. </t>
  </si>
  <si>
    <t>Por volta das 09h10, do dia 04.07.2024, o empregado Rosiel Cruz Vieira, trabalhava 
atividade de substituição da motobomba B, realizando o processo de retirada dos
parafusos do bombeador. No momento que estava sendo retirada a tubulação da
bomba de drenagem, ao tentar pegar um parafuso que estava preso na arandela do
tubo, parte do tubo se desprendeu do eixo vindo a atingir a sua mão direita,
provocando o esmagamento das 1ª e 2ª falanges do dedo anelar, ferimentos e
fraturas no dedo médio e fratura no dedo mínimo.</t>
  </si>
  <si>
    <t>A colaboradora Ana Paula de Oliveira estava aguardando a van que faz o transporte dos colaboradores da UHE para o estacionamento. Após a chegada da van, a colaboradora se deslocou para entrar, momento em que um colaborador, que já estava dentro da van, não a viu e, ao fechar a porta, acabou batendo na mão de Ana Paula.</t>
  </si>
  <si>
    <t>Durante a atividade de substituição dos para raios 138kV do Trafo 04T3 da SE Funil (SI 22754/23H) com a rede desenergizada, houve a falha mecânica de um dos braços da PTA e o conjunto braço-cesto abaixou ao solo de uma altura de 2,6 metros. O cesto estava posicionado a uma distância 6,5 metros do eixo do equipamento. Os dois empregados próprios que estavam em cima da PTA não sofreram ferimentos e estavam utilizando o cinto de segurança. Não houve dano material. A PTA estava estacionada e sem movimento do conjunto braço-cesto. A área onde o equipamento estava operando não estava energizada.</t>
  </si>
  <si>
    <t>Os colaboradores da manutenção mecânica da usina (VOITH e Eletrobras Chesf) após descarregar os cilindros do veículo e, ao iniciar a movimentação de um dos cilindros de oxigênio (já em nível de solo) não observou que a alça protetora da válvula (“capacete”) estava folgada/solta, ocasionando a sua queda. O equipamento foi ao chão, mas não atingiu nenhum dos colaboradores; e não danificou o equipamento.</t>
  </si>
  <si>
    <t>Relato da ocorrência: Empregado terceirizado estava realizando atividade de subida do material, quando houve a queda do bastão berço da linha de mão. A atividade realizada era certificação da Equipe de Reisolamento com a LT desligada. Sem presença de funcionários abaixo da linha de queda.    </t>
  </si>
  <si>
    <t>Empregado próprio, J.B.C.J. estava retornando para a residência após jornada de trabalho, realizando trajeto entre a usina de Funil para Ubatã/BA, trafegava com sua motocicleta pela BR 330, quando percebeu um veículo parado e o condutor conversando com transeuntes, reduzindo assim a sua velocidade. Neste momento um cachorro atravessou na sua frente fazendo com a moto colidisse com o animal, logo freou abruptamente e para não cair, apoiou todo o impacto com perna direita no chão, mantendo o equilíbrio da moto. O colaborador seguiu para sua residência e no dia seguinte retornou ao trabalho, porém percebeu inchaço no joelho e procurou atendimento médico na cidade de Ipiaú/BA.</t>
  </si>
  <si>
    <t>Durante a atividade de reisolamento da LT 04L3 STJ-FNL, estrutura 148/3, houve queda da cadeia de isoladores que estava na linha de mão após ter sido retirada da LT. Não haviam empregados no raio de queda do isolador.</t>
  </si>
  <si>
    <t>O colaborador executava a sua atividade de compactação com o compactador manual, quando em um certo momento não firmou no equipamento. Tendo como consequência a perda do controle do equipamento vindo o mesmo a bater em seu braço e ombro.</t>
  </si>
  <si>
    <t>Durante a retirada das cintas de carga, no fim da movimentação de algumas toras de madeira com auxílio de caminhão munck, a luva do empregado prendeu em uma farpa de madeira e puxou a mão do empregado que teve a ponta do dedo esmagada.</t>
  </si>
  <si>
    <t xml:space="preserve">Empregado se deslocava de moto de sua residência para empresa quando num cruzamento um caminhão obstruiu sua passagem e na frenagem, a moto derrapou e veio a cair. </t>
  </si>
  <si>
    <t>Durante deslocamento de moto de casa para o trabalho, devido ao piso úmido e embarrado, colaborador caiu com sua moto.</t>
  </si>
  <si>
    <t>Colaborador passou direto por uma rotatória, tombando o veículo ao colidir com a estrutura. Não houve lesão</t>
  </si>
  <si>
    <t>Executava uma ligação provisória com o uso de extensão para alimentar a chave seccionador 34H1-4, a fim de realizar os testes de pre-comissionamento, o funcionário sofreu uma descarga elétrica 220 volts</t>
  </si>
  <si>
    <t>Trafegava com veículo e perdeu o controle, saindo da pista de rodagem</t>
  </si>
  <si>
    <t>O colaborador, estava instalando uma estrutura de armadura de aço, quando da descida da peça, onde é utilizado o dispositivo de cordas de sustentação, de forma a evitar o uso das mãos, o colaborador utilizou a mão para facilitar o posicionamento da peça, nesse momento, ocorreu o imprevisto do contato indevido que veio a prensar de maneira leve e rápida seu dedo mínimo da mão esquerda entre a peça metálica e a fôrma de madeira da fundação.</t>
  </si>
  <si>
    <t>Colaborador estava em deslocamento em sua moto para dar início a jornada de trabalho, quando se distraiu e bateu na traseira de um veículo, vindo a cair e fraturar o fêmur</t>
  </si>
  <si>
    <t xml:space="preserve">Colaboradores da Andritz realizavam atividade de corte em chapa do piso do mancal de escora da UG0102 com uso de plasma. Na realização do corte fagulhas foram projetas sobre uma lona que estava no piso inferior ocasionando um princípio de incêndio. </t>
  </si>
  <si>
    <t>O colaborador estava realizando atividade de escavação manual com picareta, em certo momento a picareta resvalou em uma pedra vindo a atingir a perna direita e ocasionando escoriação superficial.</t>
  </si>
  <si>
    <t>Princípio de incêndio iniciado na área externa do almoxarifado, atingiu área interna, recém roçada, na porção sudeste do almoxarifado de Abreu e Lima</t>
  </si>
  <si>
    <t>A empregada própria no deslocamento para o refeitório do prédio do COOS – Anexo II, ao descer as escadas, torceu o tornozelo e desequilibrou-se, vindo a cair no penúltimo degrau da escada.</t>
  </si>
  <si>
    <t>Quase acidente</t>
  </si>
  <si>
    <t>Antes do início da atividade de manutenção na LT 05L9 JEROLD, estrutura 058/1, assim que desceu do veículo, o funcionário caiu em um buraco de aproximadamente 40cm de diâmetro e 1,3m de profundidade. O funcionário não teve nenhum ferimento e continuou a atividade normalmente.</t>
  </si>
  <si>
    <t>O colaborador se deslocava de Recife/PE com destino a Açu/RN pela Rodovia BR 101 dirigindo veículo da Companhia quando, próximo ao município de Mamanguape/PB, foi surpreendido por motocicleta que trafegava pelo acostamento e invadiu a faixa da rodovia. Ao tentar desviar, adentrou na canaleta de drenagem capotando o veículo.</t>
  </si>
  <si>
    <t>Veiculo da empresa terceirizada HWM ( TOYOTA BANDEIRANTE) com 3(três) pessoas trafegava pela BR101 envolveu-se numa colisão traseira com caminhão (2 pessoas) num engavetamento provocado por outro veículo, um celta, que ao aproximar-se de um radar de velocidade que possuía faixa de pedestres efetuou uma frenagem brusca. O condutor do caminhão  colidiu na traseira do CELTA, e o Toyota colidiu na traseira do caminhão.</t>
  </si>
  <si>
    <t>O colaborador estava se deslocando para o banheiro que fica no lado externo da usina, e ao transitar pela área de descarga de materiais da casa de força, bateu o pé na chapa metálica que estava posicionada no local.</t>
  </si>
  <si>
    <t>Colaborador da empresa Bureau Veritas (BV) se envolveu em uma ocorrência de trânsito ao retornar do intervalo para o almoço, quando outro veículo cortou inesperadamente sua frente em um cruzamento, ocasionando a colisão.</t>
  </si>
  <si>
    <t>A colaboradora DSOR sofreu uma queda com diferença nível pisando em falso durante deslocamento ao redor do prédio da gerência da SE Rio Branco ao acompanhar atividades de reparos e limpeza no forro e cobertura da edificação.</t>
  </si>
  <si>
    <t>Calçada ou caminho para pedrestre - superfície utilizada para sustentar pessoas</t>
  </si>
  <si>
    <t xml:space="preserve">1 a 3 anos </t>
  </si>
  <si>
    <t>4 anos</t>
  </si>
  <si>
    <t>Durante a desmobilização das baias da central de resíduos da SE CNG3, colaborador da empresa Bassani Engenharia subiu na estrutura, ocasionando a quebra de uma telha e sua consequente queda ao solo (caiu em pé, batendo o braço na estrutura e altura de aproximadamente 2,10 metros).</t>
  </si>
  <si>
    <t>Durante a atividade de substituição de isoladores e grampos de suspensão na estrutura 89/1 das linhas LT 04L1 JGR/SNB e LT 04N2 JZD/SNB, pela contratada Engevale, o caminhão F4000 atolou. Para auxiliar na remoção, o encarregado da equipe posicionou seu veículo L200 e utilizou uma cinta para puxar o caminhão. Durante a movimentação, quando o caminhão se deslocou, o encarregado freou seu veículo, sem que o motorista do caminhão percebesse, resultando em uma colisão traseira entre os dois veículos. Houve apenas danos materiais na L200, sem vítimas.</t>
  </si>
  <si>
    <t>O empregado contratado durante descida da estrutura  069/1 da LT 04C4 Pau Ferro - Campina Grande II (PFE/CGD, foi atingido, na altura do ombro, pela escada isolante que se desprendeu da corda (linha de mão). Eletricista concluiu a descida da estrutura e foi ao pronto socorro para atendimento.</t>
  </si>
  <si>
    <t>Queda de máquina sobre o pé do funcionário da Art Rio, gerando um corte em sua botina, e em seu pé.</t>
  </si>
  <si>
    <t>Descrição: Durante a realização de teste de relé em bancada, o empregado utilizava uma chave de fenda para apertar uma ponte de diodos. Durante a execução da atividade, a ferramenta escapou, ocasionando um corte leve na região entre dois dedos da mão.</t>
  </si>
  <si>
    <t>Durante a realização da atividade de movimentação de peças de torre no pátio da Subestação Rio Branco, o colaborador A.V.S sofreu um incidente que resultou em uma prensa no dedo médio da mão esquerda.</t>
  </si>
  <si>
    <t>Após a conferência de materiais, levantaou-se rapidamente, ocorrendo uma queda ocasionada por mal súbido, seguido de desmaio, vindo a bater a cabeça e as costas no chão</t>
  </si>
  <si>
    <t>Durante a atividade de adequação do banco de SE Ivaiporã , o operador de guindaste da Empresa Zanuto, ao realizar uma manobra, encostou a lança do equipamento no cabo de guarda do sistema de SPDA, provocando o seu desprendimento na torre II.  Importante ressaltar que a área de execução da atividade estava devidamente desenergizada durante a operação.</t>
  </si>
  <si>
    <t>O empregado terceirizado estava em deslocamento, após o almoço, na PE 177 sentido São João-PE para subestação de Angelim-PE, próximo ao povoado Serra do Boi (estrada das Castanhas), conduzindo a L200 Triton. GLX  placa RZT8J88, quando foi surpreendido por uma Van de cor branca e placa não identificada, que invadiu a contramão da via, e quase colidiu com o empregado, tendo atingido o retrovisor lado do motorista danificando-o. 
O motorista da Van evadiu-se do local da ocorrência.</t>
  </si>
  <si>
    <t>A colaboradora Karolainy informou que pela manhã, por volta 6:54, estava realizando o percurso para o trabalho de moto, na Avenida santos Dumont e após o semáforo abrir, ao fazer a curva para esquerda sentido Paraviana, a moto derrapou levando-a cair no chão.</t>
  </si>
  <si>
    <t>O colaborador deslocava-se de sua residência ao trabalho, utilizando uma moto, quando foi atingido por um pneu que se soltou de uma carretinha que vinha em um veículo no sentido contrário.</t>
  </si>
  <si>
    <t>O colaborador estava subindo a escada de acesso ao tubo de sucção da UG4, com uma lata de solvente nos ombros, quando veio a bater com a lata no teto rebaixado da entrada, ocorrendo o derramamento do solvente em suas costas.</t>
  </si>
  <si>
    <t>12:00 - 13:00</t>
  </si>
  <si>
    <t>Durante a atividade de descarregamento de materiais no elevador do aerogerador (localizado no topo), uma mangueira plástica de aproximadamente 50 cm caiu, atingindo a mão de um colaborador que estava no solo, sentado próximo à porta do aerogerador, enquanto realizava suas atividades.</t>
  </si>
  <si>
    <t xml:space="preserve">Durante a realização de levantamento de campo na LT 04V2 CGD/PRS, o TST JPN identificou um enxame de abelhas próximo a estrutura citada, ao tentar fazer um registro fotográfico, as abelhas se agitaram com a presença do TST e investiram contra ele, quando ao tentar se livrar da investida das abelhas, chocou a sua coxa direita em uma torceira de xique-xique, onde teve algumas perfurações dos espinho da planta citada, atingindo sua coxa direita.
</t>
  </si>
  <si>
    <t>Integrante  ao descer do carro e fechar a porta prensou o 2º dedo mão Direita, causando ferimento corte contuso.</t>
  </si>
  <si>
    <t>O colaborado R.J.A.R, estava em atividade no almoxarifado da subestação, por volta das 16:50 no final da atividade o colaborador organizando o local para finalizar a atividade acabou apertando o dedo na coluna do pilar.</t>
  </si>
  <si>
    <t>O empregado próprio estava em deslocamento em zona urbana para os Correios da cidade de Bom Jesus da Lapa/BA para coletar material que havia sido enviado para a SE BJS (Bom Jesus da Lapa). Durante o trajeto, em uma via de pista duplicada, o condutor do veículo da Eletrobras Chesf, que transitava a 21km/h, sinalizou e iniciou uma ultrapassagem pela faixa da esquerda. Durante a ultrapassagem, foi surpreendido por uma manobra do condutor do veículo que estava sendo ultrapassado, ocasionando uma leve colisão lateral, com danos superficiais ao veículo e nenhuma consequência humana.</t>
  </si>
  <si>
    <t>Colaborador realizava manutenção na câmera de segurança da turbina, quando a grade girou e a tampa atingiu a boca, causando lesão</t>
  </si>
  <si>
    <t xml:space="preserve">Queda da bolsa de ferramentas durante atividade em altura nos pórticos da subestação. </t>
  </si>
  <si>
    <t>Veículo foi entregue ao usuário e utilizado com trinco no para-brisa</t>
  </si>
  <si>
    <t>Durante o trajeto de ida ao trabalho houve uma colisão entre a motocicleta que estava sendo conduzida pelo terceirizado com um caminhão, causando a queda do motociclista</t>
  </si>
  <si>
    <t>Durante atividade de abertura do Compensador Síncrono, na retirada do ventilador, que fica associado ao eixo da máquina, o mesmo despencou vindo ao piso da plataforma de madeira, aproximadamente 1 metro, e repicou no sentido do rosto do empregado próprio.</t>
  </si>
  <si>
    <t>Acima  de 10 anos</t>
  </si>
  <si>
    <t>Durante atividade de ajudante do carpinteiro, o mesmo tropeçou na caixa de ferramentas e bateu a cabeça na parede</t>
  </si>
  <si>
    <t>Durante inspeção semanal na CS02, o colaborador deu um passo em falso em local com brita em desnível e torceu o pé direito</t>
  </si>
  <si>
    <t xml:space="preserve">Durante atividade de retirada de cabos do subsolo da sala de comando, os ajudantes de eletricistas decidiram cortar um cabo com alicate de corte (isolado) para reduzir o volume destes no local.  Ao cortar um dos cabos, ele estava energizado, causando curto-circuito e desligamento do TC's 94N1 de linha do vão de 230kv.   </t>
  </si>
  <si>
    <t>Durante o trajeto de ida para o trabalho o ônibus coletivo freou bruscamente resultando no desequilíbrio do empregado e no impacto do tronco com um equipamento rígido no interior do ônibus</t>
  </si>
  <si>
    <t>O empregado terceirizado estava executando atividade de poda da grama com uso de roçadeira portátil quando a roçadeira atingiu um objeto (porca metálica) que estava na grama e este objeto foi projetado em direção à entrada da Usina, trincando o vidro da porta de entrada da Usina.</t>
  </si>
  <si>
    <t>Os colaboradores estavam indo para o almoço de moto, sentido Tucuruí, quando o pneu traseiro da motocicleta estourou e veio a desiquilibrar e derrubar os dois.</t>
  </si>
  <si>
    <t xml:space="preserve">Durante desmontagem da vara de manobra, Técnico de O&amp;M prendeu dedo entre as seções do bastão, causando uma leve lesão, sem maiores consequências, apenas um corte superficial na pele. </t>
  </si>
  <si>
    <t xml:space="preserve">Durante a realização da atividade de limpeza da guarita da margem direita o empregado sofreu picadura de maribondo no rosto entre o óculos de proteção e capacete. </t>
  </si>
  <si>
    <t>Colaborador estava a caminho da empresa como passageiro em moto táxi, quando pela pista molhada da chuva a moto deslizou e levou os dois ao chão.</t>
  </si>
  <si>
    <t>Tombamento do trator de esteira que estava sobre o caminhão prancha</t>
  </si>
  <si>
    <t>No trajeto de volta para casa, a colaboradora teve que realizar uma conversão à esquerda. Um caminhão que se aproximava no sentido oposto parou para permitir sua passagem, mas um motociclista passou pelo acostamento e colidiu com a moto em que ela estava fazendo-a cair.</t>
  </si>
  <si>
    <t>Empregado terceiro, realizada a atividade capina mecânica (Roço) em uma área de desnível (barranco) e ocorreu que, ao se deslocar ele pisou em um buraco e vindo a torcer a pé esquerdo.</t>
  </si>
  <si>
    <t>O empregado terceirizado estava acompanhando a movimentação do transporte das catracas de acesso, que seriam retiradas do Anexo 1 e levadas para o Anexo 5. Após o carregamento e a amarração da carga, ele identificou a necessidade de ajustes na cinta de amarração para melhorar a fixação. No momento em que realizava esse ajuste, houve um deslocamento da carga, fazendo com que uma das catracas se movesse entre as demais. Nesse instante, a ponta do dedo médio de sua mão direita foi prensada na extremidade, atingindo a superfície da unha e da pele.</t>
  </si>
  <si>
    <t>Colaborador foi atropelado por uma moto ao atravessar a rua próximo ao prédio</t>
  </si>
  <si>
    <t>Durante retorno do trabalho para casa, a empregada terceirizada se envolveu num acidente de trânsito com veículo que estava conduzindo, caminhonete do modelo Hilux placa TCR 0A46. Trafegando pela BR 324 no KM 609, o trânsito estava lento e ao diminuir a velocidade até parar, o veículo de modelo Fiorino de placa SJU0F93 que estava atrás diminuiu e parou, mas o outro veículo atrás dele, modelo Argo de placa SDL8F19, não parou e colidiu no veículo Fiorino que veio a colidir na traseira da caminhonete. Não houve vítimas, apenas danos materiais.</t>
  </si>
  <si>
    <t>O colaborador estava se deslocando para sua residência na cidade de Breu Branco em sua moto seguindo atrás de um caminhão de transporte de bovino, quando não observou um buraco a sua frente passando e se desequilibrando vindo a ter uma queda, obtendo escoriações pelas mãos e antebraço direito!</t>
  </si>
  <si>
    <t>Durante o deslocamento entre a guarita e o alojamento o empregado sofreu uma queda de moto.</t>
  </si>
  <si>
    <t>Ao realizar a medição da tensão com o uso do multímetro num painel de 460 Vca, ocorreu curto circuito no serviço auxiliar. Não houve lesões.</t>
  </si>
  <si>
    <t>Empregado relata que ao tentar furar um recipiente de plástico, utilizando uma faca, errou o manuseio e enconstou a faca no braço esquerdo, causando um corte.</t>
  </si>
  <si>
    <t>Durante a preparação da estrutura 82/2 da LT 04L1 JGR/SNB para a escalada dos demais eletricistas e para a subida dos materiais, o empregado terceirizado subiu para instalar a linha de vida e a linha de mão. Após a instalação da linha de vida, a equipe de solo enviou a outra corda (linha de mão) e um trava quedas deslizante. Ao receber este material e tentar conectar o trava quedas deslizante, o referido EPI caiu ao solo.</t>
  </si>
  <si>
    <t>No momento que foi realizado o corte de vegetação de pequeno porte, houve o rebote da motosserra, que resultou em um corte no braço direito do operador da motosserra</t>
  </si>
  <si>
    <t>Ao apertar a lamina da roçadeira sem usar luva de proteção, a chave escapou e ele cortou o dedo medio da mao esquerda</t>
  </si>
  <si>
    <t>Durante o deslocamento da cidade até o canteiro de obras, colaborador da Empresa Bela Vista conduzia a caminhonete com o vidro aberto. Durante o trajeto, outro veículo da Empresa Confer realizou uma ultrapassagem, lançando uma pedra que atingiu a testa do colaborador, resultando em um pequeno ferimento.</t>
  </si>
  <si>
    <t>O Funcionário foi encaminhado para o hospital municipal local para receber atendimento.</t>
  </si>
  <si>
    <t>Durante a desmobilização da estrutura dos alojamentos, colaborador da empresa GEL Engenharia estava executando atividades no telhado sem seguir os requisitos de segurança obrigatórios.</t>
  </si>
  <si>
    <t>Colaboradora estava em trajeto do trabalho até a sua residência, quando o motorista precisou frear o ônibus bruscamente, causando o desequilíbrio e queda da mesma</t>
  </si>
  <si>
    <t>Empregado terceirizado estava a caminho da subestação quando um cachorro apareceu à sua frente, não dando tempo para frear. Ele acabou colidindo com o animal e sofrendo uma queda da moto.</t>
  </si>
  <si>
    <t>Ao transitar pela rodovia RJ-106, o motorista do veículo perdeu o controle de direção ao desviar-se de veículo. O veículo capotou, parando no espaço entre as vias. (1a vítima)</t>
  </si>
  <si>
    <t>Ao transitar pela rodovia RJ-106, o motorista do veículo perdeu o controle de direção ao desviar-se de veículo. O veículo capotou, parando no espaço entre as vias. (2a vítima)</t>
  </si>
  <si>
    <t>Ao transitar pela rodovia RJ-106, o motorista do veículo perdeu o controle de direção ao desviar-se de veículo. O veículo capotou, parando no espaço entre as vias. (3a vítima)</t>
  </si>
  <si>
    <t>Ao transitar pela rodovia RJ-106, o motorista do veículo perdeu o controle de direção ao desviar-se de veículo. O veículo capotou, parando no espaço entre as vias. (4a vítima)</t>
  </si>
  <si>
    <t>Durante a instalação dos dispositivos de acesso o empregado terceirizado encontrava-se posicionado com um pé na pedarola  e outro na gaveta do poste, aproximadamente há dois metros da cruzeta, posicionando escada, quando foi surpreendido por uma pequena parte  do concreto da cruzeta que desprendeu  vindo a atingir o colaborador causando uma lesão superficial no nariz.</t>
  </si>
  <si>
    <t>Durante o início do serviço de substituição de cabo OPGW, houve o desligamento da linha ora em isolação elétrica quando da instalação do conjunto de aterramento elétrico temporário</t>
  </si>
  <si>
    <t>O colaborador estava se deslocando para a Usina quando o pneu de sua moto derrapou em uma curva proximo da rotatória sentido a eclusa onde ocorreu a queda.</t>
  </si>
  <si>
    <t xml:space="preserve">Ao caminhar o colaborador bateu o joelho direito no estai de um poste de ferro de trilho de Linha Férrea, causando bastante dor </t>
  </si>
  <si>
    <t>O empregado subcontratado de empresa terceirizada realizava atividade de passagem de cabeação e no momento da movimentação de uma tampa da canaleta, perdeu o equilíbrio e a tampa escorregou, ocasionando fratura no dedo anelar da mão direita.</t>
  </si>
  <si>
    <t>colaborador estava em deslocamento saindo da sua residência para o trabalho na UHE Tucurui com uso de motocicleta tipo Bros. Ao chegar na rotatório próxima da eclusa com a pista molha e britas, a moto veio a derrapar onde o condutor perdeu o equilíbrio o que levou a queda.</t>
  </si>
  <si>
    <t>Os empregados terceirizados, um profissional de segurança do trabalho e um eletricista, estavam realizando suas respectivas atividades em campo. Ao concluir a substituição dos isoladores da fase C da estrutura 84/1 da LT JEROLD 05L9, a ferragem que sustenta os condutores se desprendeu da cadeia de isoladores e os subcondutores foram ao solo, causando uma descarga fase-terra, desligando a linha de transmissão. Apesar de a equipe de apoio estar afastada a cerca de 10 metros do local em que o cabo atingiu o solo, o técnico de segurança do trabalho R.L.S sofreu queimaduras nos pés e na cintura. O empregado foi socorrido e encaminhado ao hospital da cidade de Ribeira do Amparo/BA. O eletricista E.M.S., que estava em cima da torre no momento do incidente, relatou um desconforto quando chegou no solo e também foi socorrido ao hospital.</t>
  </si>
  <si>
    <t>Durante a desmontagem da plataforma do banco de capacitores, o colaborador prensou o dedo médio da mão esquerda durante a remoção das peças da estrutura.</t>
  </si>
  <si>
    <t>O empregado terceirizado, ao se deslocar de moto de sua residência para o trabalho na Subestação Teresina, foi atingido por um veículo no cruzamento da Avenida Henry Wall de Carvalho com a Rua Ivan Tito. No local, há semáforo, e o empregado relata que o condutor do carro avançou o sinal vermelho.</t>
  </si>
  <si>
    <t>Ao manobrar o veículo, esbarrou no fim de curso do pórtico, arranhando levemente a tinta do carro e danificando a proteção do para-lama</t>
  </si>
  <si>
    <t>Durante uma atividade de vedação no “pé” do trocador de calor(aerogerador), colaborador da empresa Prime Wind/WEG acidentalmente encostou o dedo indicador da mão esquerda na ventoinha do equipamento, resultando em um pequeno ferimento.</t>
  </si>
  <si>
    <t>Ao transitar no interior da Sala de Controle, a qual passa por obras, pisou em falso numa canaleta de piso que estava aberta e teve como consequência torção do tornozelo direito</t>
  </si>
  <si>
    <t>O colaborador eletricista que atuava na manutenção de transformador na Cota 26,60, se desequilibrou ao pisar no trilho do transformador (elevado a uns 10 centímetros do chão). Ao se desequilibrar, todo o peso de seu corpo foi transferido apenas para uma perna e o mesmo sentiu uma forte dor no joelho, vindo a cair no chão.</t>
  </si>
  <si>
    <t>Fui comunicado que o Colaborador estava fazendo um serviço de escavação para realização de manutenção hidráulica e ao usar a ferramenta ferro de cova, a mesma bateu em sua orelha ocasionando um ferimento leve</t>
  </si>
  <si>
    <t>Empregado terceirizado ao realizar a atividade de verticalização de TC de 500kV no almoxarifado de Teresina, quando no momento de encaixar o TC na base, sentiu uma pressão no dedo médio da mão direita. Neste momento, ele puxou a mão e identificou um corte no dedo próximo a unha, mesmo utilizando as luvas.</t>
  </si>
  <si>
    <t>O caminhão Sky (GUA-8066) atravessou a rua sem nenhuma pessoa ao volante em direção ao prédio de apoio da área de SST e CSC, atingiu o meio-fio e parou</t>
  </si>
  <si>
    <t xml:space="preserve">Empregado terceirizado, ao realizar atividade de escalada em estrutura metálica, próxima à chave 34C4-2 na SE JCR, para verificar a resistência mecânica de treliça com as mãos antes da movimentação do ganchão de sustentação, houve o desprendimento desta mesma treliça devido a corrosão dos parafusos.
O profissional encontrava-se posicionado corretamente com o uso de dois ganchões, talabarte e cinto de segurança, conforme estabelecido nos normativos da empresa e planejamento executivo. não ocorrendo qualquer impacto sobre a segurança do trabalhador, nem mesmo o desequilíbrio ou outro incidente.
A treliça desprendida caiu em uma área previamente isolada e afastada de qualquer outro profissional, sem causar riscos adicionais.
</t>
  </si>
  <si>
    <t>Durante a atividade de irrigação de plantas, colaboradora foi surpreendida por picada de vespas.</t>
  </si>
  <si>
    <t xml:space="preserve">Empregada terceirizada durante saída do veículo no estacionamento localizado na entrada do Depósito 01, no almoxarifado de Paulo Afonso, pisou em um desnível, o que ocasionou seu desequilíbrio, resultando em sua queda ao solo e escoriações no joelho. 
</t>
  </si>
  <si>
    <t>Durante atividade de substituição de cadeia de isoladores em estrutura de ancoragem na LT 04S2 PAF/CCD, desenergizada, foi instalada a escada isolante na posição horizontal, com pivô. Quando o eletricista iniciou a movimentação através da escada para acesso ao condutor, foi identificado que havia uma trinca grande na longarina da escada.</t>
  </si>
  <si>
    <t>A equipe mecânica estava operando a ponte rolante para a retirada das aletas na unidade 01G5 quando, durante o procedimento, a luminária do equipamento de movimentação de carga se desprendeu e caiu, atingindo o piso de concreto.</t>
  </si>
  <si>
    <t>Ao puxar uma das janelas do auditório para fechar, uma delas caiu sobre a sua mão direita, pressionando-a sobre o batente</t>
  </si>
  <si>
    <t>Durante os trabalhos de substituição de isoladores com técnica energizada ao potencial, houve princípio de incêndio no balde de lona utilizado pelo eletricista de TEE.</t>
  </si>
  <si>
    <t>durante o deslocamento com um veículo L200 nas proximidades da estrutura 170/3 da LT LGZOLD 05S4, em baixa velocidade para acessar a via, o veículo caiu em um buraco que não era facilmente visível.
Após constatar que não houve danos no veículo, a equipe seguiu o trajeto.
O empregado J.C.R.A.  bateu o joelho no porta luvas, sem consequências.</t>
  </si>
  <si>
    <t>Colaborador terceirizado ao realizar o deslocamento residência/trabalho, utilizando sua motocicleta, para assumir o turno noturno de portaria na estação EB1 do projeto jusante, sofreu um acidente de trânsito, vindo a óbito.</t>
  </si>
  <si>
    <t xml:space="preserve">O empregado terceirizado ao se deslocar da residência, bairro Tancredo Neves, para o local de trabalho (2º expediente em UPA), quando ao passar numa parte do caminho que está em obras, nas proximidades da guarita Piloto, derrapou com a sua motocicleta, vindo a cair. 
</t>
  </si>
  <si>
    <t>Durante a limpeza mecanizada do terreno do Anexo VI, realizada para entrega ao novo proprietário, a retroescavadeira, operada por um empregado terceirizado, rompeu uma tubulação de cobre de pequeno diâmetro, responsável pelo abastecimento de gás GLP para a copa e a capela do laboratório de físico-química.</t>
  </si>
  <si>
    <t>Ao realizar o desacoplamento entre o motoredutor e o eixo do filtro autolimpante CTFA-02, a alavanca utilizada na manobra se desprendeu do motoredutor prensando o dedo médio da mão esquerda do colaborador contra o parafuso de fixação da tampa do filtro.</t>
  </si>
  <si>
    <t xml:space="preserve">Empregado terceirizado realizava o transporte manual de materiais quando houve o  tombamento de uma peça (isolador), que atingiu sua perna e pé esquerdo, causando uma contusão no pé.
</t>
  </si>
  <si>
    <t>Durante deslocamento com veículo no Parque Eólico Coxilha Negra , o vigilante saiu da estrada e bateu em um poste de distribuição de energia.</t>
  </si>
  <si>
    <t xml:space="preserve">Alto </t>
  </si>
  <si>
    <t>Durante a substituição de isoladores o colaborador foi picado por marimbondo, sendo encaminhado para atendimento médico após a manifestação de sintomas alérgicos</t>
  </si>
  <si>
    <t>Durante a recunhagem do estator do gerador da UG02 (atividade de nível sobre nível em andaime), o rodapé de madeira, com medidas de  80mmx100mmx10mm e peso de 500g, desprendeu-se da estrutura e caiu de uma altura de  um 0,4m.</t>
  </si>
  <si>
    <t>O Colaborador I.A.S.B auxiliava o mecânico na atividade de perfuração da tampa da turbina da UG - 02, quando ocorreu o descontrole da ferramenta, resultando no impacto contra sua mão direita.</t>
  </si>
  <si>
    <t xml:space="preserve"> Um colaborador se direcionou ao encontro de outra colaboradora para lhe desejar felicitações e abraçar de forma frontal, ela estava fazendo uso de um lápis para prender seu cabelo em formato de "coque”, e quando o primeiro a abraçou, esse objeto veio a tocar nas proximidades de seu olho direito, lhe causando um desconforto e um leve arranhão.</t>
  </si>
  <si>
    <t>Mobiliária e acessórios</t>
  </si>
  <si>
    <t>Colaboradora fazia o trajeto residência x trabalho de bicicleta, quando um veículo esbarrou na vítima, vindo a derruba-la na via.</t>
  </si>
  <si>
    <t>Colaborador terceirizado ao conduzir sua motocicleta no piso 41 da Usina Xingó, se assustou com um carro no cruzamento da saída do estacionamento e perdeu equilíbrio da moto. No movimento de queda, a moto atingiu o pé direito.</t>
  </si>
  <si>
    <t>Durante deslocamento residência x local de trabalho utilizando sua motocicleta própria, o profissional EDPA, ao transpor a ponte sobre o Rio Tocantins, efetuou uma ultrapassagem utilizando a ciclovia da pista tendo perdido o controle do veículo e caído. Ato contínuo, foi atingido por outro veículo que vinha na sequência tendo sido constatado seu óbito.</t>
  </si>
  <si>
    <t>Durante atividades em TLE para reconexão dos pulos no barramento principal de 69 KV, houve um curto-circuito vindo a gerar um arco elétrico, e um empregado terceirizado sentiu o efeito térmico do arco. Foi encaminhado para atendimento médico consciente e orientado.</t>
  </si>
  <si>
    <t>Durante a realização de poda de árvores nas proximidades do Depósito 08, o empregado terceirizado, ao fazer esforço para cortar um galho, percebeu que o motor do motopoda se desprendeu da haste, desconectando a fiação elétrica e impossibilitando o desligamento do equipamento através da botoeira. Diante da situação, o operador posicionou o motor no chão com segurança e aguardou sua parada por falta de combustível, sem que houvesse danos pessoais.</t>
  </si>
  <si>
    <t>Funcionário estava fumando dentro da subestação ao lado do reator.</t>
  </si>
  <si>
    <t>Ao atravessar o sinal da Av. Primeiro de Março, a colaboradora sofreu uma queda que provocou arranhões no cotovelo e joelho direitos e dores no punho e braço esquerdo</t>
  </si>
  <si>
    <t>Durante desmontagem do trocador de calor da UG03, a chave combinada escapou e feriu a palma da mão</t>
  </si>
  <si>
    <t xml:space="preserve">Colaborador terceirizado quando iria iniciar atividade de recuperação do rotor turbina, dentro da sucção da UG 01G4, escorregou na parte metálica e bateu o braço direito na turbina, tendo pequenos arranhões no braço.
</t>
  </si>
  <si>
    <t>Informo que um colaborador da empresa LS construções e comércio, estava executando a atividade de retirada de matérias juntos a equipe da Logística nos galpões que seram reformados para a modernização da casa de força 1, quando durante a execução da atividade acabou pisando em um prego que perfurou a bota e atingiu o dedo</t>
  </si>
  <si>
    <t>O colaborador estava descendo pela escada de acesso ao piso da área de carga e descarga para o piso da área de montagem, quando ao chegar no 2° lance de escada, ele caiu batendo com o joelho no chão.</t>
  </si>
  <si>
    <t>Durante trajeto habitual, ao se deslocar com patinete elétrico, foi atingido por um ônibus enquanto atravessava a ciclofaixa</t>
  </si>
  <si>
    <t>Durante o trajeto para a empresa, próximo à Praça XV a funcionária se desequilibrou e caiu com o patinete elétrico em movimento. Na ocasião lesionou o joelho direito, ombros esquerdos e bateu com a face esquerda, que ficou apenas dolorida</t>
  </si>
  <si>
    <t>Ao puxar uma galha de árvore a mesma veio a se quebrar, porém a mão que exercia a força resvalou na lâmina da foice, causando um corte no dedo indicador da mão esquerda</t>
  </si>
  <si>
    <t xml:space="preserve">A empregada terceirizada conduzia sua motocicleta no trajeto de retorno para casa após o expediente, quando tentou desviar de um veículo que trafegava na contramão para evitar um buraco na via. Nesse momento, a motocicleta derrapou, causando sua queda. Um outro empregado, que também pilotava uma motocicleta e seguia logo atrás, não conseguiu evitar a colisão, atingiu a moto caída e também sofreu uma queda.  
</t>
  </si>
  <si>
    <t>Durante a realização da atividade de substituição de tampas de canaleta na SE_SBD: SOBRAL II, o colaborador ao repousar a tampa sobre a canaleta de cabos, mesmo este utilizando luva tátil antiderrapante, a tampa escorregou de sua mão, prendendo o seu dedo indicador esquerdo sob a tampa de concreto, resultando em uma lesão de fratura nos dedos.</t>
  </si>
  <si>
    <t>O Colaborador foi atacado por Marimbondos que estavam na porta de acesso á sala de comando.</t>
  </si>
  <si>
    <t xml:space="preserve">Doença Ocupacional </t>
  </si>
  <si>
    <t>O empregado terceirizado estava sentado em uma cadeira na sala de descanso do prédio da equipe terceirizada na Sede Teresina, quando, ao se apoiar no encosto, a cadeira virou e ele sofreu uma queda leve, prensando o dedo entre a mesa e a cadeira, ocasionando leve lesão cutânea e dor latente no dedo indicador. O colaborador solicitou licença para se retirar do posto de trabalho para ir até um Pronto Socorro para avaliação do corte e dor no dedo.</t>
  </si>
  <si>
    <t>Durante as atividades de supressão de vegetação, o contratado, ao se deslocar até o veículo de apoio, pisou em um pedaço de madeira que continha um prego, perfurando a bota EPI e seu pé esquerdo.</t>
  </si>
  <si>
    <t>O colaborador da Office/Damasceno trabalhava na desmontagem das vigas principais da sucção da UGH17. Durante a etapa de retirada da viga para fora da sucção, após a saída do encaixe a viga fez o movimento pendular, jogando o peso da viga para o apoio do rolete externo e causando o prensamento da mão do colaborador na parte superior, entre o apoio do rolete e o concreto onde é parafusado.</t>
  </si>
  <si>
    <t>O empregado próprio, durante o deslocamento de sua residência para o trabalho, no cruzamento da Rua José Osório com a Av. Visconde de Albuquerque, sofreu acidente de moto colidindo com a traseira do carro da frente, o qual freou repentinamente. Ele não chegou a cair da moto, mas teve cortes em um dedo da mão direita.</t>
  </si>
  <si>
    <t>O empregado terceirizado estava executando atividade de demolição de uma parede. Após golpear a estrutura com uma marreta, tentou puxar manualmente parte da parede, momento em que sua mão ficou presa em um perfil metálico. Apesar do uso de luvas pigmentadas, houve impacto direto da mão contra o perfil, resultando em lesão.</t>
  </si>
  <si>
    <t>Durante acesso através de escada, ainda nos primeiros degraus, para realaizar atividade de alongamento dos tirantes dentro do eixo da UG02, a escada escorrgou, causando desequilibrio e queda do colaborador.</t>
  </si>
  <si>
    <t>Durante uma atividade de manutenção preventiva na subestação LGZ a plataforma elevatória utilizada atolou.  Ao utilizar o guindaste telescópico IMAP para retirada da plataforma, o equipamento não suportou a carga, ocasionando deformação na lança em consequência da força exercida, distância, angulação e abertura da lança.</t>
  </si>
  <si>
    <t>Quebra do suporte e queda do guincho frontal da picape durante deslocamento por estrada de acesso da LTSMANIQ1 para atividade de inspeção terrestre</t>
  </si>
  <si>
    <t xml:space="preserve">A empregada contratada, durante a realização de atividades rotineiras de limpeza e conservação, quando ao descer as escadas, perdeu o equilíbrio e desceu abruptamente três degraus, ocasionando a torção do tornozelo direito. </t>
  </si>
  <si>
    <t>Durante o transporte com empilhadeira, um isolador sem fixação adequada deslizou do palete e colidiu com a torre do equipamento, causando dano no material.</t>
  </si>
  <si>
    <t xml:space="preserve">Baixo </t>
  </si>
  <si>
    <t xml:space="preserve">O empregado terceirizado estava realizando atividade de retirada de cabos e instalações elétricas sobre um andaime com altura aproximada de 1m. Durante a execução, solicitou o apoio de outro colaborador para realizar o deslocamento do andaime. No momento do movimento, houve a inclinação da estrutura, levando o trabalhador a pular para evitar a queda, momento em que sofreu uma torção ao atingir o solo. </t>
  </si>
  <si>
    <t>Durante a atividade de supressão manual de vegetação, o empregado foi surpreendido por um enxame de abelhas e sofreu múltiplas ferroadas. Ao tentar se afastar do local correndo, caiu por três vezes, ocasionando escoriações leves no braço e na perna</t>
  </si>
  <si>
    <t>Por volta das 05h20 um veículo de marca Chevrolet, sob a direção de um cidadão com aparência de embriaguez colidiu com o portão de acesso número 2 da UTE Aparecida.</t>
  </si>
  <si>
    <t>O colaborador estava ajudando na montagem da porta de entrada da caixa espiral do tubo de sucção da UG 4, vindo a prender o dedo indicador da mão direita entre as dobradiças da porta e o batente.</t>
  </si>
  <si>
    <t xml:space="preserve"> A empregada própria estava se deslocando para casa, após turno laborado das 06:00 às 12:15, quando ocorreu uma colisão entre a moto que ela estava na garupa e outra moto, ocasionando a sua queda.</t>
  </si>
  <si>
    <t>Colaborador atingido por uma pedra na região da cabeça durante a execução de atividades com a máquina roçadeira</t>
  </si>
  <si>
    <t>Durante execução das atividades de supressão vegetal o colaborador caiu em um buraco, vindo a torcer sua perna esquerda.</t>
  </si>
  <si>
    <t>Dor intensa no braço direito após movimentar um contato móvel de disjuntor</t>
  </si>
  <si>
    <t>Durante o enchimento do pneu de um carrinho solicitado pela equipe de Meio Ambiente, o pneu veio a estourar, teve um forte barulho. Ninguém se feriu.</t>
  </si>
  <si>
    <t>Por volta das 7h, durante o percurso para a Subestação Campina Grande II, o empregado terceirizado foi picado por uma abelha no rosto, vindo a apresentar inchaço facial, compatível com reação à picada.</t>
  </si>
  <si>
    <t>Ao subir a escada do auditório, colaboradora tropeçou no degrau e caiu, causando contusão nos joelhos.</t>
  </si>
  <si>
    <t>Após inspeções de rotina, ao entrarem no elevador de cremalheira, a operadora fechou a porta interna (composta por quatro folhas articuladas), momento em que prenssou o dedo anelar direito entre os segmentos da porta.</t>
  </si>
  <si>
    <t>Ao realizava acabamento em cabo elétrico com utilização de estilete, quando o estilete feriu seu o polegar esquerdo.</t>
  </si>
  <si>
    <t>Durante o deslocamento da equipe terceirizada que realizava serviços de supressão vegetal (roço) no trajeto entre os municípios de Jaru/RO e Ouro Preto do Oeste/RO, o motorista da empresa terceirizada RBS relatou que um veículo invadiu a contramão e para evitar uma colisão frontal, ele desviou o carro para fora da pista e vindo a capotar o veículo.</t>
  </si>
  <si>
    <t>Veículo rodoviário motorizado</t>
  </si>
  <si>
    <t>Acidente fatal com motocicleta durante o trajeto residência - local de trabalho (Aparecida de Goiânia)</t>
  </si>
  <si>
    <t>Durante uma poda de uma arvore utilizando uma plataforma de elevação, um galho de madeira caiu no chão e quando bateu no chão veio de volta no para-brisa da referida viatura e o Impacto veio a quebrar o para-brisa.</t>
  </si>
  <si>
    <t>Nas atividades de construção da passagem molhada na Estrutura LT RIB/RCD 04M1 Est. 047/1, ao deslocar-se para beber água, não percebeu que a retroescavadeira fazia a manobra para estacionar defronte à betoneira, ocasionando um choque da lança da escavadeira com o profissional.</t>
  </si>
  <si>
    <t>Colaborador ao realizar separação de peças e assessórios ocorreu o prensamento do dedo médio da mão esquerda</t>
  </si>
  <si>
    <t>Ao realizar o fechamento da garrafa de café, houve uma pressão na válvula da garrafa e derramou café na mão esquerda da colaboradora, ocasionando vermelhidão.</t>
  </si>
  <si>
    <t xml:space="preserve">Durante isolação do trato TF3, a operação do COSE e o Apoio à Operação local entregaram a área isolada sem a devida abertura e bloqueio da CS 871. Antes da instalação do aterramento temporário, a presença de tensão foi constatada através do detector de tensão pelo técnico de manutenção </t>
  </si>
  <si>
    <t>2 - Percepção de risco</t>
  </si>
  <si>
    <t>A janela do refeitório se desprendeu do encaixe e resvalou, sem causar nenhum tipo de lesão ou ferimento, no antebraço e mão esquerda de uma colaboradora que tentava abrir a janela durante o intervalo do almoço</t>
  </si>
  <si>
    <t xml:space="preserve">Durante a atividade de dobra de um vergalhão metálico, realizada por um empregado terceirizado, ao soltar uma das extremidades do vergalhão, o colaborador foi atingido na região da boca, especificamente no lábio superior, resultando em lesão. </t>
  </si>
  <si>
    <t>Falha de redutor do pórtico da UHE Itumbiara, com queda livre do conjunto comporta/viga pescadora/moitão no poço da comporta</t>
  </si>
  <si>
    <t>Durante inspeção visual no porão das balsas, ao levantar uma tampa, a mesma se soltou e prendeu os dedos da mão direita do colaborador, ocasionando lesões no 3º e 4º quirodáctilo</t>
  </si>
  <si>
    <t>Ao manusear recipientes contendo substâncias desconhecidas, um deles caiu e derramou, provocando tonturas e náuseas</t>
  </si>
  <si>
    <t>Colisão durante deslocamento do trabalho para a residência, causando danos materiais leves</t>
  </si>
  <si>
    <t>Durante o lixamento da parte vertical de um canto do painel, o colaborador retirou a mão esquerda que segurava a lixadeira. Nesse momento, a escova rotativa entrou em contato com sua mão esquerda, atingindo a luva e causando um incidente no dedo mínimo</t>
  </si>
  <si>
    <t xml:space="preserve">Médio </t>
  </si>
  <si>
    <t>Durante o deslocamento da residência para local de trabalho, o funcionário sofreu uma queda da motocicleta ao colidir com um cachorro, sofrendo fratura na clavícula</t>
  </si>
  <si>
    <t xml:space="preserve">Durante a atividade de descarregamento de estruturas metálicas, com utilização do caminhão Munck da empresa acessante, um colaborador de empresa terceira, responsável pelas atividades de carga e descarga, identificou a necessidade de ajuste na peça logo após a colocação da cinta de içamento. Ao tentar realizar manualmente o reposicionamento da estrutura, esta sofreu um deslocamento (acomodação) na cinta, vindo a atingir a mão direita do colaborador que executava a atividade. </t>
  </si>
  <si>
    <t>Ao retornar para sua residência, a colaboradora foi fechada por outro veículo, colidindo contra outro veículo e caindo, sofrendo escoriações leves</t>
  </si>
  <si>
    <t>Durante a movimentação de carga suspensa com utilização de ponte rolante, o operador decidiu realizar a operação do equipamento, dentro da área isolada,  ao olhar para alto, afim de acompanhar a movimentação da carga, caiu no vão, que estava sem uma das tampas do gerador UGH 01, sofrendo corte superficial no antebraço direito. Obs: Altura aproximada de 2,5m.</t>
  </si>
  <si>
    <t xml:space="preserve">Logo após sair da Subestação de Jardim, na BR 235, no km 89, o motorista terceirizado, ao conduzir o veículo do turno na troca de operadores, colidiu com animal na pista, atingindo a lateral esquerda do veículo e para-brisa dianteiro. </t>
  </si>
  <si>
    <t>O caminhão do depósito de materiais de construção veio a UHE Porto Colômbia realizar uma entrega de blocos de concrero, ao fazer  um retorno com o veículo, acabou subindo sobre a caixa de passagem que se encontrava no local quebrando a tampa.</t>
  </si>
  <si>
    <t>Colaborador terceirizado estava em deslocamento para a Subestação CGD-11, localizada nas proximidades do viaduto Milton Ramos, na saída da Camipão, no município de Campina Grande/PB.
O trajeto estava sendo realizado na garupa de uma motocicleta de aplicativo (Moto Uber), modelo 300 cilindradas. Durante uma parada no trânsito, o piloto — que apresentava dificuldade para apoiar os pés de forma estável ao solo, em função da altura da moto — perdeu o equilíbrio, ocasionando o tombamento do veículo e, consequentemente, a queda do condutor e do colaborador.
Na queda, o colaborador sofreu impacto com o joelho direito contra o meio-fio/calçada, levantando-se logo em seguida e dando continuidade ao deslocamento. No entanto, devido ao incômodo persistente, o colaborador comunicou o ocorrido ao seu líder imediato e foi encaminhado ao hospital, onde foi devidamente avaliado e atendido.</t>
  </si>
  <si>
    <t>Durante a atividade de substituição de cadeias de isoladores na estrutura 36/3 da LT 04F1 TAT/PAF com colaborador terceirizado, no início da etapa de descida controlada da cadeia de isoladores antiga através da linha de mão, ocorreu o desprendimento da fita de amarração que estava presa ao terceiro isolador, causando a queda de toda a cadeia ao solo. O raio de queda no entorno do poste estava devidamente sinalizado. Não houve danos em ferramentas/materiais e não houve feridos.</t>
  </si>
  <si>
    <t xml:space="preserve">O empregado terceirizado, ao sair da Usina de UPA em sua motocicleta, durante o intervalo de almoço, sofreu uma queda logo após passar pela lombada em via pública. </t>
  </si>
  <si>
    <t>Durante o trajeto habitual da empresa para residência, dois empregados terceiros (piloto e garupa), informaram que caíram de moto devido a óleo na pista em que trafegava.</t>
  </si>
  <si>
    <t>Foi evidenciado a presença de um caminhão da empresa Pinezi, subcontratada da CET, dentro da área restrita da subestação (acesso via portão da obra), sem acompanhamento, liberado de forma indevida.</t>
  </si>
  <si>
    <t>O colaborador trafegava utilizando o veículo da frota da Chesf, modelo Ford Ecosport, placa QYD-2995, dentro do limite de velocidade, em deslocamento para a SE JDM, quando realizou uma parada regular, sem frenagem brusca, em uma faixa de pedestre. Nesse momento, o veículo foi abalroado na traseira por um automóvel modelo Fiat Siena, placa IAA-0809, que vinha logo atrás.
O impacto causou danos materiais na parte traseira do veículo da Chesf, porém, felizmente, não houve ferimentos físicos ao colaborador que o conduzia.</t>
  </si>
  <si>
    <t>Queda de árvore sobre trabalhador durante atividade de supressão vegetal, cujo galho atingiu seu capacete</t>
  </si>
  <si>
    <t>Funcionário estava realizando atividade no telhado sem proteção e ancoragem em linha de vida.</t>
  </si>
  <si>
    <t>O empregado terceirizado, enquanto conduzia sua motocicleta na rodovia RN-117 após encerrar seu plantão na Subestação Mossoró II, sofreu um acidente colidindo com um animal (vaca) que atravessou a via.</t>
  </si>
  <si>
    <t>No trajeto de retorno para a residência, de motocicleta, ao trafegar na avenida Brasil, sentido centro, no bairro da Penha, aproximadamente às 17h, o empregado recebeu uma fechada de um veículo de cor vermelha (que não parou para prestar socorro), ao tentar desviar se acidentou. Com a queda, houve uma fratura exposta do fêmur esquerdo. O condutor fazia uso dos seguintes equipamentos de proteção individual: Capacete (ficou com a viseira parcialmente destruída), colete torácico, joelheiras (joelheira direita rachada após a queda) e luvas.</t>
  </si>
  <si>
    <t>Ao retornar para casa, conduzindo sua bicicleta elétrica, um cachorro atravessou sua frente e, neste momento, ao acionar os freios, perdeu equilíbrio e foi projetada ao chão onde bateu com a boca e o joelho do lado direito</t>
  </si>
  <si>
    <t>No trajeto para deslocamento habitual de casa para o trabalho, o empregado terceiro teve sua motocicleta atingida por outro veículo enquanto estava parado no sinal.</t>
  </si>
  <si>
    <t>Ao deixar o hotel Intercity Salvador Aeroporto, localizado em Lauro de Freitas (BA), com destino à Subestação Camaçari II, em Dias D’Ávila (BA), o colaborador, utilizando um veículo da Eletrobras Chesf (modelo Kwid, prefixo 130389, placa PGZ-6679), colidiu com uma motocicleta de placa SKN-2E51 ao mudar de faixa na Avenida Santos Dumont, em frente ao hotel, com o objetivo de realizar um retorno.
O evento resultou apenas em danos materiais, sem feridos.
Danos na motocicleta: arranhões e amassados na carenagem do lado direito, além da quebra do pisca direito.
Danos no veículo: amassado, arranhões e danificação do detalhe de borracha do para-choque dianteiro esquerdo.</t>
  </si>
  <si>
    <t>O colaborador F M H ao se deslocar de sua residência a unidade de trabalho (usina I), sofreu uma batida em sua motocicleta por um veículo, resultando em sua queda ao solo e ferimentos pelo corpo, aparentemente sem gravidade.</t>
  </si>
  <si>
    <t>Ao voltar do almoço, o motorista sentiu um mal súbito, o que fez com que perdesse o controle da direção, fazendo o ônibus sair da pista e entrar no meio do mato</t>
  </si>
  <si>
    <t>Ao se deslocar na parte externa do refeitório, a colaboradora tropeçou na base de refletor  existente na área ajardinada, tendo uma queda de mesmo nível ao solo, sentindo dores no joelho esquerdo</t>
  </si>
  <si>
    <t>Ao deslocar-se na sua moto para a sua residência, após o término das atividades do dia, o colaborador colidiu com um caminhão, sendo atendido pelo SAMU e encaminhado para o Hospital Vitória Apart</t>
  </si>
  <si>
    <t>Colisão lateral entre veículos durante manobra de retorno, resultando em danos materiais à lateral e ao para-choque do veículo. Não houve lesões.</t>
  </si>
  <si>
    <t>Durante atividade de roçagem, profissional pisou em um prego, provocando perfuração superficial no pe.</t>
  </si>
  <si>
    <t>Metal</t>
  </si>
  <si>
    <t>Ao se deslocar do hotel para o canteiro de obra, foi surpreendido por uma moto que acabou colidindo com seu veículo, causando danos superficiais no para-choque do veículo.</t>
  </si>
  <si>
    <t>Ao abastecer o bebedouro com utilização de galão de 20 litros, resvalou o quinto quirodáctilo esquerdo na borda superior do bebedouro, causado ferimento superficial.</t>
  </si>
  <si>
    <t xml:space="preserve"> O empregado terceirizado conduzia veículo Van no sentido a Subestação de Milagres quando um pedestre que andava próximo à via se desequilibrou e invadiu a pista. Devido à grande quantidade de mato invadindo a pista, a rodovia não possuía acostamento. O motorista fez a frenagem mas não conseguiu evitar a batida. O veículo estava em baixa velocidade. O pedestre sofreu escoriações devido à queda e o veículo teve algumas avarias.</t>
  </si>
  <si>
    <t>Ao se deslocar para bater o ponto, sofreu uma queda no corredor da cozinha, vindo a colidir de forma brusca com as costas no chão, resultando em dores na região dorsal, leve impacto na cabeça e episódios de ânsia de vômito</t>
  </si>
  <si>
    <t>Queda de motocicleta no trajeto até a empresa.</t>
  </si>
  <si>
    <t>O empregado terceirizado 
trafegava na BR 232 de Recife sentido Escada-PE, nas imediações do KM 12 - próximo a Gerdau Aço Norte. Seguia na faixa da esquerda com trânsito intenso, quando um determinado veículo trafega a frente, tendo   acionado os freios bruscamente, com isto, parou o seu veículo, neste momento o empregado teve que frear para não bater no veículo da frente e  acionou o pisca alerta. Um outro veículo  tipo sprinter que transitava atrás, conduzido pelo Sr. JOSÉ ROMESON MONTEIRO, veio colidir na traseira da caminhonete, causando danos superficiais na tampa da caçamba e leve desencaixe da estrutura de algumas partes do para choque. Não houve ferimentos com nenhum dos envolvidos.</t>
  </si>
  <si>
    <t>Durante a atividade de retirada de parafuso da Base do Conversor, altura de 1,60m, o profissional ancorou o cinto numa plataforma pantográfica estacionada no loca. Com a movimentação do equipamento, o profissional foi puxado tendo batido as costas na estrutura.</t>
  </si>
  <si>
    <t>O empregado terceirizado no deslocamento da sua residência para o local de trabalho, quando ao trafegar pelo cruzamento, foi desviar-se de uma outra motocicleta e derrapou na pista, vindo a sofrer a queda da sua motocicleta, ocasionando lesão no pé esquerdo.</t>
  </si>
  <si>
    <t>Queda da cadeia de isolador devido à ruptura de cordelete que fixa o gancho a corda de içamento.</t>
  </si>
  <si>
    <t>Durante a manutenção da bomba 2 do poço de drenagem 2, a equipe de manutenção mecânica precisou içar o mancal superior (30 kg) e para isso utilizou a ponte rolante de 5T com uma cinta de carga de 1T. A cinta ficou em contato com uma parte cortante do material (quina viva) provocando o rompimento desta cinta antes mesmo da peça ser içada.</t>
  </si>
  <si>
    <t>Durante o deslocamento para intervenção na LT 03C2 SMDACD, 03 funcionários terceirizados da DMF foram atacados por um enxame que adentrou na cabine do caminhão</t>
  </si>
  <si>
    <t>O colaborador teve a lateral do seu carro atingida por um carro de terceiro, não sofrendo nenhuma lesão, apenas danos materiais.</t>
  </si>
  <si>
    <t>O empregado terceirizado conduzia o veículo SPIN placa: TAW3C82 pela Rua Nicolau Pereira com cruzamento da rua imperial no sentido bairro Torre na faixa central (velocidade do veículo 33km/h, conforme dados da telemetria) quando um caminhão placa PER7998 estava na faixa da esquerda ao lado da SPIN, convergiu a esquerda bruscamente na rua imperial. Nesse momento o final do para-choque traseiro do caminhão colidiu com o para-choque dianteiro da SPIN lado do motorista. O motorista do caminhão ignorou a colisão e se evadiu do local.   </t>
  </si>
  <si>
    <t xml:space="preserve">Durante treinamento prático de combate a incêndio, o empregado próprio da ELB, acionou o gatilho do extintor de CO2 para iniciar o combate ao fogo. Nesse momento, houve um vazamento do gás na direção da mão do empregado através da válvula, provocando queimadura. </t>
  </si>
  <si>
    <t xml:space="preserve"> Durante o deslocamento no pátio do estacionamento, um colaborador terceirizado foi atingido por um objeto perfurante (prego de aço danificado) que se encontrava no solo.
O objeto atravessou a sola da botina, perfurando o calçado e provocando uma lesão superficial na sola do pé esquerdo do trabalhador.</t>
  </si>
  <si>
    <t>Veículo Pick up S10 da Eletrobras (Placa TAR7E85) teve o para-choque esquerdo atingido por um segundo veículo (GOL). Não houve feridos.</t>
  </si>
  <si>
    <t>O colaborador deslocava-se no veículo Hyundai Creta, placa GBP3I21, do Canteiro de Obras da empresa HWM Engenharia, sentido a Juazeiro – BA, pela avenida Chefe Khoury, para almoçar, quando foi surpreendido e atingido em sua lateral esquerda por uma motocicleta conduzida por um morador da comunidade local, causando danos materiais em ambos.Não houve feridos.</t>
  </si>
  <si>
    <t>Ao atravessar a faixa de pedestres foi atingido por um veículo, sendo atingido no quadril direito, batendo a cabeça e o rosto e cortando o lábio superior</t>
  </si>
  <si>
    <t xml:space="preserve">Colaborador terceirizado estava acompanhando a equipe de manutenção civil nas inspeções periódicas de segurança de barragem. Ao ser solicitado que fizesse uma medição de uma cota, utilizando uma trena, o mesmo segurou no degrau da escada (marinheiro) que fica ao lado do local da atividade. Neste momento, recebeu um choque  elétrico proveniente de um eletroduto metálico pertencente ao circuito de iluminação da galeria (220V). O empregado usava os EPIs adequados à atividade (bota de segurança e capacete). </t>
  </si>
  <si>
    <t>Durante a movimentação da ponte rolante 35t/10t #1 para instalação de uma linha de vida no caminho de rolamento, houve uma colisão da escada de acesso à PR, que não foi recolhida, com a estrutura metálica (guarda corpo) perimetral da Casa de Força, causando pequeno dano material na escada.</t>
  </si>
  <si>
    <t>Durante desconexão de cilindros de gás Halon (agente extintor de incêndio), ocorreu um vazamento inesperado ao realizar o desarme mecânico da válvula de disparo do segundo cilindro</t>
  </si>
  <si>
    <t>Durante a atividade de lavagem de disjuntor, utilizando o cesto aéreo para içamento e  movimentação de pessoas, o colaborador que operava o cesto, realizou um giro e, a lança que estava baixa, esbarrou no suporte da escada de acesso a caçamba do cesto, causando danos materiais ao suporte.</t>
  </si>
  <si>
    <t>Durante a saída simultânea de dois colaboradores da caçamba do cesto acoplado, que estava a 0,2m do solo, um dos colaboradores se desiquilibrou com o movimento pendular, causado pelo contrapeso exercido pelo outro empregado que descia no sentido contrário, resultando em queda.</t>
  </si>
  <si>
    <t>Durante a movimentação de abertura e fechamento manual da chave secionadora IZSY6-03, ela apresentou a resistência, girou em falso, escorregou e bateu no dorso da mão do colaborador</t>
  </si>
  <si>
    <t>Segunda-feira</t>
  </si>
  <si>
    <t>Durante o carregamento de estacas para a confecção de isolamento, o colaborador estava carregando aproximadamente 5 estacas nos ombros quando uma delas se desprendeu e atingiu a região abaixo da panturrilha esquerda.</t>
  </si>
  <si>
    <t>Durante ronda com moto dentro da unidade, o veículo derrapou e o colaborador caiu, sofrendo leves escoriações na mão</t>
  </si>
  <si>
    <t>Relato da Ocorrência: Após almoçar, o empregado do quadro próprio se dirigia à subestação Juazeiro II pela BR 407, sentido Jaguarari-Juazeiro, conduzindo a caminhonete S10. Ao chegar em frente ao acesso da subestação, o empregado parou o veículo no acostamento para liberar o fluxo no sentido em que estava enquanto aguardava as condições para cruzar a via com segurança. Não havia veículos no sentido contrário, ao iniciar a manobra pra cruzar a via para entrar na subestação, houve a colisão com outro veículo que vinha no mesmo sentido da via, resultando em danos materiais nos dois veículos, mas sem nenhum ferido.</t>
  </si>
  <si>
    <t>Durante fixação das bandejas novas para passagens dos cabos, que por sua vez estão posicionadas acima de bandejas antigas com cabos energizados, uma de suas extremidades, que estava energizada e sem isolamento, tocou no bandejamento, vindo a causar um curto circuito /centelhamento.</t>
  </si>
  <si>
    <t>Durante o retorno de viagem para a base central em Montes Claros, se deparou com uma caminhonete parada na rodovia, tentou realizar a frenagem, não conseguiu e colidiu na traseira do veículo.</t>
  </si>
  <si>
    <t>Durante a verificação de uma possível invasão de terceiros em um terreno adjacente ao COS, o empregado da vigilância precisou subir em uma jardineira para melhor visualizar a área. Ao se posicionar sobre a mureta, acabou escorregando e sofreu uma queda de aproximadamente 1 metro de altura.</t>
  </si>
  <si>
    <t>Durante a organização das peças no pátio, o colaborador posicionava o barrote da madeira para posicionamento da chapa de para raio, quando o operador F.M.S, baixou a peça com o auxilio da empilhadeira. o barrote virou e aprisionou os dedos polegar e anelar da maão esquerda.</t>
  </si>
  <si>
    <t xml:space="preserve">Durante inspeção foram identificadas atividades com riscos críticos no telhado da Casa Eficiente (trabalho em altura e com eletricidade) sem o cumprimento dos requisitos de SSO.
</t>
  </si>
  <si>
    <t>Após carregamento de bobina no pátio, durante o deslocamento para o canteiro a lança do munck atingiu a tampa da caixa do mecanismo de acionamento da base do dijuntor.</t>
  </si>
  <si>
    <t>O portão eletrico interno da usina fechou-se inesperadamente no momento em que o micro-onibus acessava a Usina, e atingiu a lateral do veículo ocasionando um raspão, dano apenas estético (material), não houve feridos.</t>
  </si>
  <si>
    <t xml:space="preserve"> Durante o deslocamento pelo lance de escadas na portaria, o empregado terceirizado sofreu uma queda no degrau. Ao pisar no degrau, o empregado desequilibrou vindo a cair, apoiando-se com o pé esquerdo no momento do impacto, o que ocasionou dores imediatas na região, sendo necessário o encaminhamento para  avaliação médica.  A escada apresenta revestimento cerâmico com fita antiderrapante.</t>
  </si>
  <si>
    <t>Ao frear para evitar uma colisão, o colaborador derrapou e caiu de sua moto.</t>
  </si>
  <si>
    <t>O veículo estava estacionado no setor do transporte. O colaborador terceirizado ligou o veículo e acionou o balão de ar do veículo para enchimento. Segundo o relato do empregado, ele não verificou a válvula de freio nem o freio de mão do veículo. Em seguida, o empregado dirigiu-se à sala para entregar a chave de outro veículo que havia retornado da oficina. Aproximadamente dois minutos depois, ouvimos um barulho do lado de fora. Ao sairmos, constatamos que o caminhão havia colidido com o prédio da empresa JAVE. No momento da colisão, havia dois colaboradores da JAVE na sala, porém, felizmente, nenhum deles foram atingido. </t>
  </si>
  <si>
    <t xml:space="preserve"> Acidente com queimadura durante instalação do osciloscópio na saída de 220VAC da UPS do SVC 01Q1 na CID. Durante a instalação do equipamento uma das garras do osciloscópio soltou e bateu na outra ponta entrando em curto, resultando em arco elétrico. </t>
  </si>
  <si>
    <t>Durante o deslocamento de sua residência e o local de trabalho, o colaborador tropeçou e caiu, ferindo o rosto, a boca e as mãos, apresentou sangramento no nariz e inchaço no joelho</t>
  </si>
  <si>
    <t xml:space="preserve">Durante o deslocamento para Usina próximo a entrada da Cidade de Sobradinho na BA 210, no km 434, o motorista terceirizado, ao conduzir o veículo do turno para troca de operadores, colidiu com animal na pista, “égua”, atingindo a parte frontal do veículo. Estavam no veículo uma operadora gestante, que foi encaminhada para avaliação médica no hospital e um operador que seguiu para a usina e foi avaliado pelo médico do trabalho da Eletrobrás Chesf. O motorista terceirizado não se feriu. </t>
  </si>
  <si>
    <t>O colaborador terceirizado deslocava-se de motocicleta em direção ao seu local de trabalho quando, ao transitar pela Avenida Elói Mendes, foi surpreendido por um cão que invadiu repentinamente a via. Ao tentar desviar, não foi possível evitar a colisão com o animal, o que resultou na perda de controle da motocicleta e na consequente queda do condutor. O colaborador sofreu apenas escoriações leves, além de danos à vestimenta, como coturno e calça, que apresentaram rasgos e sujeira em decorrência da queda.</t>
  </si>
  <si>
    <t>Durante o deslocamento de trajeto de carro para a SE Londrina, ao desembarcar do veículo, a porta acabou batendo em seu rosto, causando um corte superficial na face.</t>
  </si>
  <si>
    <t>Veículo</t>
  </si>
  <si>
    <t>O empregado terceirizado, durante a execução de atividades de supressão vegetal na SE Milagres, foi picado por uma abelha no lábio superior, o que provocou processo alérgico com inchaço na região afetada.</t>
  </si>
  <si>
    <t xml:space="preserve"> O empregado encontrava-se desempenhando atividades de limpeza do solo (rastelamento) quando, bateu o braço no espinho de em uma planta de mandacaru. Após o impacto, relatou escurecimento da visão e dor intensa no local atingido. Procurou imediatamente a supervisão, que o orientou a se dirigir ao hospital.</t>
  </si>
  <si>
    <t>Após concluir a atividade de movimentação de carga, o colaborador iniciou uma manobra marcha ré sem o apoio de um sinaleiro. Durante a manobra, o para-choque do veículo colidiu com a proteção e estaia de um poste da rede de baixa, gerando leve esforço sobre a estrutura.</t>
  </si>
  <si>
    <t>Empregado terceiro estava executando furação em piso metálico na sala de comando.  Durante a atividade com uma furadeira elétrica  serra copo, ela travou e ao destravar, escorregou da mão do empregado, girou sobre o próprio eixo e atingiu a mão do empregado.</t>
  </si>
  <si>
    <t>Após bater o ponto, o colaborador próprio solicitou um transporte por aplicativo (moto). Menos de 1 km após a partida, na Rua Delmiro Gouveia, sentido Subestação Bongi, a moto em que ele estava colidiu com um carro que tentava cruzar a avenida para acessar o sentido oposto ao da moto.
Na colisão, o colaborador foi arremessado e caiu de costas na avenida vindo a sofre lesões superficiais. A mochila que ele estava utilizando amortecer parcialmente a queda.</t>
  </si>
  <si>
    <t>O Colaborador estava em deslocamento para SE Presidente Dutra, parou no acostamento da entrada da instalação, após ligar a seta para sinalizar a conversão ao entrar na via, foi atingido por trás por outra motocicleta.</t>
  </si>
  <si>
    <t>Durante deslocamento após MP SAM no 13D1/SMD a equipe terceirizada de manutenção de SE da empresa WT Engenharia se envolveu num acidente de trânsito na RN-041, rodovia estadual que interliga a SE-SMD com a BR-304, colidindo com uma vaca.</t>
  </si>
  <si>
    <t>O empregado terceirizado trabalhava na guarita Capuxu, portaria de acesso de Usina Paulo Afonso - UPA, e ao realizar a abertura do portão, o mesmo veio a prensar seu dedo polegar.</t>
  </si>
  <si>
    <t>O colaborador terceiro se deslocava para o trabalho em sua motocicleta quando sofreu uma queda noo momento em que o carro forçou a ultrapassagem e o jogou para fora da pista</t>
  </si>
  <si>
    <t>O colaborador realizava a abertura de caixas para conferência de materiais, quando ao abrir a tampa da caixa, ela veio a cair sobre a mão esquerda atingindo o dedo anelar.</t>
  </si>
  <si>
    <t xml:space="preserve">O empregado terceirizado, ao finalizar a movimentação do redutor com a utilização da talha, a mesma se desprendeu e caiu , atingindo o dedo indicador da mão direita, provocando uma lesão. </t>
  </si>
  <si>
    <t>O operador de máquina Sr G.S.B.,ao estacionar a escavadeira e se retirar do local, realizou uma manobra de giro com o equipamento, ocasionando batida contra, entre a traseira do equipamento e o quadro/painel elétrico.</t>
  </si>
  <si>
    <t xml:space="preserve">Queda de motocicleta no trajeto da residência para o local de trabalho. Havia óleo na pista e a motocicleta tombou após uma curva causando escoriações na perna.
</t>
  </si>
  <si>
    <t>O colaborador terceirizado, durante a limpeza da máquina de café, precisou puxar uma peça que estava aderida devido à umidade do equipamento. Ao realizar o movimento, seu dedo deslizou e acabou raspando na parte interna da máquina, ocasionando uma lesão superficial no polegar direito.</t>
  </si>
  <si>
    <t>Durante o desmonte manual de caixas de madeira utilizadas no transporte de isoladores, um colaborador de empresa terceirizada sofreu uma lesão perfurocortante no pé direito ao pisar sobre um pedaço de madeira com prego exposto. Apesar de estar utilizando botina de segurança, o prego atravessou o calçado e atingiu seu pé.</t>
  </si>
  <si>
    <t>Durante roçagem de vegetação, a lâmina da roçadeira se partiu, vindo a se chocar na canela do operador, ocasionando um corte</t>
  </si>
  <si>
    <t>Durante os trabalhos de Substituição do TPC 84B2-A/Subestação de Arapiraca III, o funcionário fazia a supervisão da área para acesso do caminhão munk ao pátio.
O funcionário pisou na tampa de concreto da caixa de drenagem, essa tampa cedeu e o funcionário caiu dentro da caixa de drenagem, com uma profundidade de dois metros.</t>
  </si>
  <si>
    <t xml:space="preserve"> A colaboradora terceirizada, ao tentar abrir um recipiente de produto químico com tampa não rosqueável, utilizou uma faca serrilhada para fazer pressão na base da tampa, com o objetivo de removê-la.
Durante o procedimento, a faca escapou e atingiu a mão esquerda da colaboradora, causando uma lesão superficial na base do dedo indicador.</t>
  </si>
  <si>
    <t>A colaboradora ao realizar a limpeza das mesas onde são feitas as refeições dos colaboradores, tropeçou em um banco da própria mesa e, ao se desequilibrar, caiu batendo o dedo mínimo no banco.</t>
  </si>
  <si>
    <t>Durante deslocamento da cidade de São João do Piauí/PI, sentido sua cidade de origem, Senhor do Bonfim/BA, para folga de campo, o colaborador E. C. R.  ao passar pela cidade de Campo Alegre do Fidalgo/PI, foi surpreendido por uma caminhonete D20, que colidiu contra a lateral direita do seu veículo.</t>
  </si>
  <si>
    <t xml:space="preserve"> O COSE identificou no supervisório da SE PAL, uma leitura de fuga terra no painel SC 3 de serviços auxiliares 125CC. A equipe de sobre aviso da Eletrosul, foi acionada até o local e constatou a presença de dois profissionais em atividades de “Ensaio de oscilografia”. Os profissionais da empresa Concremat e JMW Service, possuíam a liberação para atividade através das SIs 8205, 8032 e 8508 contínuas. Porém, não comunicaram ao COSE, o início da execução das atividades.</t>
  </si>
  <si>
    <t>Durante o deslocamento para sua residência, após fiscalizar atividade com a equipe de Controle de Vegetação, o fiscal terceirizado não conseguiu realizar a frenagem a tempo diante da parada súbita do veículo à frente em faixa de pedestres, colidindo em sua traseira e ocasionando colisão também no segundo veículo que estava à frente</t>
  </si>
  <si>
    <t>Quebra de chassi e queda de moto, durante verificação visual por vigilante</t>
  </si>
  <si>
    <t>Durante a instalação de um microaspersor na tubulação de irrigação do jardim da SE Ibiapina II, o colaborador terceiro sofreu um ferimento superficial no pulso direito ao ser atingido por um arame.</t>
  </si>
  <si>
    <t>Durante o trajeto habitual da empresa para residência por meio de motocicleta, o profissional colidiu com outra motocicleta que freou bruscamente a sua frente resultando em queda, escoriações e fratura no braço direito.</t>
  </si>
  <si>
    <t>Durante a montagem manual da cerca de proteção do reator da UG02. Quando na movimentação de uma coluna de perfil de alumínio estrutural para fixação da base, o colaborador, mecânico montador, teve o dedo prensado entre a base e o solo em virtude da descida brusca da coluna com 2 m de comprimento e peso aproximado de 6 kg.</t>
  </si>
  <si>
    <t>Ao descer da van para registro da frequência, o colaborador pisou em falso e torceu o tornozelo.</t>
  </si>
  <si>
    <t>Durante atividade de abertura de acesso houve a quebra do vidro da parte inferior da porta de acesso do equipamento retroescavadeira, por um galho de madeira.</t>
  </si>
  <si>
    <t xml:space="preserve"> Durante a montagem de andaime isolante na SE JZD, o eletricista se movimentou no andaime, a uma altura de cerca de 3 metros, e a torre se desestabilizou, inclinando um pouco. O andaime estava sendo montado a uma distância segura de pontos energizados e posteriormente seria movimentado para o local da atividade. A equipe de suporte, que estava segurando os estais, percebeu rapidamente o risco de queda e deu sustentação ao andaime, evitando o tombamento. O eletricista usava todos os EPI, estava devidamente ancorado e não se desequilibrou, não resultando em nenhum ferimento ou danos ao ferramental.</t>
  </si>
  <si>
    <t xml:space="preserve">Durante a execução da atividade de carga e descarga de material trocando as tampas de canaletas do pátio da subestação de Natal II, o colaborador, ao manusear um carrinho de mão, colidiu com o eixo do equipamento com uma base de alvenaria. O impacto fez com que o braço do carrinho girasse e atingisse suas costelas, ocasionando dor imediata e inchaço na região. </t>
  </si>
  <si>
    <t>Durante deslocamento do colaborador, Sr. L. C. sobre uma plataforma de madeira, uma tábua do assoalho quebrou, fazendo com que o colaborador desequilibrasse e quase cair.</t>
  </si>
  <si>
    <t>Ao levantar bandejas para realizar limpeza de um balcão, colaboradora sentiu uma dor no dedo da mão esquerda possivelmente por picada de algum inseto.</t>
  </si>
  <si>
    <t>Durante a execução da atividade de corte de tubos, o colaborador E.S.S. (montador), fazia uso de  uma lixadeira angular para realizar a tarefa. Durante a atividade o disco de corte rompeu-se, atingindo a região superior do pé direito do colaborador.</t>
  </si>
  <si>
    <t xml:space="preserve">O empregado terceirizado, enquanto realizava a substituição das embalagens de parafusos para bombonas no Depósito 03 do almoxarifado, sofreu uma lesão leve no pé esquerdo após um prego preso a um pedaço de pallet atravessar o solado da botina de segurança. </t>
  </si>
  <si>
    <t>O colaborador terceirizado da empresa ELIMCO trafegava em direção à subestação de Ibicoara, quando foi surpreendido por um animal na pista e, ao tentar desviar, perdeu o controle de direção e o veículo tombou fora da pista. O colaborador não teve danos físicos.</t>
  </si>
  <si>
    <t>Durante o enceramento de piso, o colaborador escorregou em tapete, sofrendo uma queda e machucando a mão</t>
  </si>
  <si>
    <t xml:space="preserve">Durante o trajeto de retorno para casa, uma equipe de trabalhadores terceiros sofreu um acidente na BR-101, em condições de chuva leve. O veículo mesmo sendo conduzido dentro do limite de velocidade da via, colidiu com um sinalizador vertical mal posicionado que invadia parcialmente a pista. Ao tentar desviar, os pneus do lado direito tocaram o obstáculo, comprometendo a estabilidade do veículo. Apesar da dificuldade e da presença de uma carreta atrás, o motorista conseguiu evitar um acidente mais grave. O carro ainda atingiu outros cinco sinalizadores, mas não houve feridos apenas danos materiais. </t>
  </si>
  <si>
    <t>Ao movimentar, pela alça, a leiteira do fogão para a pia, a alça se desprendeu e derrubou leite em sua perna direita, na região da coxa e joelho, vindo a causar vermelhidão</t>
  </si>
  <si>
    <t>Escada permanente cujos degraus permitem apoio integral do pé, degrau - superfície utilizada para sustentar pessoas._x000D_</t>
  </si>
  <si>
    <t>Responsável pela intervenção na LT 04V1 CGD/PRS, de empresa terceirizada, informou ao Centro de Operação sobre a finalização dos trabalhos na estrutura da LT, porém ainda sem a comunicação necessária com o coordenador da atividade, profissional próprio da Eletrobras Chesf, sobre a conclusão de todas as atividades previstas, pois havia outra equipe na estrutura vizinha na mesma LT.
O operador do Centro de Operação entrou em contato com operador de instalação para iniciar as manobras de devolução da intervenção, o operador visualizou que a outra equipe ainda estava na parte externa da SE e questionou ao coordenador e este informou que não autorizou o início das manobras, pois havia necessidade de confirmar a conclusão de todas as atividades previstas, sendo suspensa a devolução da intervenção.
Só após a confirmação da conclusão de todas as atividades, a manobra seguiu normalmente.</t>
  </si>
  <si>
    <t>Dois colaboradores em uma moto colidiram contra outra motocicleta, sofrendo escoriações leves (motorista)</t>
  </si>
  <si>
    <t>Dois colaboradores em uma moto colidiram contra outra motocicleta, sofrendo escoriações leves (passageira)</t>
  </si>
  <si>
    <t>Quarta-feira</t>
  </si>
  <si>
    <t>Durante atividade de limpeza da área de canteiro utilizando ferramentas manual, ao corta o galho foi atacado por "Maribondo", onde sofre três ferroadas.</t>
  </si>
  <si>
    <t>Um forte redemoinho arrastou uma tenda que estava localizada na entrada do canteiro de obras da Enpecel dentro da Subestação em São João do Piauí/PI. A tenda foi projetada sobre os cabos de uma linha de 69KV, causando seu desligamento.</t>
  </si>
  <si>
    <t xml:space="preserve">Durante a atividade de descarregamento da PEMT na SE Santa Cruz II, no momento em que o colaborador terceiro desamarrava o equipamento da prancha, uma das cintas de amarração se soltou bruscamente e atingiu sua mão. Apesar do impacto, não houve ferimento. 
</t>
  </si>
  <si>
    <t>Durante a atividade de retirada de cabos, quando ao fechar a tampa da uma canaleta  o colaborador M.A.A. veio a prensar a mão direita entre o solo e a tampa da canaleta.</t>
  </si>
  <si>
    <t xml:space="preserve"> Funcionário sofreu queda de moto quando se dirigia à usina Paulo Afonso I, II, III, após o almoço, na avenida Apolônio Sales. </t>
  </si>
  <si>
    <t xml:space="preserve">Durante o deslocamento de retorno de Cuiabá para Sinop após implantação dos switch da rede Operativa no COR-MT, o empregado participou do acidente do ônibus de viagem que lhe transportava como passageiro. O ônibus em que viajava colidiu frontalmente com uma carreta no trecho entre as cidades de Nova Mutum e Lucas do Rio Verde. </t>
  </si>
  <si>
    <t>Caminhonete escorregou e caiu em uma valeta, ao tentar acessar a frente  de trabalho das obras das LT, das variantes de Angelina.</t>
  </si>
  <si>
    <t>Durante atividade de supressão vegetal com ferramenta manual  facão, ao cortar um galho o facão veio em contato com seu joelho esquerdo causando um corte.</t>
  </si>
  <si>
    <t>Durante o deslocamento de rotina da carpintaria em direção ao escritório, acompanhado por outro colaborador da empresa contratada, um empregado terceirizado relatou sentir a presença de um corpo estranho no solado de sua bota de segurança. Ao interromper a caminhada para inspecionar o calçado, identificou visualmente um prego metálico alojado no solado. O colaborador dirigiu-se imediatamente ao setor administrativo e comunicou o ocorrido à supervisão. Após análise visual e tátil do equipamento, foi constatado que o objeto perfurante (prego) havia penetrado o solado de forma horizontal, sem atingir a região plantar ou comprometer a integridade física do trabalhador. </t>
  </si>
  <si>
    <t>Princípio de incêndio em forno localizado em refeitório</t>
  </si>
  <si>
    <t>Terça-feira</t>
  </si>
  <si>
    <t>Durante a atividade de roço nos fundos da subestação, funcionário foi ferroado por um maribondo no supercílio do olho direito.</t>
  </si>
  <si>
    <t>Durante o lançamento do segundo circuito do cabo para-raios, o cabo saltou do gorne do conjunto de polias do freio (tensionador). O colaborador L. J. A., ao tentar reposicioná-lo inadvertidamente com utilização do pé, teve aquele membro esquerdo preso entre o cabo e o gorne da polia.</t>
  </si>
  <si>
    <t>Durante a execução da atividade de substituição da chave seccionadora na estrutura C2, o colaborador da Empresa Grantel, operava uma furadeira para realizar a perfuração de uma estrutura metálica, quando a ferramenta sofreu um movimento brusco (um "tranco"), provocando o choque do corpo da furadeira contra o antebraço do colaborador.</t>
  </si>
  <si>
    <t xml:space="preserve"> Durante o deslocamento de uma empilhadeira descarregada sobre pavimento de paralelepípedos, o garfo direito da máquina se desencaixou da estrutura da torre, na sequência o equipamento passou com as rodas dianteira e traseira do lado direito sobre parte do garfo, ocasionando instabilidade da empilhadeira, estando o operador utilizando cinto de segurança e demais equipamentos de proteção individual, não sofrendo acidente. </t>
  </si>
  <si>
    <t xml:space="preserve"> Durante o trajeto entre casa e trabalho, a funcionária encontrava-se como passageira em uma motocicleta utilizada por meio de aplicativo de transporte. No percurso, um automóvel colidiu com a motocicleta, ocasionando a queda da colaboradora e resultando em escoriações. </t>
  </si>
  <si>
    <t>Durante a execução da atividade de  corte de madeira para a montagem de canteiro de obra, o Colaborador S.S.R. usava uma serra circular na atividade e no momento do corte, a máquina deu um tranco vindo bater na mão esquerda ocasionando corte em 3 dedos.</t>
  </si>
  <si>
    <t>Empregado ao conduzir sua motocicleta em uma via pública sob fortes chuvas e com o asfalto molhado, sofreu uma queda ao passar por um desnível na pista. No momento da queda, bateu o ombro direito no solo e a motocicleta caiu sobre sua perna. Com a ajuda de terceiros, conseguiu se levantar e seguiu viagem até o trabalho. No entanto, devido ao aumento das dores no ombro, procurou atendimento na emergência hospitalar.</t>
  </si>
  <si>
    <t>O condutor, Sr. V. C. L., trafegava na estrada vicinal da cidade de Morada Nova - CE, sentido Capela - Parque de vaquejada, com utilização de veículo Saveiro, quando, após realizar uma conversão a esquerda para acessar a frente de serviço de sondagem de solo, foi atingido em sua lateral esquerda por uma motocicleta Honda Bros, conduzida por um morador local.</t>
  </si>
  <si>
    <t>O colaborador M.K estava acompanhando ensaio de tração em elementos metálicos de linhas de transmissão (manilhas), na fábrica do fornecedor Brametal, em Linhares, Espírito Santo, quando um fragmento metálico se soltou durante o rompimento da peça, transpassando a tela metálica de proteção e atingindo o peito do colaborador, sem transfixação.</t>
  </si>
  <si>
    <t xml:space="preserve">Durante a atividade no transformador 230/69 kV 04T3 da SE DMG, a plataforma de elevação Socage 28DA apresentou um vazamento de óleo hidráulico, o que resultou na descida involuntária do cesto, sob um equipamento (TC) que se encontrava desenergizado, isolado e aterrado. Sem lesões à dupla de operadores que se encontravam no equipamento, vinculados à área de Operação, e sem danos a plataforma. </t>
  </si>
  <si>
    <t>A colaboradora E.M.P, deslocava-se para a SE COLINAS com veículo da empresa, quando após ser ultrapassada por caminhão boiadeiro, foi fechada pelo mesmo pois vinha uma carreta no sentido contrario, ocorreu leve colisão, levando o carro ao acostamento, onde parou.</t>
  </si>
  <si>
    <t>Carreta invadiu a pista da esquerda e colidiu lateralmente com o veículo da Eletrobras, causando danos no retrovisor e pára-lama direito</t>
  </si>
  <si>
    <t>Durante a execução da retirada do jumper para normalização da LTIAIV2 Itaberá e retornar a mesma a sua condição original, dois montadores sofreram uma leve indução. A mesma aconteceu no ato do fechamento do DJ12916, da LTIAIV1 (que é paralela a linha que estava sendo executada o serviço).  A atividade estava sendo realizada entre dois pontos de aterramento temporário, e a PEMT também encontrava-se devidamente aterrada.</t>
  </si>
  <si>
    <t>A colaboradora ao caminhar pelos jardins do prédio da sede, caiu em um desnível e torceu o pé.</t>
  </si>
  <si>
    <t>O colaborador realizava o reposicionamento de tampas de canaleta quando uma das tampas quebrou em um dos cantos, ocasionando sua queda parcial. Na tentativa de evitar que a tampa atingisse os cabos instalados no interior da canaleta, o colaborador segurou a peça sozinho, realizando esforço físico inadequado e sentiu dor na região lombar imediatamente após o ocorrido.</t>
  </si>
  <si>
    <t>Quinta-feira</t>
  </si>
  <si>
    <t>No deslocamento de casa para o trabalho utilizando uma moto de aplicativo, com intuito de evitar lesões graves, o colaborador, ao perceber que o motociclista perdeu estabilidade e derrapou, saltou da moto ainda em movimento o que resultou em ferimentos superficiais no joelho e braço direito.</t>
  </si>
  <si>
    <t>A colaboradora, ao deixar seu posto de trabalho e se dirigir à porta de saída, sofreu uma queda dentro da sala A218. Durante a queda, machucou os dedos do pé e o joelho direito, além de bater a cabeça contra o solo. </t>
  </si>
  <si>
    <t>Colaborador sofreu choque elétrico durante manutenção corretiva no conversor de potência do aerogerador.</t>
  </si>
  <si>
    <t>Painel de controle,barramento, chave, interruptor,disjuntor, fusível - equipamento elétrico</t>
  </si>
  <si>
    <t>Durante atividade do roço manual pela equipe contratada da SPP, funcionário foi atacado repentinamente por enxame de abelhas, sendo picado em várias partes do corpo. De imediato, tomou um antialérgico e foi conduzido para uma UPA, onde está sob observação.</t>
  </si>
  <si>
    <t>O colaborador da Eletrobras Chesf conduzia uma caminhonete pela BR-324, no sentido Salvador/BA para São Sebastião do Passé/BA. Ao perceber que os veículos à frente estavam reduzindo a velocidade, ele também diminuiu a velocidade do seu veículo, acompanhando o fluxo do trânsito naquele momento.
Contudo, o caminhão que seguia logo atrás não percebeu com antecedência a desaceleração do tráfego. Ao frear bruscamente, acabou colidindo na traseira da caminhonete conduzida pelo colaborador.
Apesar da colisão, não houve impacto com o veículo que estava à frente, pois o colaborador mantinha uma distância segura. Como consequência do acidente, apenas um passageiro relatou dor na região da coluna.</t>
  </si>
  <si>
    <t>Durante atividade de implantação de ferragens nos tubulões foi identificado que o colaborador “sinaleiro” estava exposto ao risco de queda com diferença de nível sem as medidas de controle contra queda implementadas.</t>
  </si>
  <si>
    <t>Durante ronda motorizada na subestação, a moto deslizou no asfalto molhado e fez o vigilante cair, causando um forte impacto no joelho esquerdo</t>
  </si>
  <si>
    <t>Durante realização da atividade de escavação mecanizada, o operador relata que o seu pé esquerdo escorregou do pedal que aciona o deslocamento da máquina, ocasionando o movimento involuntário da esteira para frente, culminado no deslocamento do equipamento para dentro da local escavado, onde a máquina ficou lateralmente inclinada.</t>
  </si>
  <si>
    <t>Durante deslocamento, ao desviar de uma revoada de pássaros, o profissional perdeu o controle do veículo e caiu em um talude.</t>
  </si>
  <si>
    <t>Durante atividade de manutenção em torre LT, colaborador tropeçou em um desnível do solo e bateu o rosto contra o cabo para-raios, vindo a sofrer um pequeno corte no nariz.</t>
  </si>
  <si>
    <t>Torre, poste - edifício ou estrutura</t>
  </si>
  <si>
    <t>Funcionário sofreu um mal súbito (desmaio) durante atividades de trabalho em altura nas obras das LT das Variantes de Angelina. Ele ficou apoiado na estrutura pelo talabarte.</t>
  </si>
  <si>
    <t xml:space="preserve">3 - Trabalho em altura </t>
  </si>
  <si>
    <t>Durante organização e limpeza de ferramentas de trabalho, uma barra guia (sabre) de motosserra caiu da prateleira, batendo contra a testa do colaborador, vindo a causar um corte.</t>
  </si>
  <si>
    <t>A empregada do quadro próprio ao se deslocar de sua residência que fica no município de Guanambi/BA, para atendimento de programação de manutenção civil na SE BJS, localizada no município de Bom Jesus da Lapa/BA, informou que sentiu-se mal a 3 km do município de Matina/BA, perdendo o controle da direção do veículo de marca Mitsubishi/L200 Triton, vindo a sair da pista e capotar. </t>
  </si>
  <si>
    <t>Empregado terceirizado ao conduzir a caminhonete da Eletrobras Chesf em via pública para retorno a oficina Nova Brasília, foi atingido
por uma moto na lateral traseira do veículo.</t>
  </si>
  <si>
    <t xml:space="preserve"> Durante o trajeto de sua residência para o prédio Sede, o colaborador seguia de motocicleta quando foi fechado por outra motocicleta. Em razão disso, realizou uma freada brusca, vindo a cair e sofrer escoriações.</t>
  </si>
  <si>
    <t>A colaboradora estacionou o veículo no Bloco A e seguiu para a entrada principal do edifício André Falcão. Na ocasião, chovia intensamente e, enquanto fechava o guarda-chuva, não percebeu uma poça de água na escada, formada pelo gotejamento do teto da marquise, tornando a superfície escorregadia.
Ao pisar na poça, a colaboradora escorregou e caiu, batendo ambos os joelhos no degrau superior.</t>
  </si>
  <si>
    <t xml:space="preserve">O empregado contratado trafegava com o veículo de placa TCQ0A39 em estrada carroçal na localidade Sítio Caxito, município de Jaboatão dos Guararapes -PE, na faixa da Linha de Transmissão, em direção à estrutura 043/2 - LT05L7, onde realizaria atividade de reisolamento. Chovia no momento, e em determinado ponto da estrada, havia uma cratera ou buraco parcialmente oculta pela vegetação, que cobria mais da metade de sua extensão. Devido à vegetação densa, o buraco não era totalmente visível. Ao se aproximar com velocidade de 20 km/h, o pneu do lado direito do veículo caiu  no buraco existente quase vindo a tombar.  </t>
  </si>
  <si>
    <t>Durante o deslocamento na escada marinheiro na torre de telecomunicação para realizar a troca da lâmpada de balizamento, o empregado foi atacado por abelhas.</t>
  </si>
  <si>
    <t>O colaborador terceirizado deslocava-se em direção ao ponto de hidratação quando pisou em uma pequena vala da escavação que estava sendo preparada para a instalação do aterramento e da torre d’água do Anexo V. Nesse momento, sofreu uma torção no tornozelo esquerdo, apresentando dor imediata.</t>
  </si>
  <si>
    <t xml:space="preserve">Ao transitar no piso 136 próximo aos trocadores de calor do mancal escora da 01G5, devido a presença de um andaime montado no local, o corredor de passagem estava mais estreito e o empregado colidiu a parte frontal da coxa direita na trava da haste de uma válvula do equipamento, sofrendo corte. </t>
  </si>
  <si>
    <t>Durante a execução de poda de árvore, dois colaboradores terceirizados realizavam o serviço quando, em determinado momento, um galho com espinhos se deslocou em direção ao rosto de um dos trabalhadores. O galho atingiu a região entre a testa e o olho, e um dos espinhos lesionou a região  do olho do colaborador.   </t>
  </si>
  <si>
    <t>Na atividade de limpeza com compressor de ar no poço de estocagem do jato, a mangueira de ar comprimido enganchou em um componente do ventilador e ao puxar a mangueira, possivelmente, pequenos fragmentos de aço foram expelidos junto com o ar residual, atingindo o lado esquerdo do pescoço do colaborador, provocando leves escoriações, não havendo necessidade de remoção para o atendimento hospitalar, devido ao médico do trabalho ter avaliado o colaborador in loco.</t>
  </si>
  <si>
    <t>O funcionário, V. C L. C., havia saído do canteiro de obras e estava se dirigindo para a área urbana do município de Casa Nova. Ele dirigia um veículo Strada. Ainda na estrada de terra, ele, ao acessar uma curva, perdeu o controle do veículo e capotou.</t>
  </si>
  <si>
    <t>O colaborador, operador de frota, realizava uma manobra de estacionamento com o veículo CTO, tipo Romeu e Julieta, de placa GJL9H05, quando, próximo à finalização, a parte superior do baú encostou em um galho de árvore localizado ao lado do CEDOC, no Anexo V. Com o impacto, o galho sofreu pequeno deslocamento em direção à carroceria do caminhão, ficando apoiado sobre esta. Imediatamente, o colaborador interrompeu a manobra, parou o veículo e comunicou o ocorrido à sua gestão imediata.</t>
  </si>
  <si>
    <t>Durante a limpeza no prédio do depósito da Civil, a colaboradora foi picada por um barbeiro. Imediatamente acionou a supervisora, foi socorrida e conduzida ao hospital local. </t>
  </si>
  <si>
    <t>Quatro colaboradores ao se direcionarem para o campo para realizar sondagem da torre 11/2, foram surpreendidos por um ataque de abelhas, sofrendo picadas.</t>
  </si>
  <si>
    <t>Durante atividade de supressão semimecanizada na área de torre colaborador foi atacado por abelhas, onde sofreu 06 ferroadas sendo 02 na cabeça e 04 nas costas.</t>
  </si>
  <si>
    <t>Durante as atividades de Manutenção Preventiva do 14M9/AGL, ao realizar uma manobra de fechamento elétrico, via comando local no armário de comando, houve o rompimento de dois tubos do circuito hidráulico.
Antes de realizar a manobra no disjuntor, o coordenador da atividade, solicitou que os membros se posicionassem atrás do armário do equipamento de modo a saírem do raio de atuação do sistema hidráulico do disjuntor.
Esta medida de segurança também foi nivelada com todos os envolvidos no DDS da intervenção.
Não houve riscos adicionais as pessoas envolvidas.</t>
  </si>
  <si>
    <t>O colaborador estava retornando à sua casa de bicicleta por volta das 17:05h do dia 23/10/2025, na ciclofaixa da Estrada do Forte do Arraial Novo do Bom Jesus sentido avenida caxangá, quando outra bicicleta, em sentido contrário, cujo indivíduo estava inclusive mexendo no aparelho celular, invadiu seu lado da ciclofaixa e bateu no guidão de sua bicicleta. O colaborador então desequilibrou-se e caiu da mesma, sendo arremessado para a frente e colidindo com ambas as mãos e antebraços no chão. Relata estar utilizando capacete no momento da queda e sem luvas. Relata que o outro ciclista não parou para ajudá-lo e que outros ciclistas pararam e o ajudaram a se levantar. Verificou escoriações e arranhões em ambas as mãos e pulso esquerdo e que o dedo mínimo da mão esquerda sofreu luxação e certa deformação.
Após isso, seguiu para casa e cerca de uma hora depois foi ao hospital Esperança Recife, para verificar o dedo e as mãos. 
No hospital foi realizado raio-x da mão esquerda onde foi caracterizado fratura com deformação do referido dedo com indicação cirúrgica para correção. Relata que ficou internado até o outro dia para realização do procedimento cirúrgico.</t>
  </si>
  <si>
    <t xml:space="preserve">Explosão da bucha da  fase A de 230 KV do Transformador da UG 05. Durante a ocorrência não havia atividade no local ou proximidade. </t>
  </si>
  <si>
    <t>Durante a ronda do vigilante o celular corporativo que estava no bolso da farda explodiu. </t>
  </si>
  <si>
    <t>Líquido, NIC</t>
  </si>
  <si>
    <t>O colaborador ao executar a atividade de colocação das gaxetas de vedação do conduto forçado da UG4, sofreu um impacto com dispositivo metálico, durante a fase de ajuste das gaxetas, que gerou um corte no dedo médio da mão direita. O colaborador durante a atividade utilizava luvas de vaqueta.</t>
  </si>
  <si>
    <t>Durante o deslocamento para o trabalho em sua motocicleta, o colaborador colidiu com um automóvel que invadiu a faixa que trafegava causando sua queda.</t>
  </si>
  <si>
    <t>Durante a execução de limpeza do banheiro, colaboradora escorregou e torceu o tornozelo.</t>
  </si>
  <si>
    <t>Ao realizar o corte de um pano de limpeza,  o colaborador cortou a palma da mão direita com um estilete</t>
  </si>
  <si>
    <t>Durante o retorno pra cidade a moto que os dois colaboradores estava teve o pneu traseiro estourado e os dois vieram a cair.</t>
  </si>
  <si>
    <t>Durante o teste do equipamento Giro Zero, ao acionar a alavanca de aceleração o equipamento realizou um movimento brusco que causou dor nas costas do colaborador que ficou impossibilitado de continuar a operação.</t>
  </si>
  <si>
    <t>não</t>
  </si>
  <si>
    <t>Durante a atividade de organização dos cilindros no galpão do almoxarifado, os colaboradores foram surpreendidos com o vazamento de gás de um cilindro.</t>
  </si>
  <si>
    <t>A colaboradora E.V.C.M., da empresa Gel Engenharia, conduzia o veículo no retorno do canteiro de obras quando colidiu com a traseira de outro automóvel que trafegava à sua frente. O veículo à frente havia reduzido a velocidade para transpor um quebra-molas, recentemente instalado na via.</t>
  </si>
  <si>
    <t>Durante montagem do suporte da tubulação do trafo regulador, o Sr J. G. A. S. escorregou de uma altura de 50cm e tombou, vindo a cair de costas, atingindo sua cabeça contra uma estrutura de andaime vizinha. Com o impacto, a região da nuca abaixo do capacete fez contato com um parafuso do andaime.</t>
  </si>
  <si>
    <t>O colaborador M. S. R., da empresa Pampulha, conduzia o veículo na BR 110, da SE Olindina, sentido Cidade de Olindina, para buscar água potável, quando foi surpreendido por um veículo da comunidade que colidiu contra sua traseira, lado esquerdo. Causando apenas danos materiais Leves.</t>
  </si>
  <si>
    <t>Durante a chegada na frente de serviço ao passar a mão esquerda em uma planta com propriedades urticária, não sentiu incômodo, continuou suas atividades até o horário do almoço, ao retirar a luva para almoçar percebeu a irritação da pele comunicando o líder sobre a condição.</t>
  </si>
  <si>
    <t>O condutor do veículo leve trafegava em uma das vias da SE Foz quando colidiu com um caminhão guindaste que realizava manobra para estacionar.</t>
  </si>
  <si>
    <t>Durante uma atividade no telhado do prédio O&amp;M, um dos perfis que sustentava uma das linhas de vida se soltou. No momento do evento, nenhum trabalhador estava conectado a essa linha de vida, pois estavam realizando atividades em outra área do telhado, devidamente conectados a outra linha de vida.</t>
  </si>
  <si>
    <t>Durante a movimentação de carga (vergalhões de aço CA-50 em barras de 12 m), observou-se que a cinta de elevação se deslocava progressivamente em direção ao centro da carga à medida que o braço do munck era elevado, momento em que o operador optou por baixá-la, uma vez que não havia mais condições seguras para continuar o movimento.</t>
  </si>
  <si>
    <t>Ao trafegar na BR 251, sentido Janaúba, conduzindo o veículo HUNDAI/HB20, placa TEP2Ip08, o veículo foi atingido no retrovisor e na lateral por outro veículo que transitava no sentido contrário.</t>
  </si>
  <si>
    <t>No retorno ao alojamento após o término do expediente, o colaborador deslocava-se em veículo da empresa juntamente com outros três colaboradores quando ao se posicionar no acostamento para fazer conversão à esquerda teve o veículo colidido por uma motocicleta, e como estava com o vidro aberto foi atingido no rosto pelo capacete do motociclista, ocasionando escoriações leves.</t>
  </si>
  <si>
    <t>Ao movimentar placa de um painel desativado de forma manual, o funcionário escorregou vindo a se projetar para frente atingindo a tampa do painel, batendo o queixo e tendo uma escoriação</t>
  </si>
  <si>
    <t>Corte nos dedos após projeção de estilhaços de lâmina de roçadeira</t>
  </si>
  <si>
    <t>Curto-circuito após retirada da proteção acrílica do painel 220Vca da sala de telecomunicações da casa de força</t>
  </si>
  <si>
    <t>Ao se locomover com a talha manual de alavanca sobre seu ombro, o mesmo pisou em falso vindo a cair, com a ferramenta comprimindo seu ombro</t>
  </si>
  <si>
    <t>Picada de abelha durante poda de árvores</t>
  </si>
  <si>
    <t>Durante corte de grama com trator próximo à sala do transporte, um objeto de madeira foi projetado contra a janela, próximo aos trabalhadores internos à edificação</t>
  </si>
  <si>
    <t xml:space="preserve">Durante a substituição de cadeia de isoladores de suspensão da estrutura 61/2 da LT 05S5 PAQ-JER pela equipe terceirizada, os cabos condutores da fase sob intervenção foram ao solo. Não houve nenhum ferido. </t>
  </si>
  <si>
    <t>Durante deslocamento para atendimento à programação de inspeção "civil preventiva" na Subestação Tauá II (SE TAD), o empregado relatou que trafegava normalmente pela BR-020 quando, nas proximidades do km 150, percebeu um ruído anormal no veículo, seguido por instabilidade na parte traseira.
Ao reduzir a velocidade, foi observado pelo retrovisor que a roda traseira esquerda apresentava desalinhamento lateral em relação à carroceria. O empregado conduziu o veículo com cautela até o acostamento e estacionou em segurança. Na inspeção visual, constatou-se que o conjunto da roda traseira esquerda estava deslocado para fora da posição normal, indicando possível falha mecânica no sistema de fixação (semi-eixo) ou suspensão.</t>
  </si>
  <si>
    <t>O colaborador retirou a luva, pois a mesma havia colado no dedo congelada, e percebeu que estava com uma ardencia. O colaborador não quis ir para o ambulatório já que se tratava de algo leve. Parou suas atividades no dia.</t>
  </si>
  <si>
    <t xml:space="preserve"> Tubo sob pressão (mangueira ou tubo para liquido, gás ou vapor)</t>
  </si>
  <si>
    <t>Durante deslocamento na rodovia, um cachorro surgiu de repente na pista e foi atropelado, causando danos ao veículo.</t>
  </si>
  <si>
    <t>Durante a atividade de armazenamento de nove portas traseiras de painel rack no Depósito 01, área de recebimento, uma das peças foi apoiada sobre a grade, que acabou cedendo e caindo para o lado oposto ao local onde circulam colaboradores, ocasionando danos em um bebedouro.</t>
  </si>
  <si>
    <t>Durante ronda motorizada de rotina, um vigilante percebeu a presença de um parafuso (tirante) no solo, nas proximidades do aerogerador 07G16 do Parque Eólico Casa Nova A. O colaborador informou que, no sentido de ida da ronda, não havia observado nenhuma anormalidade. Contudo, no retorno, identificou o objeto no chão e imediatamente comunicou ao seu supervisor, que reportou o ocorrido à Segurança do Trabalho. O componente desprendido foi identificado como um parafuso de fixação das pás ao rotor do aerogerador, apresentando sinais visíveis de corrosão. Cada pá é fixada ao hub por 64 parafusos do mesmo tipo. O vigilante não presenciou nem ouviu o momento da queda do parafuso, e não houve registro de vítimas ou danos materiais.</t>
  </si>
  <si>
    <t xml:space="preserve">O Colaborador E.I.A.S.L se deslocava em estrada rural da SE-Abaiara para o encontro com a equipe a qual fiscalizava. Durante o trajeto, o colaborador recebeu uma notificação no celular e acreditava que fosse da equipe para confirmar o encontro. Quando parou o veículo em local seguro, o TST abriu os vidros laterais frontais em virtude de seu nariz estar congestionado com o ar-condicionado, e foi surpreendido por uma ferroada de abelha na parte posterior do corpo (costas). Após a ferroada, o profissional escultou um “zumbido” de abelhas, fechou os vidros do veículo, e imediatamente se evadiu do local. O profissional teve apenas uma ferroada de abelha e apresenta quadro de saúde estável. </t>
  </si>
  <si>
    <t>Durante a execução de uma atividade de poda a nível de solo em uma árvore, um trabalhador terceiro pisou em um galho seco com espinhos, o que resultou na perfuração da botina de segurança e atingiu superficialmente a sola do pé.</t>
  </si>
  <si>
    <t>Durante o reposicionamento do stop-log em sua posição definitiva — após a conclusão da lubrificação dos cabos das comportas do vertedouro — a equipe identificou a necessidade de instalar um olhal para garantir maior segurança na operação de movimentação do stop-log. Durante a soldagem do olhal, o colaborador precisou substituir o eletrodo, que ainda estava quente. Ao realizar a troca, o eletrodo entrou em contato com o dedo do trabalhador por meio de um orifício existente na luva que havia descosturado, ocasionando o incidente.</t>
  </si>
  <si>
    <t>O motorista ao sair com o veículo Munck da oficina São João, conduzia o munck pela avenida Beberibe próximo a farmácia Cajueiro, quando involuntariamente a patola dianteira do Munck lado direito abriu do sentido da via a direita, nesse momento a patola direita colidiu com um veículo leve, causando diversos danos ao veículo terceiro.</t>
  </si>
  <si>
    <t xml:space="preserve">urante a atividade de reisolamento na LT 04F4-MTD/BNO, o eletricista de topo, ao receber a polia pela linha de mão, descuidou-se e deixou-a cair no momento que ela já estava livre do gancho da linha de mão. Uma altura de queda aproximada de 18 metros. Não havia equipes no local e sem danos materiais no solo. </t>
  </si>
  <si>
    <t>Durante a atividade na estrutura 100-2 da LT 04L1 JGR-SNB, o primeiro eletricista realizou a escalada para instalação da linha de vida. Quando o profissional posicionava o elo-bola para descer a linha de vida para que a equipe de solo enviasse a linha de mão, o eletricista acabou soltando a fita com o elo-bola, que veio a cair ao solo. Não houve danos materiais nem pessoais.</t>
  </si>
  <si>
    <t xml:space="preserve">O empregado terceirizado estava organizando peças de andaimes em um galpão destinado ao armazenamento. Durante o deslocamento pelo ambiente, pisou sobre uma madeira com pregos, resultando na perfuração de sua botina e atingindo o pé esquerdo. </t>
  </si>
  <si>
    <t xml:space="preserve">Durante a movimentação de um painel (com cerca de 2,3m de altura e aproximadamente 80cm de largura), amarrado e transportado por empilhadeira entre galpões, o operador, ao realizar uma manobra de aproximadamente 180 graus para reposicionar a máquina e prosseguir de forma frontal, acabou atingindo, com a extremidade de uma das lanças, o pé esquerdo do empregado que prestava apoio à atividade, na altura do calcanhar. No mesmo instante, o painel deslocou-se e atingiu a panturrilha esquerda dele. </t>
  </si>
  <si>
    <t xml:space="preserve"> Durante a atividade de plastificação de etiquetas, o colaborador terceiro ao manusear papel, sofreu um corte no dedo médio esquerdo  durante o uso da guilhotina da plastificadora.</t>
  </si>
  <si>
    <t>Funcionário levou ferroada de abelha após conclusão das atividades de reisolamento da estrutura 217/2 da 05L6 PAQ/AGD</t>
  </si>
  <si>
    <t>Durante inspeção da bucha de 230kV içada por guindaste (munk), houve a necessidade de empurrar a base da bucha que estava rente ao chão, quando a cinta de içamento correu e passou pela trava de segurança do gancho ocasionando a queda da bucha. Durante a queda e antes de se chocar ao chão, ela atingiu o colaborador que participava da inspeção.</t>
  </si>
  <si>
    <t>Após a realização do registro da ronda via QR-Code a colaboradora torceu o pé, o que ocasionou desequilíbrio, queda e choque mecânico do joelho esquerdo na calçada.</t>
  </si>
  <si>
    <t>Colaborador realizava atividade de emassamento e lixamento de parede quando a escada escorregou ocasionado queda e escoriações no rosto.</t>
  </si>
  <si>
    <t>Durante o transporte de um reator de 500 kv, ao tentar passar por baixo da rede de baixa tensão 13.8 kV da distribuidora equatorial em via pública, houve contato do reator com o cabo energizado gerando estouro de 4 pneus, sendo 1 do cavalo e 3 da prancha. Durante a ocorrência, um dos colaboradores utilizou uma vara de manobra para levantar os cabos, mas não teve sucesso</t>
  </si>
  <si>
    <t>Ao realizar a desmontagem em uma das tampas do gerador com um levantador magnético (capacidade 600kg), aproximadamente 1,00 m do piso, a chapa veio deslizar do imã e colidir com o piso.</t>
  </si>
  <si>
    <t>Durante a execução de movimentação de cargas (Tubo roll) por meio de talha elétrica, parte do material de desprendeu da amarração vindo a cair no chão.</t>
  </si>
  <si>
    <t>No trajeto de Grajaú para Imperatriz com carro locado, ao realizar ultrapassagem, o colaborador colidiu com uma cerca do lado oposto da via para evitar colisão com o veículo a sua frente que desviou bruscamente a esquerda para evitar um buraco.</t>
  </si>
  <si>
    <t>Colaborador conduzia veículo da empresa sentido SE Ibiúna quando ao parar na rotatória teve o veículo colidido na traseira.</t>
  </si>
  <si>
    <t>Durante o trajeto de volta para o canteiro de Montes Claros, próximo a saída na BR 135 (acesso às torres 78/2 a 90/2) onde também estava vindo um veículo leve no sentido oposto em um local com acesso estreito, ao passar pelo veiculo que também reduziu a velocidade, a lateral esquerda da carroceria do caminhão, resvalou na lateral esquerda do veiculo leve.</t>
  </si>
  <si>
    <t>Durante atividade de transporte, e descarregamento de tubulão na área da torre, ao acionar o freio para parada do equipamento ao lado da fundação, a carga se deslocou vindo a cair da carroceria do caminhão.</t>
  </si>
  <si>
    <t>Durante a etapa de instalação do aterramento temporário, após a realização do teste de ausência de tensão, o profissional da empresa Mass Engenharia iniciou a instalação do conjunto de aterramento, porém não percebeu que o cabo não estava conectado à extremidade inferior (terra). A situação foi prontamente identificada e comunicada pela equipe que acompanhava a atividade, sendo o procedimento corrigido antes da conexão ao cabo condutor.</t>
  </si>
  <si>
    <t>O colaborador ao se deslocar para o trabalho se deparou com um animal e motoqueiro e ao desviar de ambos, acabou subindo sobre a calçada, causando apenas um pequeno choque no parachoque do veículo,  não ocorrendo nenhum danos pessoais.</t>
  </si>
  <si>
    <t>Durante  atividade de supressão vegetal, ao realizar o corte da árvore, durante a queda a árvore desviou a direção, devido estar com a galhada presa em outra árvore, ao mudar a projeção de queda veio a atingir levemente com os galhos na perna direita do trabalhador.</t>
  </si>
  <si>
    <t>Durante atividade de instalação de pré-moldado, ao realizar o içamento da peça, o equipamento MUN-02, não respondeu ao realizar o comando (Joystick), não conseguindo realizar o giro com o pré-moldado, perdendo força do cilindro.</t>
  </si>
  <si>
    <t>Durante relocação manual da concertina que estava em solo, o Sr. F. D. S. teve seu antebraço esquerdo atingido pela concertina, causando leve escoriação.</t>
  </si>
  <si>
    <t>Durante montagem da tubulação de resfriamento da UG05, um tubo de 8 metros e aproximadamente 500 kg, caiu de uma altura, aproximada, de 1,0 metro até o solo.</t>
  </si>
  <si>
    <t>Durante atividade de basculamento da caçamba para descarregar " brita" na área de agregado, o equipamento tombou para o lado esquerdo. Não havia profissionais no raio de atuação da caçamba.</t>
  </si>
  <si>
    <t>Durante a execução da atividade de compactação do solo nas bases dos bancos de capacitores 01, o operador da minicarregadeira, realizava o transporte de terra até a escavação. Ao posicionar o equipamento próximo à borda do fuste (base do chumbador) para descarregar o material, a minicarregadeira inclinou-se em razão do declive existente, ocasionando o impacto do vidro dianteiro contra o pilar e consequentemente, a quebra do referido vidro.</t>
  </si>
  <si>
    <t>Durante atividade de reaterro e compactação de solo, com equipamento (Compactador de percussão) o colaborador perdeu o controle do equipamento, vindo a atingir levemente a perna o colega que auxiliava na operação.</t>
  </si>
  <si>
    <t>Durante a atividade de movimentação de um TC destinado à alienação, uma das cintas de içamento se desprendeu do gancho do guindauto, ocasionando a queda do equipamento de aproximadamente um metro de altura, resultando em sua quebra ao atingir o solo.</t>
  </si>
  <si>
    <t>Durante a operação de rotina, o operador identificou falha no sistema de frenagem do equipamento retroescavadeira.  Ao perceber a perda do controle, o operador realizou a evacuação imediata da cabine. Em seguida, a máquina deslocou-se de forma autônoma por um declive, resultando em tombamento.</t>
  </si>
  <si>
    <t>Durante a utilização de plataforma Elevatória de Trabalho Aéreo, por dois colaboradores, a uma altura de 5 m, aproximadamente,  que realizavam desconexão e remoção dos cabos do barramento desenergizados, localizados acima do transformador 04T2, uma das rodas do equipamento afundou na brita, causando instabilidade, sem causar danos pessoais e materiais.</t>
  </si>
  <si>
    <t>Durante a etapa de instalação do aterramento temporário, foi identificado que o profissional da empresa RM2 Engenharia utilizava a Plataforma Elevatória Móvel de Trabalho (PEMT) em desacordo com o manual de manutenção da CGT Eletrosul – MM S 04 SG 002</t>
  </si>
  <si>
    <t>Colaborador L.M.B. , pedreiro, realizava quebra de parede para passagem de conduíte, com marreta e formão, em dado momento errou o formão e veio a atingir a mão de raspão com a marreta.  </t>
  </si>
  <si>
    <t>O colaborador ao manobrar a retroescavadeira no bay de conexão 138kV da SE, acabou colidindo com pilar de concreto do para-raios, danificando a estrutura.</t>
  </si>
  <si>
    <t>Durante a execução da remoção de uma cunha danificada do estator da UG05, o colaborador, M.M.C., ao golpear o formão com um martelo de nylon contra a Cunha, chocou a mão esquerda contra a cunha.</t>
  </si>
  <si>
    <t>Após  passagem de cabos nas canaletas, da tomada d’água, elevação 254, uma das tampas escorregou e caiu com a quina contra um cabo energizado 440V, causando pequeno curto.</t>
  </si>
  <si>
    <t>Durante a execução da atividade de lavagem interna de caixa d’água, o colaborador, ao concluir o serviço, removeu as luvas de látex utilizadas para a limpeza e, ao apoiar a mão sobre a borda da caixa, sofreu um corte no polegar da mão esquerda.</t>
  </si>
  <si>
    <t>A chave encontrava-se inicialmente na posição aberta e desacoplada, quando, de forma inesperada, houve o fechamento involuntário do equipamento. A ocorrência foi provocada pelo rompimento do pino de trava do mecanismo de fixação, o que permitiu o deslocamento da haste e o consequente abaixamento da lâmina móvel da chave para a posição de fechamento. Durante o movimento da chave, ocorreu uma energização momentânea do circuito. Contudo, a estrutura encontrava-se devidamente isolada das demais seções e equipamentos adjacentes, não resultando em risco direto de acidente pessoal ou material.</t>
  </si>
  <si>
    <t>O operador utilizava o joystick para operar e transportava com a ponte rolante nº1 a bucha do cabeçote kaplan (±150kg) a uma altura de 1,40 m, da UG4 para área de descarga, quando ao aproximar da área de montagem, ele parou o equipamento e o guincho auxiliar veio a descer com a peça, estando ele distante da queda da peça.</t>
  </si>
  <si>
    <t>A colaboradora atropelou um cavalo na Av. Brasil, durante o deslocamento residência - trabalho</t>
  </si>
  <si>
    <t>Ao retornar do trabalho, uma pedestre atravessou fora da faixa e para tentar evitar uma colisão pior, o colaborador realizou a frenagem da moto, que tombou em sua perna, causando fratura e afundamento da tíbia</t>
  </si>
  <si>
    <t>Durante o trajeto residência - posto de trabalho, o colaborador estava em seu veículo quando sofreu uma colisão em função de uma freada brusca de outro veículo</t>
  </si>
  <si>
    <t>Vigilante seguia sentido portaria quando um animal passou a sua frente, fazendo com que perdesse o controle da motocicleta ao tentar desviar, atingindo uma caixa de concreto as margens da estrada</t>
  </si>
  <si>
    <t>Durante o trajeto da ronda de motocicleta, segundo o colaborador, ao parar, a moto caiu sobre o seu pé direito</t>
  </si>
  <si>
    <t>Durante a execução da atividade de roçagem manual no processo de supressão vegetal em faixas de servidão de LT, um colaborador foi atacado por um enxame de abelhas.</t>
  </si>
  <si>
    <t>Durante o corte de um tronco de maior espessura, a peça de madeira rolou inesperadamente em direção ao colaborador, prensando o seu pé direito entre o tronco e um toco remanescente de outra árvore já suprimida</t>
  </si>
  <si>
    <t>Queda durante manobra de normalização do sistema hidráulico nos malhetes da UG04</t>
  </si>
  <si>
    <t>Desequilíbrio e queda ao descer as escadas entre o 8º e o 6º andar do EBM</t>
  </si>
  <si>
    <t>Queda de bicicleta motorizada no retorno para residência</t>
  </si>
  <si>
    <t>Colisão frontal contra outro veículo, no trajeto para a residência</t>
  </si>
  <si>
    <t>Durante trajeto de casa para o trabalho, um veículo não identificado fechou sua moto, ocasionando sua queda</t>
  </si>
  <si>
    <t>Durante o corte de uma árvore, o operador de máquinas sofreu uma queda de mesmo nível ao pisar em um buraco oculto, sofrendo lesão na tíbia</t>
  </si>
  <si>
    <t>Princípio de incêndio em um dos refletores da sala de conversores, sem danos a pessoas</t>
  </si>
  <si>
    <t>Corte superficial no dedo anelar da mão esquerda ao tentar encaixar um cabo de vassoura no equipamento</t>
  </si>
  <si>
    <t>Durante o deslocamento para o trabalho em sua motocicleta, o colaborador colidiu com um automóvel que invadiu a faixa que trafegava causando sua queda</t>
  </si>
  <si>
    <t>Ao utilizar o corrimão da escadaria do hall de entrada, foi surpreendido por uma ferroada de marimbondo no pulso da mão esquerda</t>
  </si>
  <si>
    <t>Durante a operação de descida do cesto aéreo, houve um pequeno travamento do cesto. A cesta ficou presa durante a descida e, à medida que se aproximava do solo, começou a inclinar-se até destravar repentinamente, provocando um movimento de balanço.</t>
  </si>
  <si>
    <t>Durante atividade de recolhimento de lenha para cubagem ao pegar a lenha na área já suprimida, foi surpreendido por um ataque de abelha onde sofreu 05 ferroadas na cabeça, ao se afastar rapidamente do local para se proteger dos insetos, raspou o rosto em uma cerca existe no local, causando leve escoriações na face.</t>
  </si>
  <si>
    <t>O colaborador ao trafegar com veículo pela estrada de acesso entre Planura-MG x UHE Porto Colômbia pela manhã (05:15), veio a chocar-se em uma arvore que estava atravessada na pista.</t>
  </si>
  <si>
    <t>Durante atividade de supressão vegetal na área da torre 219/1, ao se deslocar executando a limpeza da área foi surpreendido por um ataque de abelhas onde sofreu uma picada nós "lábios",  de imediato comunicou para a equipe evacuar a área.</t>
  </si>
  <si>
    <t>Durante a atividade de ancoragem provisória da estrutura 35/1, o colaborador realizava ajustes no posicionamento dos cabos condutores ancorados ao solo, operando o tirfor. Constatou-se que havia desalinhamento nos estropos de aço conectados à chapa de ancoragem provisória e, durante o processo de acomodação, ocorreu destorção, provocando alívio súbito de carga no sistema. Esse desbalanceamento resultou no giro brusco do tirfor, atingindo o pé esquerdo do colaborador.</t>
  </si>
  <si>
    <t>Durante a execução da atividade de descarregamento de ferragens da carroceria de um caminhão Munck, ocorreu o deslocamento não controlado de um dos elementos metálicos. O material projetou-se na direção da região craniana do colaborador, ocasionando impacto direto e perfuração do Equipamento de Proteção Individual – capacete de segurança.</t>
  </si>
  <si>
    <t>Durante a execução da atividade de corte com lixadeira, o colaborador responsável pelo manuseio do equipamento, ao finalizar o corte e girar o corpo para o lado esquerdo, acabou deslocando a ferramenta em direção ao colaborador que o auxiliava na tarefa. Nesse movimento, a lixadeira atingiu o auxiliar na perna esquerda (região do joelho), ocasionando um corte.</t>
  </si>
  <si>
    <t>Durante a atividade de manejo e remoção de resíduos no canteiro, o colaborador, ao se deslocar pela área, pisou inadvertidamente sobre um prego exposto no chão. O objeto perfurante transpassou a lateral do calçado e atingiu a região lateral do pé direito, ocasionando um ferimento aparentemente superficial.</t>
  </si>
  <si>
    <t>Durante a verificação do nível de água do radiador de um ônibus, o motorista abriu a tampa para completar o reservatório. No momento da retirada, a tampa se desprendeu e caiu próxima à ventoinha. Ao tentar recuperá-la, o motorista tocou acidentalmente a ventoinha em funcionamento, ocasionando um corte em um dos dedos da mão direita.</t>
  </si>
  <si>
    <t>Durante a execução das atividades de limpeza de topsoil, utilizando uma retroescavadeira na preparação do canteiro de obras, houve a projeção de um galho, resultando na trinca do vidro inferior da cabine da retroescavadeira.</t>
  </si>
  <si>
    <t>Durante o processo de pré-montagem de eletrodutos galvanizados na área da bacia do Reator 4, um dos tubos que estava temporariamente apoiado na parede perdeu estabilidade e o material deslizou e caiu sobre o pé esquerdo do colaborador, que se encontrava posicionado próximo ao ponto de montagem.</t>
  </si>
  <si>
    <t>Durante atividade de movimentação de carga suspensa com caminhão guindauto, 
descarregamento de armação de tubulão para preparação da fundação, para descer a ferragem 
na escavação é necessário que a carga fique na vertical, por tanto, o içamento é realizado por 
uma das extremidades da ferragem na parte superior abaixo 50 cm, neste momento os pontos 
de fixação da extremidade da armação rompeu os pontos de fixação da armação vindo a cair a 
ferragem, atingindo a parte lateral dianteira da cabine do caminhão guindauto.</t>
  </si>
  <si>
    <t>Durante o deslocamento da fábrica da Hydrostec, onde acompanhava os testes do sistema de gradeamento, para o hotel, o profissional da Axia Nordeste parou em uma rotatória quando um caminhão carregado com toras de madeira tombou à sua frente ao realizar a manobra. No momento do tombamento, parte da carga se desprendeu e uma das toras rolou e atingiu a parte frontal do veículo em que o profissional estava. Não houve danos pessoais, apenas danos materiais.</t>
  </si>
  <si>
    <t>Curto-circuito entre fases dos cabos de ligação do quadro de distribuição para caminhão oficina com princípio de incêndio nos cabos e eletroduto, prontamente sanados por ação de colaboradores com extintores de incêndio de Pó Químico BC.</t>
  </si>
  <si>
    <t>4  - Eletricidade</t>
  </si>
  <si>
    <t>No trajeto de Rio Branco a Porto Velho, o empregado perdeu o controle da camionete Hillux, com cesto aéreo, que saiu da pista e capotou.</t>
  </si>
  <si>
    <t>Durante a execução das atividades de montagem do galpão localizado na área do almoxarifado, um colaborador operava uma Plataforma Elevatória Móvel de Trabalho (PEMT). Durante a realização de uma manobra, a PEMT posicionou-se sobre uma sapata do pilar do galpão, o que resultou no desequilíbrio e posterior tombamento do equipamento.</t>
  </si>
  <si>
    <t>Durante a execução do ensaio das buchas do JRTF6-01 utilizando  equipamento CPC100, um colaborador da empresa TREETECH, que estava na parte superior do Trafo, acabou sofrendo um choque elétrico com uma tensão aproximadamente de 10kV. Os teste eram de  verificações no tap capacitivo das buchas.</t>
  </si>
  <si>
    <t>Durante o deslocamento de casa para o trabalho, o colaborador, ao chegar à usina conduzindo sua motocicleta, sofreu uma queda ao passar sobre o trilho do pórtico rolante da casa de força. O trilho estava molhado devido à chuva, fazendo com que o pneu dianteiro da motocicleta deslizasse. O local corresponde à passagem para o estacionamento de motos da usina. O colaborador apresentou pequenas escoriações nas mãos.</t>
  </si>
  <si>
    <t xml:space="preserve"> Durante atividades pela contratada na estrutura 47/1 da LT 04S6 PAFITB, na etapa da descida do ferramental, o nó da corda que prendia o bastão se soltou ao colocá-lo no gancho da linha mão, causando a queda da ferramenta ao solo. O bastão caiu dentro da área isolada por cones.</t>
  </si>
  <si>
    <t>Durante a retirada dos cabos do GGE, que está sendo desmobilizado, houve o corte de um cabo que alimenta o quadro das bombas de águas de chuva (QB4). Durante fiscalização da atividade foi percebido o corte indevido e foi iniciada tratativa para sanar a condição de risco. </t>
  </si>
  <si>
    <t>Durante o processo de organização dos painéis QDGE (modelo antigo) no Hall de Montagem – Piso 20, utilizando-se uma empilhadeira de 6 toneladas, ao realizar deslocamento houve um desequilíbrio da carga que tombou, indo ao solo. </t>
  </si>
  <si>
    <t>Equipe ao se deslocar para estrutura 204/1 da LT 05L6 durante o trajeto caminhão da equipe ao realizar a conversão a esquerda para acessar estrada vicinal, houve a colisão de uma motocicleta na lateral traseira do mesmo.</t>
  </si>
  <si>
    <t>O funcionário deslocava-se em direção ao seu setor de trabalho quando sofreu uma queda de bicicleta. Ele foi imediatamente socorrido por um supervisor que se encontrava próximo ao local e, em seguida, conduzido à Unidade de Saúde para atendimento.</t>
  </si>
  <si>
    <t xml:space="preserve"> Durante a realização de uma perfuração da parede no condolente para montagem da infraestrutura do sistema de CFTV na lateral do Galpão 06, com auxílio da PEMT e utilizando uma parafusadeira equipada com broca para metal. Em determinado momento, a ferramenta rotativa deslizou lateralmente, vindo a atingir a mão esquerda do colaborador terceiro, ocasionando escoriações na região superior da mão</t>
  </si>
  <si>
    <t>Durante observação da movimentação da escavadeira, o colaborador foi atacado por um enxame de abelhas, sofrendo picadas e sentindo mal-estar</t>
  </si>
  <si>
    <t>Durante ida à sede do Rio de Janeiro, na Avenida Graça Aranha, houve uma queda no metrô e torção no tornozelo</t>
  </si>
  <si>
    <t>Ao realizar a ronda das 02:00, derrapou com a motocicleta devido ao mau tempo, vindo a cair e quebrar o vidro do retrovisor e arranhar o lado direito da frente da moto. O colaborador fazia uso de todos os EPI de segurança e não sofreu nenhuma lesão.</t>
  </si>
  <si>
    <t>Durante o deslocamento, a picape colidiu contra outro veículo conduzido por terceiros na contramão e em alta velocidade, resultando em capotamento do veículo e sem danos aos ocupantes.</t>
  </si>
  <si>
    <t>Ao locomover-se para o caminhão cabine suplementar, passando por trás do veículo, o colaborador bateu a face com uma peças da estrutura que se encontrava sobre a carroceria</t>
  </si>
  <si>
    <t>Ao atravessar a rua por volta das 13 horas, uma bicicleta atropelou o funcionário</t>
  </si>
  <si>
    <t>Durante içamento para retirada das baterias, o palete quebrou e alguns elementos de bateria tombaram, causando derramamento do eletrólito ácido em solo</t>
  </si>
  <si>
    <t>Durante atividade de aterramento com vara de manobra da LT Povo Novo/Marmeleiro2 C1 (desligada) o colaborador aterrou equivocadamente a LT Povo Novo/Guaíba3 C1 (energizada), causando o desligamento da Linha. O colaborador não sofreu nenhuma lesão.</t>
  </si>
  <si>
    <t>Durante deslocamento de trajeto, condutor perdeu controle do veículo em uma curva e colidiu em uma mureta de contenção da rodovia. Após colisão ocupante do veículo sentiu dores no tórax.</t>
  </si>
  <si>
    <t>Durante manuseio de ferragens da torre danificada, uma das treliças se soltou e prensou o dedo do colaborador, ocasionando corte.</t>
  </si>
  <si>
    <t>Durante conexão de tubulação em uma valeta escavada para instalação de rede pluvial, um bloco de terra se soltou atingindo o braço do colaborador causando lesão.</t>
  </si>
  <si>
    <t>Agente do acidente, NIC</t>
  </si>
  <si>
    <t>Evento_Crítico_Target</t>
  </si>
  <si>
    <t>Faixas de experiência</t>
  </si>
  <si>
    <t>ônibus da Empresa E&amp;E de placa  fazia seu trajeto em direção a Eletrobras Chesf , parando normalmente na  faixa de pedestre , quando  sofreu o impacto na traseira do ônibus as 07:15 da manhã de Terça-feira feira na BR 104 , em frente ao conjunto Eustáquio Gomes de Melo, não houve vítimas.</t>
  </si>
  <si>
    <t>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t>
  </si>
  <si>
    <t>Durante corte de uma árvore envolta por cipós, houve rebote após o desprendimento do tronco, ocasioN/Ando golpe direto sobre o pé esquerdo do trabalhador.</t>
  </si>
  <si>
    <t>O colaborador da RP Engenharia, vindo de sua residência de motocicleta pela rodovia Bunjiro N/Akao, em uma rotatória, colidiu com o veículo parado a sua  frente vindo a cair</t>
  </si>
  <si>
    <t>Ao manobrar para estacioN/Ar o veículo, passou por cima de uma tampa metálica que levantou e quebrou o para-choque dianteiro</t>
  </si>
  <si>
    <t>O operador, ao movimentar a PEMT, esqueceu de desconectar o aterramento temporário do equipamento, que estava conectado ao terra do pórtico de 69 kV da subestação, resultando N/A ruptura do cabo.</t>
  </si>
  <si>
    <t>Princípio de incêndio no interior do compartimento do transformador dos serviços auxiliares (alimentação circuitos de ilumiN/Ação e tomadas) do furgão da máquiN/A de tratamento de óleo dos transformadores.</t>
  </si>
  <si>
    <t>Durante o percurso de Barretos/SP à UsiN/A de Porto Colômbia, uma pedra foi arremessada no para-brisa da caminhonete de placa TAV2F71, causando um trinco</t>
  </si>
  <si>
    <t>O empregado realizava atividade de pintura das caixas pluviais ao lado do Bloco C e ao levantar, sofreu uma batida contra N/A janela que se encontrava aberta, sofrendo uma escoriação leve no ombro direito.</t>
  </si>
  <si>
    <t>Durante o deslocamento para o Parque Eólico Cerro Chato, veículo conduzido por colaborador, sofreu abalroamento ao realizar uma conversão. ApeN/As danos materiais;</t>
  </si>
  <si>
    <t xml:space="preserve">N/A </t>
  </si>
  <si>
    <t>O colaborador foi mordido por um cachorro dentro da RegioN/Al Gravataí.</t>
  </si>
  <si>
    <t>Durante atividade de escavação, miniescavadeira atingiu cabeamento de 380V, causando apeN/As danos materiais.</t>
  </si>
  <si>
    <t>Durante deslocamento para almoço, colaboradora teve seu veículo abalroado por veículo de terceiro que invadiu a via preferencial. Houve apeN/As danos materiais.</t>
  </si>
  <si>
    <t>A colaboradora sofreu uma queda leve de moto ao esbarrar em portão entreaberto N/A entrada do Porto Montante da UHE Tucuruí, resultando em escoriação N/A mão.</t>
  </si>
  <si>
    <t>Durante corte de vegetação e retirada dos detritos da crista do paredão do vertedouro da usiN/A, o colaborador se desequilibrou e caiu de aproximadamente 2,5 metros de altura, sendo projetado verticalmente até o chão (piso liso de concreto)</t>
  </si>
  <si>
    <t>O Colaborador (A.N.Q) estava realizando a  atividade de colocação das tampas de caN/Aleta reforçada 15R-2, no momento em que ajudava a posicioN/Ar uma das tampas, soltou de forma brusca, caindo sobre seu dedo.</t>
  </si>
  <si>
    <t>Durante atividade de monitoramento de peixes no caN/Al de fuga da casa de força 1, o motor da embarcação da empresa contratada desligou ficando a deriva com seus três tripulantes sendo arrastada em direção a maiores correntes e fluxos de água para margem direita, depois de várias tentativas de funcioN/Ar o barco, o mesmo retomou e conseguiram realizar o autossalvamento.</t>
  </si>
  <si>
    <t>Durante a preparação da retirado do TC da carroceria do caminhão muck, antes que fizesse o patolamento e pega com o guindaste para estabilizar a carga, foi retirado a cinta de amarração do TC, fazendo com que o TC viesse tombar para a lateral do caminhão Muck, ocorrendo apeN/As perda material.</t>
  </si>
  <si>
    <t>Funcionário se deslocava N/A trave da torre com o cabo de aterramento temporário enrolado em escolta e sustentado pelo braço direito, quando esse esforço resultou em uma luxação do ombro.</t>
  </si>
  <si>
    <t>Ao carregar sucata sobre o caminhão guindauto, ao posicioN/Ar a mão entre a cinta e o caixote N/A carroceria, teve contato com a ponta de prego. Houve leve escoriação, sem necessidade de encaminhamento para laboratório</t>
  </si>
  <si>
    <t>Durante a descarga de materiais de uma carreta, com peças das torres com  auxílio de guindauto, ao subir N/A carroceria para posicioN/Ar a cinta de elevação, ao se apoiar em uma madeira e esta quebrou, desiquilibrou-se e caiu no solo.</t>
  </si>
  <si>
    <t>Durante a atividade de roço da subestação, operador ouviu um barulho da batida de um pedaço de madeira projetado pela roçadeira acoplada ao trator N/A lateral do equipamento e percebeu que trincou todo o vidro do para-brisa, devido a proteção de película e grade o vidro não esfarelou com isso não houve projeção de vidros quebrados no interior do equipamento.</t>
  </si>
  <si>
    <t>Durante o deslocamento da UHSMA para MiN/Açu, um veado-mateiro saiu da mata e colidiu N/A frente do lado direito do veículo, causando danos ao para-choque e radiador</t>
  </si>
  <si>
    <t>Durante o percurso da usiN/A em direção à cidade de Pompeu, o veículo colidiu lateralmente com outro veículo que também circulava pela mesma via rural</t>
  </si>
  <si>
    <t>Em manobra de macha à ré, o caminhão colidiu com um poste tipo pirulito de ilumiN/Ação da área gramada</t>
  </si>
  <si>
    <t>Ao realizar retorno em cruzamento, houve a colisão com veículo que trafegava no sentido oposto. ApeN/As danos materiais</t>
  </si>
  <si>
    <t>O colaborador G.G.V estava caminhando sobre a caN/Aleta de dreN/Agem quando veio a tropeçar e ao cair bateu seu joelho no chão.</t>
  </si>
  <si>
    <t>Durante a execução da atividade de desmontagem das formas das bases dos bancos de capacitores, o colaborador apoiou de forma involuntárioa, uma das partes da forma com o pé. Esse movimento causou desequilibrio resultando N/A perfuração superficial do pé, provocado por um prego.</t>
  </si>
  <si>
    <t>Durante o deslocamento de sua residência até PECN em Coxilha Negra, empregado N/A empresa WEG, conduzindo veículo da empresa, saiu da pista e invadiu a vegetação no acostamento.</t>
  </si>
  <si>
    <t>Durante o deslocamento N/A rodovia, após o término da jorN/Ada de trabalho, o colaborador terceiro colidiu frontalmente com ouro veículo, vindo a óbito.</t>
  </si>
  <si>
    <t>Durante movimentação de máquiN/A de solda MIG com ponte rolante, o gancho do moitão da ponte rolante girou, causando a abertura da cinta devido ao giro da carga, e a mesma escapou de uma das cintas, vindo a se chocar no piso.</t>
  </si>
  <si>
    <t>Durante o deslocamento para manutenções preventivas, o condutor de um veículo de outra empresa colidiu N/A traseira do veículo da frota, sem danos ao veículo da companhia</t>
  </si>
  <si>
    <t>Colaborador da Empresa HTMS, ao manusear chapa metálica para calçar pneu do caminhão guindauto, acabou batento a chapa em sua perN/A, causando ferimento leve.</t>
  </si>
  <si>
    <t>FuncioN/Ario estava usando um objeto cortante (estilete) e o mesmo usou da força para cortar, porem o estilete cortou seu punho gerando um corte que não houve pontos.</t>
  </si>
  <si>
    <t xml:space="preserve">O colaborador terceirizado foi almoçar N/A sua residência no veículo de sua empresa e ao retorN/Ar para o expediente da tarde, chegando N/A entrada da usiN/A, colidiu N/As barreiras de concreto utilizadas para demarcação da via. Não houve lesões físicas, apeN/As danos ao veículo no para-choque e no radiador. </t>
  </si>
  <si>
    <t>O desembarque da Cesta Aéreo (PLACA: GAW1E27), que estava sendo transportada pelo caminhão prancha (placa SPL3D70), ocorreu próximo a uma caixa de passagem de cabos elétricos energizados, onde a Cesta Aérea, após ser desembarcada, passou por cima da tampa da referida caixa, o que resultou N/A quebra da tampa e consequentemente a queda de uma das rodas da cesta aérea dentro da caixa de passagem.</t>
  </si>
  <si>
    <t>Ao realizar uma manobra de marcha à ré para liberar espaço para as atividades do local, acabou colidindo levemente com a caixa do extintor de incêndio fixado no local, resultando N/A quebra da lanterN/A traseira esquerda e amassado no cilindro do extintor portátil</t>
  </si>
  <si>
    <t>Ao caminhar sentido Casa de Força, sofreu uma queda após o piso de concreto da passarela ceder, sofrendo escoriações leves N/A mão direita, joelho direito e coluN/A</t>
  </si>
  <si>
    <t>Durante as atividades de capiN/A N/A área exterN/A da SE São Luis II, o colaborador percebeu um foco de incêndio N/A lateral do equipamento que rapidamente se alastrou pela vegetação seca N/A área adjacente. O operador abandonou imediatamente o cortador sem nenhuma lesão</t>
  </si>
  <si>
    <t>O Colaborador operava uma furadeira para perfurar uma chapa metálica. Quando posicionou a mão direita ao lado oposto ao ponto de perfuração para estabilizar a chapa. Em determiN/Ado momento foi atingido pela broca, caudando ferimento N/A sua mão.</t>
  </si>
  <si>
    <t>O colaborador ao girar a peça carretel da tubulação que estava no solo, acabou prensando sua mão N/A parte inferior do andaime que estava montado ao lado.</t>
  </si>
  <si>
    <t>Durante pintura N/A galeria de cabos houve projeção de tinta no olho esquerdo ao misturar, causando irritação</t>
  </si>
  <si>
    <t>Durante o deslocamento entre os municípios de Niquelândia e Uruaçu, o colaborador sofreu um acidente de trânsito N/A rodovia GO-237, N/A altura do km 193, N/As proximidades do Balneário BucaiN/A, após a conclusão das atividades de campo realizadas no reservatório da UHE Serra da Mesa</t>
  </si>
  <si>
    <t>Ao manusear uma das peças de madeira para a confecção de forma, o colaborador sofreu um ferimento N/A mão causado por um dos pregos expostos</t>
  </si>
  <si>
    <t>Durante trajeto em estrada de acesso da LT 345 kV FurN/As Pimenta, o veículo deslizou no barro e colidiu contra um mourão. Não houve feridos, apeN/As danos superficiais no veículo.</t>
  </si>
  <si>
    <t>O motorista atropelou um coelho que passava N/A pista. Não houve feridos nem danos ao veículo.</t>
  </si>
  <si>
    <t>Atropelamento de animal silvestre (capivara) no trajeto para a UHE Porto Colômbia, sem vítimas humaN/As</t>
  </si>
  <si>
    <t>O setor de Engenharia, por meio da empresa TALDI, solicitou a desenergização do painel PT1-AC através dos disjuntores (ABC) para o setor de Operação (ELB), visando viabilizar a substituição dos disjuntores e barramentos associados ao novo Grupo Gerador. Os disjuntores (ABC) foram desenergizados, bloqueados e verificados a ausência de tensão nos barramentos ABC, seguido do procedimento de aterramento. 
Não foi verificado a ausência de tensão no circuito (125Vcc) do disjuntor (DC) que estava energizado, quando, durante a intervenção nos bornes do circuito de comando e controle (125Vcc), aparentemente ocorreu um curto-circuito que resultou N/A atuação de dois fusíveis de 125Vcc, embora sem causar choque elétrico ou lesão no colaborador.Após verificar a ausência de tensão do disjuntor (DC) os fusíveis foram substituídos, normalizando a operação do painel. Durante o processo, a área de trabalho foi devidamente siN/Alizada e foi solicitado aguardar até a conclusão.</t>
  </si>
  <si>
    <t>Durante atividade de substituição de esferas de siN/Alização aérea N/A torre n. 241 da LT FURPCA 2, no momento de descida do cabo para-raios até o condutor, o cabo pressionou a mão do técnico contra a cadeia de isoladores.</t>
  </si>
  <si>
    <t>Durante o deslocamento de trajeto, veículo de terceiro avançou a preferencial e provocou a colisão. ApeN/As danos materiais.</t>
  </si>
  <si>
    <t>Durante a ronda de patrulhamento noturno pela equipe de vigilância, o veículo da segurança patrimonial colidiu com outro veículo da segurança patrimonial estacioN/Ado N/A via de circulação de veículo.</t>
  </si>
  <si>
    <t>Durante o reboque de uma picape, a mesma deslizou em área com desnível, resultando em tombamento lento. ApeN/As danos no veículo. (passageiro)</t>
  </si>
  <si>
    <t>Ao sair do veículo, colaborador teve o dedo da mão preso N/A porta, causando um corte</t>
  </si>
  <si>
    <t>Durante a atividade de triagem dos peixes, a colaboradora, ao manusear o balde que continha os animais, introduziu a mão N/A água com o objetivo de auxiliar no processo. Nesse momento, sofreu uma mordida superficial no dedo anelar, provocada por um dos peixes.</t>
  </si>
  <si>
    <t>Durante a execução de atividades de corte de uma vegetação (eucalipto), após a queda da árvore, um dos galhos tocou no solo e se projetou  contra o profissioN/Al</t>
  </si>
  <si>
    <t>Durante o auxílio N/A manobra da chave seccioN/Adora LDSD7-07 no pátio de 500kV, foi necessário realizar o comando de abertura via manivela de um dos polos, devidamente autorizado pelo COI GT. Durante a manobra pela manivela, o colaborador sentiu que estava exigindo força além do normal e ao soltá-la a manivela girou em sentido oposto, tocando em parte do rosto do colaborador.</t>
  </si>
  <si>
    <t>Colisão de veículo com motocicleta em via pública urbaN/A, ao deslocar-se para o alojamento</t>
  </si>
  <si>
    <t>Ao chegar N/A instalação conduzindo sua motocicleta pelo arruamento o colaborador foi surpreendido por um cachorro vindo em sua direção para ataca-lo</t>
  </si>
  <si>
    <t>Durante a circulação, o veículo que trafegava à frente reduziu a velocidade ao se aproximar de um semáforo em siN/Al amarelo. Em decorrência da freN/Agem repentiN/A, o veículo que circulava no mesmo sentido acabou colidindo N/A traseira do referido veículo a frente. O incidente resultou somente em danos materiais, sem lesões nos ocupantes</t>
  </si>
  <si>
    <t>Colisão do caminhão contra veículo de terceiros, ao se aproximar do posto de gasoliN/A</t>
  </si>
  <si>
    <t>Colaboradora realizava limpeza N/A cozinha, quando desequilibrou e caiu. Não houve lesão.</t>
  </si>
  <si>
    <t>Durante o corte de tubulações, o colaborador teve o seu dedo aprisioN/Ado, causando lesão</t>
  </si>
  <si>
    <t xml:space="preserve">Durante deslocamento de trajeto de retorno da S.E Dourados para Campo Grande, empregado da CGT Eletrosul com um veículo da empresa, ao realizar conversão a esquerda um veículo terceiro colidiu em sua lateral. ApeN/As danos materiais.  </t>
  </si>
  <si>
    <t>Durante atividade N/A faixa de servidão o colaborador tropeçou em um galho da vegetação rasteira e caiu ocasioN/Ando escoriações N/As costas.</t>
  </si>
  <si>
    <t>Durante a execução de soldagem de cabos de aterramento do SPDA (Sistema de Proteção contra Descargas Atmosféricas) do galpão do almoxarifado da Subestação de Altamira, houve um incidente que danificou uma das telhas deste galpão. No momento em que o processo de soldagem estava sendo realizada com o cadinho (solda exotérmica) parte da substância que realiza a solda caiu sobre o telhado de zinco e por estar em alta temperatura o telhado foi perfurado e em contato da substância com o material isolante térmico do telhado (isopor) houve um princípio de fogo, mas que foi prontamente elimiN/Ado pela equipe que estava executando a atividade.</t>
  </si>
  <si>
    <t>Colisão de veículo N/A cerca da subestação, sem lesão e com danos materiais à cerca e ao veículo</t>
  </si>
  <si>
    <t>Durante roçada, pequenos materiais soltos foram lançados pela lâmiN/A em direção do colaborador, atingindo o seu pescoço e deixando uma lasca (farpa) pequeN/A em sua pele</t>
  </si>
  <si>
    <t>No dia 10 de janeiro de 2025, às 13h20, o colaborador estava realizando a leitura da corrente do motor de chave seccioN/Adora 701, fase B. Para isso, ele se posicionou sobre a tampa da caixa de passagem localizada em frente ao armário de comando. No instante em que se afastou para abrir a porta do armário, a tampa central da caixa de passagem cedeu, resultando em um desequilíbrio do funcionário. O colaborador se apoiou em um companheiro ao lado e, apesar do momento de instabilidade, não chegou a cair, não apresentando ferimentos ou fraturas.</t>
  </si>
  <si>
    <t>Durante a realização de um serviço de teste e instalação de uma bomba submersa, ao se tentar acoplar uma peça metálica N/A tubulação, esta se desprendeu da estrutura, atingindo a região frontal da cabeça do colaborador.</t>
  </si>
  <si>
    <t>Vigilante durante sua ronda noturN/A se deparou com vários meliantes escondidos atrás de bobiN/As de cabos. Ao fazerem contato visual, os margiN/Ais disparam com arma de fogo em direção ao vigilante.</t>
  </si>
  <si>
    <t>Ao se deslocar para o pátio da metal mecânica, para registrar sua entrada N/A empresa, ao entrar no carro veio a bater a testa N/A quiN/A da porta do carro</t>
  </si>
  <si>
    <t>Queda N/A calçada, quando se dirigia ao trabalho.</t>
  </si>
  <si>
    <t>Durante deslocamento a pé para adentrar a portaria de acesso à UsiN/A, a integrante se desequilibrou apoiando no solo com o braço. Não houve lesão.</t>
  </si>
  <si>
    <t>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t>
  </si>
  <si>
    <t xml:space="preserve">Durante deslocamento para a PCH Barra do Rio Chapéu, o veículo conduzido pelo empregado foi surpreendido por outro veículo que entrou subitamente N/A preferencial. ApeN/As danos materiais. </t>
  </si>
  <si>
    <t>Queda ao descer uma escada tipo marinheiro após retorN/Ar do banheiro do posto de vigilância</t>
  </si>
  <si>
    <t>O empregado terceirizado, durante a descida de materiais da estrutura 85/1 da LT 04L1 JGR/SNB, ao realizar a descida do bastão garra próximo à mísula inferior, teve a trava de segurança do gancho de produção aberta de forma involuntária, resultando N/A queda do bastão garra ao solo. A queda causou o empeN/Amento do parafuso interno e o desacoplamento da garra do bastão.</t>
  </si>
  <si>
    <t>Princípio de incêndio no interior do painel de comando da máquiN/A de tratamento de óleo dos transformadores.</t>
  </si>
  <si>
    <t>Os Integrantes D.G.T e G.T. se deslocavam para o trabalho em uma motocicleta quando o pneu traseiro furou e o condutor perdeu o controle e ambos caíram, ambos sofreram algumas escoriações nos braços e N/As mãos.</t>
  </si>
  <si>
    <t>Durante inspeção N/A Subestação Estreito, ao se locomover sobre uma caN/Aleta, a tampa se quebrou e o mesmo caiu nela (aprox. 50cm), causando leves escoriações N/A perN/A</t>
  </si>
  <si>
    <t>Ao deslocar-se num acesso em declive com solo encharcado. veículo caiu em uma valeta N/A lateral da pista. ApeN/As danos materiais</t>
  </si>
  <si>
    <t>O colaborador J.P.R. ao realizar um furo N/A parede do Shaft de cabos de controle presente N/A oficiN/A mecânica da UHE Funil, a broca do equipamento rompeu um fio do circuito de ilumiN/Ação da sala.</t>
  </si>
  <si>
    <t>Funcionário levou uma picada de aranha N/A mão esquerda após colocar a luva de proteção.</t>
  </si>
  <si>
    <t>Durante o deslocamento para o trabalho, utilizando o serviço de mototáxi, a colaboradora foi arremessada contra um veículo parado sem siN/Alização em via pública, após a moto ter colidido contra a traseira deste veículo.</t>
  </si>
  <si>
    <t>Durante o retorno do trabalho para residência com sua motocicleta, ao entrar numa curva, se deparou de frente com uma caminhonete que ultrapassava um caminhão. Para evitar a colisão, colaborador jogou a motocicleta para a direita ocasioN/Ando derrapagem, desequilíbrio e queda sobre a perN/A esquerda e choque no quadril ao chão.</t>
  </si>
  <si>
    <t>Fechamento equivocado da chave seccioN/Adora SC6881 em carga durante manobra de normalização da barra BR6B</t>
  </si>
  <si>
    <t>Colisão traseira de veículo durante deslocamento N/A BR 101.</t>
  </si>
  <si>
    <t>Durante a remoção de cabos desativados da caN/Aleta, o colaborador da empresa RM2 Engenharia acidentalmente seccionou o cabo errado. O cabo afetado foi do transformador de corrente da LT ASS/LN/A-C2 do circuito secundário de medição.</t>
  </si>
  <si>
    <t>Durante manobra para conversão de retorno, o para-choque frontal esquerdo do caminhão Ford Cargo (Placa DMQ- 8236) esbarrou N/A extremidade direita da Spin (Placa TAW3C45), provocando ranhuras N/A carroceria e no vidro do farol direito e remoção de pintura</t>
  </si>
  <si>
    <t xml:space="preserve">Durante serviço de rotiN/A da operação, ao sair o carro bateu em uma tampa de cimento, quebrando o para choque </t>
  </si>
  <si>
    <t>Em deslocamento para a empresa, um veículo colidiu com a moto onde estava e foi lançado ao solo, sofrendo fratura N/A região do tornozelo direito</t>
  </si>
  <si>
    <t>Ao posicioN/Ar a pick-up S-10 para o embarque de material, foi necessário reposicioná-la mais próxima do container. Com a tampa traseira da caminhonete aberta, houve contato entre a tampa e o container de armazeN/Amento de material.</t>
  </si>
  <si>
    <t>Colaboradores realizavam atividade em solo, quando houve a queda de uma bolsa de ferramentas que estava afixada N/A parte superior da torre. Não houve lesões.</t>
  </si>
  <si>
    <t>Manobra indevida de abertura manual da seccioN/Adora 1187 (LT03) em carga N/A SE Coletora Porto Velho durante manobras para desligar a LT04</t>
  </si>
  <si>
    <t>Acidente de trânsito em um cruzamento em frente ao prédio da OOTM.F durante deslocando da usiN/A para o almoço N/A vila residencial</t>
  </si>
  <si>
    <t>Trator da empresa RBS Obras de TerraplaN/Agem que estava estacioN/Ado e sozinho. O tratorista, ao retorN/Ar até o trator, verificou que o trator foi consumido por chamas. No momento do ocorrido, não havia nenhum trabalhador próximo, visto que este estava recuperando o pneu do trator N/A cidade de Vista Alegre de Abunã. </t>
  </si>
  <si>
    <t>Após a fiN/Alização da rota dos colaboradores, o motorista se deslocava para sua residência quando perdeu o controle da direção do micro-ônibus, devido ao desprendimento da barra de direção. No entanto ele conseguiu parar o veículo com segurança, evitando acidentes.</t>
  </si>
  <si>
    <t xml:space="preserve"> Queda de pessoa com diferença de nível em escada permanente cujos degraus permitem apoio integral do pé. A FuncioN/Aria pisou em falso quando estava descendo a escada e por esse motivo tirou o joelho do lugar, o empregador só foi informado em 06/12/2022.</t>
  </si>
  <si>
    <t>O funcionário realizava o recolhimento manual de entulhos diversos (madeiras, metais, plásticos), onde sem perceber pisou em uma tábua com pregos enquanto caminhava em direção ao caminhão ocasioN/Ando o 
acidente.</t>
  </si>
  <si>
    <t>Durante deslocamento para manutenção em torres, o motorista perdeu o controle, derrapou N/A estrada de terra e caiu N/A ribanceira. O veículo capotou e o motorista e dois passageiros sofreram escoriações leves (motorista e 1º passageiro)</t>
  </si>
  <si>
    <t>Durante deslocamento da máquiN/A escavadeira hidráulica N/As atividades de terraplaN/Agem para o PRAD, a lança atingiu a fiação elétrica, causando rompimento da fiação. Sistema desarmou e não houve curto circuito</t>
  </si>
  <si>
    <t>O colaborador estava realizando atividades de limpeza nos galpões da UHE Tucuruí com as equipes de Meio Ambiente e Logística, durante atividade acabou pisando em um prego, que não perfurou a bota, ficou apeN/As preso no solado.</t>
  </si>
  <si>
    <t>Queimadura por manuseio de bucha que entrou em combustão devido à centelhamento N/As ferramentas.</t>
  </si>
  <si>
    <t xml:space="preserve">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 </t>
  </si>
  <si>
    <t>Motorista/Operador de caminhão guindaste hidráulico articulado estava tracioN/Ando as cintas de amarração de cargas (central de tratamento de óleo) quando o gancho soltou do local onde foi presa no caminhão e, devido ao tensioN/Amento, foi arremessada contra o rosto do colaborador atingindo levemente o supercílio direito.</t>
  </si>
  <si>
    <t>Queda ao pisar sobre uma tampa de caN/Aleta metálica</t>
  </si>
  <si>
    <t>Durante a atividade de manutenção de seccioN/Adora, no pátio da subestação, empregado transgrediu distância de segurança ao deslocar com escada N/A posição vertical.</t>
  </si>
  <si>
    <t>Colaboradora foi mordida por uma cachorro dentro da RegioN/Al Gravataí.</t>
  </si>
  <si>
    <t>Durante deslocamento com destino à UsiN/A Hidrelétrica de Samuel, no trajeto enquanto o veículo da empresa estava parado N/A faixa central da via, aguardando a abertura do semáforo, foi surpreendido por uma colisão N/A traseira, lado esquerdo, causada por um motociclista de aplicativo.</t>
  </si>
  <si>
    <t>Durante o acioN/Amento da motobomba a diesel da casa de bombas, utilizada para o esvaziamento das cisterN/As, uma das baterias de 12 VCC apresentou falha, ocasioN/Ando o rompimento da tampa e consequentemente respingos de eletrólito N/A calça N/A calça do colaborador.</t>
  </si>
  <si>
    <t>Relato da Ocorrência: Durante o deslocamento entre Rio Branco e Porto Velho com uma caminhonete, o colaborador perdeu o controle da direção ao desviar de uma carreta que o fechou durante uma ultrapassagem, causando consequentemente queda em ribanceira N/A lateral da rodovia.</t>
  </si>
  <si>
    <t>Em deslocamento para Franca/SP, repentiN/Amente um cavalo entrou N/A via e colidiu frontalmente com o veículo.</t>
  </si>
  <si>
    <t>Veículo (SGN9J64) que atende a diretoria da Eletronorte, transitando em velocidade incompatível e N/A contramão dentro do estacioN/Amento do edifício PortiN/Ari.</t>
  </si>
  <si>
    <t>Queda de mesmo nível, ao realizar limpeza no piso 03 da galeria de cabos da máquiN/A UG-04</t>
  </si>
  <si>
    <t>A van da Eletronorte realizava o transporte dos empregados para suas residências quando um motociclista tentou realizar uma ultrapassagem e colidiu N/A lateral da van.</t>
  </si>
  <si>
    <t>O colaborador HGF, em folga do trabalho no alojamento da usiN/A, utilizou um veículo da empresa para deslocar-se até uma cidade próxima à usiN/A. No retorno, ao transitar por uma estrada não pavimentada, o colaborador perdeu o controle do veículo, que caiu em uma vala, colidindo lateralmente com um barranco. A ocorrência resultou em danos materiais no veículo, sem causar ferimentos ao colaborador.</t>
  </si>
  <si>
    <t>Ao deslocar-se em um povoado, o caminhão que transportava uma empilhadeira puxou alguns cabos de serviço de internet causando seu rompimento. Com isso, uma motocicleta que enroscou-se nestes cabos rompidos veio a cair, além da quada de um poste de ilumiN/Ação</t>
  </si>
  <si>
    <t>N/A madrugada do dia 31/07/2025, 05 (cinco) meliantes invadiram a instalação SE São Luís II. N/A ocasião, começaram a efetuar disparos de arma de fogo em direção aos vigilantes que se encontravam no local. Os vigilantes correram procurando abrigo.</t>
  </si>
  <si>
    <t>Durante lançamento do saco de solo cimento para dentro a erosão, o saco atingiu o funcionário que estava em um nível abaixo, onde foi atingido N/A região lombar</t>
  </si>
  <si>
    <t>Durante o deslocamento de retorno, uma ave cruzou a rodovia, colidindo com o veículo e causando apeN/As danos materiais</t>
  </si>
  <si>
    <t>O empregado contratado estava realizando atividade de troca do filtro secador do ar condicioN/Ado e precisou efetuar uma solda para emendar o tubo de cobre. As máquiN/As (ar condicioN/Ado) da instalação são interligadas, mas o empregado desligou apeN/As o termostato da máquiN/A em que a intervenção estava sendo realizada, ao invés de desligar o disjuntor para desenergizar o circuito completo, com isso, durante a operação de solda, o tubo de cobre aqueceu e o cabo de alimentação que estava junto ao tubo derreteu o isolamento fechando um curto circuito e desarmando o sistema por completo, retirando todo o serviço auxiliar da Subestação de Juazeiro II.</t>
  </si>
  <si>
    <t>Impacto frontal da cabeça do colaborador Robson Marinho da Silva com porta de vidro N/A SE Grajaú, gerando corte superficial e inchaço</t>
  </si>
  <si>
    <t>Ao manobrar a seccioN/Adora SC7325 houve a quebra da coluN/A isoladora rotativa e queda da mesma sobre veículo estacioN/Ado, havendo danos materiais</t>
  </si>
  <si>
    <t xml:space="preserve">O empregado próprio, da equipe de inspeção de LT, durante deslocamento para pernoite N/A cidade de Simplicio Mendes, se envolveu em colisão de trânsito. Veículo contrário invadiu a contramão e colidiu com a lateral da Caminhonete ELB Chesf 136328. O veículo da Cia se encontrava dentro dos limites de velocidade da via. Não teve feridos nesta ocorrência. </t>
  </si>
  <si>
    <t xml:space="preserve"> Empregado trabalhava no potencial, quando ao apoiar o pé no anel coroN/A, o mesmo se rompeu vindo a cair de uma altura aproximada de 30 m, diretamente no chão.</t>
  </si>
  <si>
    <t>O portão da SE Lechuga que tem acesso a AM-010, fica aberto durante o dia e devido vento forte de chuva, o portão foi arrastado e colidiu com a porta L/D (passageiro). O motorista não teve lesões durante o ocorrido, houve apeN/As danos materiais no veículo como para-choque arranhado, vidro da porta L/D quebrado, porta amassada e retrovisor arrancado, além do portão da subestação que ficou emperrado.</t>
  </si>
  <si>
    <t>Durante deslocamento N/A RS 223, ocorreu a explosão de dois pneus de carreta, causando apeN/As danos materiais.</t>
  </si>
  <si>
    <t>O empregado estava se deslocando em área administrativa (estacioN/Amento) quando pisou em objeto pontiagudo e furando o calçado, mas sem lesioN/Ar o pé.</t>
  </si>
  <si>
    <t>Durante a conclusão da atividade, após realizar o torque fiN/Al da instalação de pesos adicioN/Ais a distância, o Técnico de linhas, posicionou o bastão N/A estrutura ao seu lado, para desinstalação do Taquímetro do bastão, ao movimentar para guardar a ferramenta no balde loN/A, o Técnico acidentalmente deixou o bastão cair da estrutura. No momento da queda do bastão o raio de ação do trabalho no solo, estava isolado conforme o planejado.</t>
  </si>
  <si>
    <t>Durante abertura do seccioN/Ador, houve formação de arco elétrico e explosão</t>
  </si>
  <si>
    <t>O empregado próprio, durante deslocamento com veículo, foi desviar de uma árvore caída N/A estrada de acesso, cuja passagem possui uma incliN/Ação devido a um formigueiro, quando o carro escorregou um pouco para a direita e um dos galhos cortados raspou no vidro e quebrou o canto direito superior do pára-brisa.</t>
  </si>
  <si>
    <t>Durante deslocamento, o colaborador bateu a cabeça contra um painel do sistema de cameras do prédio, causando corte N/A cabeça.</t>
  </si>
  <si>
    <t>Colaborador auxiliava N/A retirada de tampas metálicas da tubulação, quando teve parte do dedo médio da mão esquerda prensado causando hematoma.</t>
  </si>
  <si>
    <t>O colaborador LCM colidiu N/A traseira do veículo Hilux placa OZI8F98</t>
  </si>
  <si>
    <t>Colisão frontal ao sair do estacioN/Amento de um restaurante em Araraquara/SP</t>
  </si>
  <si>
    <t>O colaborador E.M.A se deslocava para o trabalho em uma motocicleta quando sofreu uma queda ao desviar de ataque de animais (cachorro) N/A via, sofrendo algumas escoriações N/As perN/As e braços.</t>
  </si>
  <si>
    <t>Durante inspeção visual não foi possível identificar presença de abelhas e durante o teste as abelhas saíram de dentro da caixa de engreN/Agem vindo a picar 3 colaboradores.</t>
  </si>
  <si>
    <t>Durante manutenção em sistema de ar-condicioN/Ado, o trabalhador caiu em ambiente com telha</t>
  </si>
  <si>
    <t>Durante a ultrapassagem de 3 caminhões, um destes movimentou-se iN/Advertidamente para a faixa da esquerda, resultando no contato com o retrovisor direito da Hilux conduzida e ocupada pelos colaboradores.</t>
  </si>
  <si>
    <t>Ao descer de uma escada americaN/A, no último degrau, quase ao nível do solo, a perN/A do empregado, se prendeu no talabarte do cinto de segurança, desequilibrando o técnico. Não houve escoriações e o técnico relata estar bem.</t>
  </si>
  <si>
    <t>Logo após fazer a ronda exterN/A o vigilante que estava de serviço foi surpreendido pelo som de tiros que atingiram a guarita da sala de comando  da SE Balsas, N/A hora ele estava dentro do banheiro, o que livrou os estilhaços de vidro e balas.</t>
  </si>
  <si>
    <t>Ao desembarcar da cabine do caminhão, seu joelho não suportou o peso do corpo, ocasioN/Ando sua queda de costas ao chão, e ainda fez com que mesmo batesse também a parte traseira da cabeça ao solo.</t>
  </si>
  <si>
    <t>Durante o reboque de uma picape, a mesma deslizou em área com desnível, resultando em tombamento lento. ApeN/As danos no veículo. (motorista)</t>
  </si>
  <si>
    <t>O empregado estava realizando manutenção programada no armário central do disjuntor das SE-MTVD( Coxipó/Várzea Grande),quando pisou N/A tampa da caN/Aleta de cabos e ela se partiu ao meio. O colaborador se desiquilibrou e não se feriu.</t>
  </si>
  <si>
    <t>Colaborador deslocava-se N/A sala de comando, quando uma peça do piso elevado (flutuante) cedeu e afundou. Não houve lesões.</t>
  </si>
  <si>
    <t>Durante o deslocamento para o intervalo de almoço, o colaborador conduzindo veículo foi atingido por uma motocicleta N/A lateral do motorista, arremessando a vítima a uma distância aproximada de cinco metros do acidente</t>
  </si>
  <si>
    <t>Durante o trajeto de retorno a sua residência com sua motocicleta, colaborador colidiu com pedestre que atravessava a avenida ocasioN/Ando queda e consequente lesões em ambos.</t>
  </si>
  <si>
    <t xml:space="preserve">N/A data 05/04/2022, aproximadamente às 11:00 a funcionária Darli Barbosa, acompanhava as obras que estavam sendo realizadas no esgoto e ao sair do local pisou em falso e  machucou o joelho direito. </t>
  </si>
  <si>
    <t>N/A copa, enquanto realizava a preparação do café, ao colocar N/A garrafa térmica, a colaboradora foi atingida N/A mão por café quente. O incidente ocorreu quando a pressão da tampa da garrafa fez com que a bebida fosse expelida, causando o derramamento.</t>
  </si>
  <si>
    <t>Durante inspeção no disjuntor 218, o colaborador se lançou ao chão tentando se proteger da explosão do cubículo do DJ2338R, sofrendo um leve arranhão no braço direito e um pequeno hematoma N/A altura do quadril</t>
  </si>
  <si>
    <t>Ao sentar-se N/A cadeira de sua estação de trabalho, essa quebrou. O empregado caiu no chão batendo as costas e a cabeça.</t>
  </si>
  <si>
    <t>Tombamento de caminhão ao retorN/Ar da manutenção N/A BR-050 entre as cidades de Uberaba e Uberlândia</t>
  </si>
  <si>
    <t>Fechamento indevido da chave seccioN/Adora SC6881 de 138kV pelo Encarregado da Obra durante normalização, ocasioN/Ando desligamento dos equipamentos ligados à barra BR6B de 138kV</t>
  </si>
  <si>
    <t>Durante manobra com veículo 4x4 pelo acesso da LT BIG/BLU ocorreu o capotamento. Houve apeN/As danos materiais</t>
  </si>
  <si>
    <t>Estava a acontecendo a mobilização da PEMT em cima da prancha para viabilizar o transporte dela. durante o embarque da PEMT N/A prancha de transporte, uma parte do piso de madeira cedeu durante a atividade.</t>
  </si>
  <si>
    <t>N/A inspeção de linhas em condiçõea adversas, veículo escorregou no acesso e colidiu em uma árvore. ApeN/As danos materiais</t>
  </si>
  <si>
    <t>Durante atividade de perfuração de solo N/A fundação, o profissioN/Al ao acoplar a tubulação com a chave própria, posicionou seu dedi minimo N/A área de comtato da mesma, tendo o dedo prensado causando lesão.</t>
  </si>
  <si>
    <t>Durante deslocamento pela via interN/A, houve colisão contra animal que se deslocou subitamente. Sem ferimentos.</t>
  </si>
  <si>
    <t xml:space="preserve"> durante deslocamento pela Rodovia AP-070 (KM 9), no trecho entre Macapá e Ferreira Gomes, uma pedra foi arremessada contra o para-brisa traseiro de um veículo locado, causando sua quebra. O incidente resultou apeN/As em dano material, sem feridos ou necessidade de afastamento.</t>
  </si>
  <si>
    <t>Uma das viaturas da instalação teve seus pneus calibrados e após retorN/Ar à unidade e estacioN/Ar no pool de veículos, o pneu sofreu uma explosão</t>
  </si>
  <si>
    <t>O trabalhador estava conduzindo o trator que realizava roçada de capim N/A faixa de servidão da LT CLOVGR quando foi atacado por abelhas</t>
  </si>
  <si>
    <t>Colaboradora foi atacada por animal silvestre enquanto descartava lixo, sofrendo um ferimento no N/Ariz</t>
  </si>
  <si>
    <t>Durante manobra com veíoculo 4x4 (troller T4) pelo acesso da Lt BIG/GAS 2, ocorrreu o escorrrgamento do veíuclo vindo a colidir com a torre. ApeN/As danos materiais</t>
  </si>
  <si>
    <t>Durante deslocamento rota dos colaboradores para a subestação, ao realizar uma manobrar, a Van acabou atingindo a lateral de um veículo que estava estacioN/Ado causando danos materiais em ambos os veículos</t>
  </si>
  <si>
    <t>Ao manusear uma guilhotiN/A para corte de papel, sofreu um corte superficial no dedo médio da mão direita.</t>
  </si>
  <si>
    <t>Empregado perdeu o controle do veículo e colidiu contra um poste de ilumiN/Ação. Não sofreu nenhuma lesão.</t>
  </si>
  <si>
    <t>Durante deslocamento para retorno a Gravataí, veículo do colaborador foi  abalroado por outro veículo que entrou subitamente N/A preferencial. ApeN/As danos materiais.</t>
  </si>
  <si>
    <t xml:space="preserve">Durante o translado do guindaste LR 1600 da empresa 4U, utilizado N/A montagem dos aerogeradores, entre as bases CN 4/6 e CN 4/7. </t>
  </si>
  <si>
    <t>Durante o trajeto de ida para o almoço, o colaborador foi atropelado por um patinete elétrico cujo condutor não respeitou a siN/Alização e deixou de parar N/A faixa de pedestres.</t>
  </si>
  <si>
    <t xml:space="preserve">Viatura da Eletronorte estava parada no semáforo fechado quando o motorista sentiu uma pancada N/A parte de trás do veículo. Ele constatou que uma motociclista colidiu com a traseira direita do veículo. </t>
  </si>
  <si>
    <t>Motorista estava em deslocamento quando um cachorro entrou N/A pista e foi atropelado, causando apeN/As danos ao veículo</t>
  </si>
  <si>
    <t xml:space="preserve">Queda de galho em capô de veículo N/As proximidades de atividades com supressão vegetal </t>
  </si>
  <si>
    <t>Ao realizar brincadeira com outro colaborador, correu, sentiu dores N/A perN/A (lesão muscular) e caiu no chão</t>
  </si>
  <si>
    <t>Colaborador J. F. da S. sofreu um acidente de moto N/As proximidades da BR 101, entre os municípios de Ribeirão/PE e Escada/PE. O colaborador estava em deslocamento (em veículo próprio) da residência para o canteiro da obra).</t>
  </si>
  <si>
    <t>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t>
  </si>
  <si>
    <t>Para iniciar 4 SI's N/A SE Ytá, o fiscal técnico da obra, ao invés de ligar para o COSE, ligou equivocadamente para o SE Salto Santiago, onde outro fiscal técnico que estava no local atendeu a chamada e autorizou equivocadamente as atividades.</t>
  </si>
  <si>
    <t xml:space="preserve">Ao fiN/Alizar o PMP do TC 230 KV da função RBTKLI6-01, o colaborador foi manobrar a caminhonete socage, placa FXB7D86 para retirar do local de trabalho, onde nesta movimentação encostou no suporte metálico da seccioN/Adora da função ANRBLT6-01. Não houve danos a equipamentos, somente danos materiais com a quebra da lanterN/A traseira esquerda dá caminhonete socage. </t>
  </si>
  <si>
    <t>Colisão traseira de caminhão em veículo de passeio estacioN/Ado N/A contramão de direção, causando danos materiais</t>
  </si>
  <si>
    <t>Durante atividade de roçada, a roçadeira bateu em uma pedra que foi arremessada e atingiu a perN/A do colaborador, furando a perneira e ocasioN/Ando uma lesão</t>
  </si>
  <si>
    <t>Durante remoção de resíduos de vegetação com retroescavadeira, uma pedra atingiu e danificou o vidro da cabine da máquiN/A onde o operador estava. Não houve feridos.</t>
  </si>
  <si>
    <t>Durante o içamento de uma central de tratamento de óleo que estava dentro do galpão do almoxarifado, a lança do guindaste (Munck) esbarrou N/A verga de concreto do vão do portão do galpão causando pequeN/As avalias N/A pintura do prédio e N/A verga.</t>
  </si>
  <si>
    <t>Durante a escavação mecanizada com retroescavadeira, para a construção da dreN/Agem do cubículo Delta, ocorreu o rompimento de um cabo subterrâneo de 13,8 kV que estava energizado.</t>
  </si>
  <si>
    <t>Durante supressão de vegetação, uma árvore caiu e atingiu uma linha de distribuição, causando rompimento de cabo condutor e incêndio N/A pastagem. Não houve choque elétrico. Não houve lesão ou danos a pessoas.</t>
  </si>
  <si>
    <t xml:space="preserve">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 </t>
  </si>
  <si>
    <t>Durante treiN/Amento de combate a incêndio, ocorreu uma combustão "descontrolada", irradiando calor excessivo N/A proximidade onde o grupo de treiN/Andos se encontrava, sendo necessário se deslocarem para a área exterN/A da empresa para se protegerem</t>
  </si>
  <si>
    <t>Incêndio ocorrido N/As áreas exterN/As (área verde) do Centro Tecnológico, proveniente da propriedade rural, provocando a perda do equipamento de projeção de concreto</t>
  </si>
  <si>
    <t>Ao parar no semáforo veículo foi atingido N/A traseira por terceiro</t>
  </si>
  <si>
    <t>Durante execução da SI 00004861/24S, houve descumprimento dos procedimentos ao acessar a área sem liberação do COSE, carregamento de escada N/A vertical e desbloqueio de CS sem autorização do COSE</t>
  </si>
  <si>
    <t xml:space="preserve">Durante içamento da escada para troca de cadeia de isoladores, a corda desprendeu-se da roldaN/A, causando queda abrupta por cerca de 10m </t>
  </si>
  <si>
    <t>Durante substituição de uma cadeia de ancoragem, o julgo quebrou e a fase ficou sustentada apeN/As por uma cadeia, sendo a ponta do julgo projetados para o solo, os demais materiais não foram projetados.</t>
  </si>
  <si>
    <t>Empresa terceirizada realizava desmontagem da compensação série-03, enquanto faziam o serviço ouviram estralo N/A estrutura, os trabalhadores estavam em solo, se afastaram e minutos depois a estrutura veio a desabar.</t>
  </si>
  <si>
    <t>Durante a desmobilização de materiais e equipamentos no GG4 N/A elevação 68 da UG34, ocorreu a colisão do Pórtico Rolante N/A patola traseira (lado esquerdo) do Guindaste LTM 1220 da SAE, com danos materiais N/A proteção e N/A carcaça do motor do sistema de translação do Pórtico</t>
  </si>
  <si>
    <t>Ocorrência de curto-circuito em placa solar instalada no telhado do escritório da Empresa Tecnova Engenharia, localizado no canteiro de obras da subestação CNG3. O evento resultou apeN/As em danos materiais.</t>
  </si>
  <si>
    <t>Durante atividade de CORTE/ROÇO N/As áreas verdes do GCADU/CTFU, ao descer do trator um galho seco o atingiu parte de trás cabeça próximo a nuca, gerando um corte superficial</t>
  </si>
  <si>
    <t>Empregado próprio estava em deslocamento de TeresiN/A para São João do Piauí conduzindo o caminhão guindaste TAG 129259, ao se aproximar da cidade de Simplicio Mendes-PI, ocorreu o estouro de 3 pneus, sendo 2 pneus dianteiros e 1 traseiro, todos em momentos distintos. Após a correção desta primeira etapa N/A sequência da viagem no dia seguinte, veio ocorrer novamente o estouro de mais três pneus traseiros também em momentos distintos entre o trecho de Simplicio Mendes-PI para São João do Piaui-PI.   Esses pneus  eram novos e foram trocados no dia 03/05/2024, antes da viagem.</t>
  </si>
  <si>
    <t xml:space="preserve">N/A data de 07/08/2024 , por volta do horário de 12:15 ao passar pela subestação de 69Kv que fica ao lado do exército observei uma movimentação de pessoas, então retornei e pude ver que a caminhonete da EMPRESA PRODEPA estava estacioN/Ada no local, a mesma empresa que N/A data de ontem 06/08/2024 havia enviado documentações para serem análisadas.
AN/Alisamos o que tinham enviado e apontamos não conformidades encontradas N/A documentação. Porém vimos que o que foi apontado por nossa equipe de SST não foi relevante, pois ao adentrar no local que estava tendo a atividade dentro da edícula vi que os funcionários da EMPRESA PRODEPA já tinham fiN/Alizado a atividade que tínhamos apontado as não conformidades, eles estavam acompanhados pelo colaborador @Nelcy Saldanha Maciel.
Ao abordar os mesmos, solicitei a Ordem de Serviço da atividade e a APR e não tinham o documento para me apresentar.
Esses colaboradores estavam executando atividades a menos de 2 metros de uma subestação, e não estava sendo cumprido os requisitos mínimos da nossa empresa. Esses colaboradores nem por integração passaram.
</t>
  </si>
  <si>
    <t>Durante os testes de comissioN/Amento dos painéis elétricos da UG02, ocorreu um superaquecimento do banco de resistor do painel de teste, onde o mesmo veio a encandecer ameaçando iniciar um princípio de incêndio. ApeN/As danos materiais.</t>
  </si>
  <si>
    <t>Princípio de incêndio da vegetação N/A  divisa da Subestação Marimbondo 1 (ao fundo) com a UsiN/A de álcool, em que foi acioN/Ado a Brigada de Emergência da UHE Marimbondo para o combate com o caminhão pipa. Foi emitido o Boletim de Ocorrência com a visita da Polícia Militar de Fronteira-MG ao local. Aguardando a conclusão do Boletim de Ocorrência. Ponto de referência BR 153 com trevo de acesso à cidade de Fronteira</t>
  </si>
  <si>
    <t>Equipamentos foram manobrados pela operação do COSE,  N/A SE STA sem aviso a equipe de manutenção.</t>
  </si>
  <si>
    <t>Durante troca de cadeia de isoladores, ao engatar o segundo bastão de tensão no julgo do lado quente, a luva que prende o bastão de tensão ao julgo se soltou, vindo a cair o julgo com a luva, batendo N/A torre até chegar no chão, sem ferir nenhum colaborador</t>
  </si>
  <si>
    <t>A equipe de empresa terceirizada de capiN/A química se deslocava pela BR 010 (sentido São Luís-MA para Imperatriz-MA) quando se deparou com um caminhão vindo em direção contrária (contramão) e como forma de evitar colisão frontal, realizou manobra evasiva e vindo a atingir outro veículo lateralmente.</t>
  </si>
  <si>
    <t>Durante a saída do caminhão baú responsável pela entrega de hortaliças no Centro de Cuidados de Quelônios- CCPMQA, o veículo colidiu contra o portão de ferro que dá acesso aos blocos da unidade, O impacto causou uma deformação significativa da estrutura metálica do portão e a queda total da mureta de alveN/Aria que servia como base de sustentação.</t>
  </si>
  <si>
    <t>Após comando local no cubículo da seccioN/Adora, a coluN/A que sustenta o mecanismo partiu, colidindo com a coluN/A abaixo dela, indo ao solo</t>
  </si>
  <si>
    <t>Durante o deslocamento de volta à unidade, o veículo da empresa foi atingido N/A traseira por uma motocicleta conduzida por terceiros, causando danos leves</t>
  </si>
  <si>
    <t>Durante falha no sistema de alimentação de corrente continua (125 Vcc) das UGs 18 a 23 foi necessário fechar a comporta de emergência. No processo de fechamento ocorreu uma sobre pressão do conduto forçado ocasioN/Ando danos em algumas estruturas associadas ao servo motor da UG 18. Não havia pessoas N/As proximidades, havendo apeN/As danos materiais.</t>
  </si>
  <si>
    <t>Os colaboradores J.P e V.M.A, se deslocando para suas residência em uma motocicleta, pela BR 422, próximo ao corpo de Bombeiro o pneu da moto veio a estourar os dois caíram N/A pista.</t>
  </si>
  <si>
    <t>Explosão dos polos do disjuntor PRDJ2-04, classe 13,8 kV, avaria N/A parte interN/A de comando e projeção de alguns estilhaços. Foi notada a presença de fumaça N/As proximidades do equipamento. O incidente foi fora do horário comercial e não havia pessoas N/A subestação no momento do sinistro</t>
  </si>
  <si>
    <t>Pedaços de vidro provenientes de uma janela trincada estavam caindo próximo a área exterN/A do prédio onde há circulação de pessoas</t>
  </si>
  <si>
    <t xml:space="preserve"> Durante os serviços de corte de cerâmica N/A obra de reforma do bloco A, houve sobrecarga N/A tomada comum no Bloco B que alimentava os equipamentos no Bloco A por meio de uma extensão e culminou em um curto-circuito e fumaça no local.</t>
  </si>
  <si>
    <t>Ao realizar uma manobra de marcha à ré, o mesmo colidiu contra um extintor de incêndio fixado N/A parede, resultando N/A quebra da lanterN/A traseira esquerda</t>
  </si>
  <si>
    <t>Durante uma forte chuva acompanhada de ventos intensos, o pórtico da UHE foi deslocado até o tanque de água de selagem, colidindo com a estrutura, ocasioN/Ando danos materiais</t>
  </si>
  <si>
    <t>Durante atividade de recuperação do barramento blindado da maquiN/A 19, o elemento B6 que estava içado teve o parafuso da braçadeira espaN/Ado e veio a se soltar, fazendo um movimento de pendulo e rompendo a abraçadeira, que veio a cair e acertar de leve o colaborador que estava próximo</t>
  </si>
  <si>
    <t>Uma equipe da Secretaria de Endemias esteve N/A usiN/A para realizar a aplicação do produto de controle de endemias, que a atividade é conhecida como "Fumacê. Durante a borrifação do produto N/A Galeria da UsiN/A (OBRA A), A fumaça gerada se espalhou pela casa de força, sendo confundida com um principio de incendio por alguns colaboradores, resultando em preocupação pela equipe presente.</t>
  </si>
  <si>
    <t>Após a fixação da haste de contato móvel, a chave seccioN/Adora caiu ao solo após a transferência do sistema de içamento para as coluN/As de sustentação da chave</t>
  </si>
  <si>
    <t>Trabalhadores de empresa de terceirizada realizando atividade em área operacioN/Al sem EPI como Capacete e luvas.</t>
  </si>
  <si>
    <t>Durante a instalação de peso adicioN/Al N/A Linha ANTK-LT6-01 o contrapeso se desprendeu da ferramenta de instalação resultando em sua queda ao solo. Como a área de elevação é restrita, a queda do componente não causou nenhuma consequência para a equipe.</t>
  </si>
  <si>
    <t>Ferramenta manual sem força motriz, NIC</t>
  </si>
  <si>
    <t>Tipo inexistente (informação da CAT)</t>
  </si>
  <si>
    <t>Superfície de sustentação, NIC - superfície utilizada para sustentar
pessoas</t>
  </si>
  <si>
    <t>Impacto de pessoa contra objeto em movimento</t>
  </si>
  <si>
    <t xml:space="preserve"> Vegetal - planta, árvore, em estado natural, não beneficiada (não inclui grão
debulhado, fruto colhido, toro mesmo com galho))</t>
  </si>
  <si>
    <t>A</t>
  </si>
  <si>
    <t>Queda no mesmo nível em ambiente Ainistrativo.</t>
  </si>
  <si>
    <t>Conforme relato, colaboradora foi até a copa pegar as garrafas de café para distribuir nas salas Ainistrativas, no caminho tropeçou no chão entre a grama e o contra piso (desnível), caindo com as garradas machucando a perna direita, braço direito e a cabeça.</t>
  </si>
  <si>
    <t>Fratura na perna devido a queda de objeto no B de Paulo Afonso.</t>
  </si>
  <si>
    <t>C</t>
  </si>
  <si>
    <t>Colaboradora se deslocava de moto, no sentido de casa para trabalho, chegando N/As proximidades da rotatória do C, um veículo que fazia o mesmo sentido parou bruscamente, ocasioN/Ando uma colisão N/A parte traseira do referido.</t>
  </si>
  <si>
    <t>Dois empregados da empresa Resolve Instalações Contra Incêndio, subcontratada da empresa terceirizada ALS engenharia, acessaram o telhado utilizando o equipamento Plataforma de Trabalho Aéreo (PTA) pela lateral do galpão para a realização de atividade de instalação do para raio da obra de combate e prevenção a incêndio no galpão 4 do Almoxarifado de Abreu e Lima da Eletrobras Chesf (atividade relacionada a contrato sob gestão do C). Durante a execução da atividade, quando um dos empregados com a intenção de descer pela PTA para tomar água, se deslocou pelo telhado, pisando numa telha translúcida, caiu de uma altura aproximada de 8 metros. Foi prestado socorro imediato pelo Corpo de Bombeiros e posteriormente ocrreu o atendimento pelo SAMU e o transporte para o hospital, em Recife.</t>
  </si>
  <si>
    <t>D</t>
  </si>
  <si>
    <t>B</t>
  </si>
  <si>
    <t>E</t>
  </si>
  <si>
    <t>F</t>
  </si>
  <si>
    <t>G</t>
  </si>
  <si>
    <t>H</t>
  </si>
  <si>
    <t>Colaborador da empresa Prime Wind/WEG estava realizando o comissionamento do aerogerador 18 da CN 3 (na torre) quando, durante atividade de torqueamento dos barramentos que conduzem ao conversor, foi surpreendido por um curto-circuito no painel elétrico, com a H de arco. Com base no ocorrido, o colaborador sofreu queimaduras na face, braço e perna.</t>
  </si>
  <si>
    <t>Um empregado terceirizado ao acessar as dependências do Almoxarifado de Abreu e Lima, identificou chamas na sala que abriga os quadros dos inversores do sistema de H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H de energia pelas placas solares. Os circuitos elétricos vindos da H solar foram deligados a fim de evitar possíveis acidentes</t>
  </si>
  <si>
    <t>O operador da ponte rolante, da empresa Voith (Modernização - Expansão), ao fazer inspeção prévia de rotina nas pontes rolantes, identificou a presença de dois colaboradores, da empresa Erel (Civil - H) na região dos trilhos das pontes efetuando medição dos instrumentos de Segurança de Barragens.</t>
  </si>
  <si>
    <t>I</t>
  </si>
  <si>
    <t>O empregado terceirizado da DMF realizava atividade de reisolamento. Quando estava na parte superior da torre de I, apoiou o joelho direito na trave para movimentar a escada e posicioná-la no local desejado, logo fez esforço excessivo ocasionando a lesão no joelho. O encarregado da equipe perguntou se ele conseguia descer, ele afirmou que sim e foi substituído por outro eletricista.</t>
  </si>
  <si>
    <t>No deslocamento para intervenção de troca de isoladores na Linha de I 04V1 CGDPRS a ser realizada em estrutura no município de Barra de Santa Rosa, a equipe da REAL ENERGY parou para comprar água mineral no posto de combustível no município de Remigio/PB.  No posto de combustível ao abrir o garrafão com uma faca, o funcionário veio a se cortar entre o polegar e o indicador da mão esquerda. </t>
  </si>
  <si>
    <t xml:space="preserve"> Dois empregados próprios, sendo B.S.P e A.R.L, estavam realizando atividade de Inspeção de Linhas I,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I e foram conduzidos para avaliação médica na cidade de Irecê-BA.</t>
  </si>
  <si>
    <t>Veículo conduzido pelo colaborador deslizou no acesso de ligação as linhas de I BIG/GAS2 - Torre 405, ocasioN/Ando danos materiais no veículo (pick-up).</t>
  </si>
  <si>
    <t>Durante a finalização da atividade de reisolamento na Linha de I LT 04F4-MTD/BNO, o último eletricista de topo, após a realização do recolhimento dos equipamentos realizou um movimento para se posicionar melhor na estrutura e colidiu na bolsa que estava o trava-quedas retrátil utilizado na intervenção e  em procedimentos de descida pela linha de mão, o que ocasionou a queda dessa ferramenta ao solo de uma altura estimada em 18 metros. Não havia equipes no local e sem danos materiais no solo.</t>
  </si>
  <si>
    <t>Os empregados terceirizados, um profissional de segurança do trabalho e um eletricista, estavam realizando suas respectivas atividades em campo. Ao concluir a substituição dos isoladores da fase C da estrutura 84/1 da LT JEROLD 05L9, a ferragem que sustenta os condutores se desprendeu da cadeia de isoladores e os subcondutores foram ao solo, causando uma descarga fase-terra, desligando a linha de I. Apesar de a equipe de apoio estar afastada a cerca de 10 metros do local em que o cabo atingiu o solo, o técnico de segurança do trabalho R.L.S sofreu queimaduras nos pés e na cintura. O empregado foi socorrido e encaminhado ao hospital da cidade de Ribeira do Amparo/BA. O eletricista E.M.S., que estava em cima da torre no momento do incidente, relatou um desconforto quando chegou no solo e também foi socorrido ao hospital.</t>
  </si>
  <si>
    <t>Queda de helicóptero após se chocar com linha de I.</t>
  </si>
  <si>
    <t>Durante inspeção em linha de I o empregado sofreu uma queda do quadriciclo.</t>
  </si>
  <si>
    <t xml:space="preserve"> A equipe de manutenção da empresa contratada estava realizando a substituição de cadeia de isoladores na LT 05S4 LGZ/OLD com a linha de I desenergizada. Durante os trabalhos, ocorreu o rompimento de uma das cadeias de isoladores e o eletricista contratado foi atingido na face pelo anel anticorona, provocando pequeno corte.</t>
  </si>
  <si>
    <t>Durante o deslocamento de retorno, o auxiliar de linhas de I perdeu o controle da direção do veículo devido a aquaplaN/Agem.</t>
  </si>
  <si>
    <t>O empregado terceirizado estava em atividade de roço de faixa da Linha de I -05V7-JDM/CMD, município de Araçás, no vão de frente da e Estrtutura-197/1-JDM/CMD. 
Quando sofreu um ataque de uma cobra jiboia, sendo picado na perna, acima da perneira.</t>
  </si>
  <si>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I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</si>
  <si>
    <t>Durante atividades da empresa contratada, intervenção para reisolamento  de Linha de I, o empregado eletricista ao final da atividade quando da retirada do aterramento da linha de 230 kV, sofreu uma descarga elétrica, sendo socorrido de imediato para o Hospital da cidade de Fagundes na PB, não resistiu vindo a óbito.</t>
  </si>
  <si>
    <t>Queda de estrutura de Linha de I durante subida para montagem da linha de vida. Empregado se ancorou em treliça que estava com parafusos oxidados que quebraram, provocando a queda do trabalhador. Normativo estabelece que deve ser testada a firmeza/integridade das treliças e suas conexões antes de usá-las como apoio.</t>
  </si>
  <si>
    <t>Durante escalada em torre de linha de I, o empregado teve um entorse muscular no braço</t>
  </si>
  <si>
    <t>Os inspetores de linha de I,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</si>
  <si>
    <t>Queda em buraco durante inspeção de linhas de I</t>
  </si>
  <si>
    <t>Empregado da Divisão de Produção I de Porto Velho, ao se deslocar da sede Administrativa para sua residência para o almoço, sofreu um acidente de trânsito com sua motocicleta. Ele teve escoriações no seu pé direito.
Divisão de Produção I de Porto Velho, ao se deslocar da sede Administrativa para sua residência para o 
almoço, sofreu um acidente de trânsito com sua motocicleta. Ele teve escoriações no seu pé direito.</t>
  </si>
  <si>
    <t>Durante deslocamento, no acesso em atividade de linhas de I, ocorreu um abalroamento do veículo de trabalho contra uma porteira, causando apeN/As danos materiais.</t>
  </si>
  <si>
    <t>O trabalhador estava realizando limpeza e organização da sala de linhas I quando caiu de um escada.</t>
  </si>
  <si>
    <t xml:space="preserve">Durante execução do serviço de roço manual de vegetação em faixa de servidão da Linha de I Tacaratu - Paulo Afonso III 04F1, a equipe identificou um enxame de abelhas italianas na vegetação e um colaborador, utilizando os EPI de apicultor, realizou a retirada do enxame após a equipe se afastar do local. Na sequência, continuaram realizando o roço mais adiante, quando encontraram novo enxame. Ao tentar se afastar do local, um colaborador correu para o lado onde havia sido retirado o primeiro enxame, havendo muitas abelhas voando no local. Ele foi atacado, recebendo diversas ferroadas. </t>
  </si>
  <si>
    <t>Durante a atividade de inspeção de linhas de I, o empregado próprio foi surpreendido por um enxame de abelhas e sofreu algumas ferroadas. </t>
  </si>
  <si>
    <t>Queda de estrutura de Linha de I, após ancoragem em treliça que estava sendo desmontada.</t>
  </si>
  <si>
    <t>Dispositivo de I de energia mecânica, NIC</t>
  </si>
  <si>
    <t>Empregado terceirizado ao realizar a atividade de concretagem da fundação da nova estrutura 386 da Linha de I Tacaimbó/Campina Grande II - 04C1, 230kV, ao se deslocar pelo local, pisou de mal jeito, vindo a torcer o pé.</t>
  </si>
  <si>
    <t>O empregado ao passar por um desvio de água durante suas atividades de inspeção de linhas de I, recebeu um solavanco do veículo, causando dor e travamento lombar</t>
  </si>
  <si>
    <t>Corte profundo na mão esquerda por impacto com objeto em movimento durante atividades em linha de I.</t>
  </si>
  <si>
    <t xml:space="preserve">Uma torre de linha de I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 </t>
  </si>
  <si>
    <t>Queda de duas torres de linha de I, classe 138 kV em decorrência de fortes ventos na noite.</t>
  </si>
  <si>
    <t xml:space="preserve">Descritivo: Um fazendeiro avistou uma torre de linha de I que estava inclinada de forma muito irregular e após constatação da irregularidade, comunicou a situação a Eletronorte. Após inspeção local, a equipe técnica confirmou que a base da torre havia sido severamente danificada e que a torre estava sendo sustentada pelos cabos. </t>
  </si>
  <si>
    <t>O empregado terceirizado, durante a movimentação de fechamento de um portão de aproximadamente 6 metros de altura (portão aposto ao portão principal do Depósito 3), uma peça metálica com roldana do trilho superior do portão (peça com dimensões aproximadas de 10x6x4 cm e peso aproximado de 1,2 kg) se desprendeu e caiu, atingindo o capacete de segurança do empregado. O EPI absorveu o impacto, e não houve ferimentos.</t>
  </si>
  <si>
    <t xml:space="preserve">Colaborador acessou a cobertura do galpão sem o uso do cinto de segurança. </t>
  </si>
  <si>
    <t>Durante tratamento de óleo do RPTA2-01, o empregado ao recolher a escada que estava sendo utilizada no serviço bateu a ponta da escada no vidro da Van vindo a quebrar.</t>
  </si>
  <si>
    <t>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t>
  </si>
  <si>
    <t>Durante o deslocamento a pé para realizar descarte de resíduos contamiN/Ados o colaborador torceu o tornozelo esquerdo ao pisar num desnível de 3cm do ralo do piso.</t>
  </si>
  <si>
    <t>Dia da Semana</t>
  </si>
  <si>
    <t xml:space="preserve">Funcionário em viagem de trabalho torceu o pé N/A escada do hotel enquanto se deslocava para o jantar.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</si>
</sst>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dddd"/>
    <numFmt numFmtId="166" formatCode="[$-F400]h:mm:ss\ AM/PM"/>
  </numFmts>
  <fonts count="15">
    <font>
      <sz val="11"/>
      <color theme="1"/>
      <name val="Calibri"/>
      <family val="2"/>
      <scheme val="minor"/>
    </font>
    <font>
      <b/>
      <sz val="8"/>
      <name val="Arial"/>
      <family val="2"/>
    </font>
    <font>
      <sz val="11"/>
      <name val="Calibri"/>
      <family val="2"/>
      <scheme val="minor"/>
    </font>
    <font>
      <sz val="11"/>
      <color rgb="FF000000"/>
      <name val="Calibri"/>
      <family val="2"/>
    </font>
    <font>
      <sz val="8"/>
      <name val="Calibri"/>
      <family val="2"/>
      <scheme val="minor"/>
    </font>
    <font>
      <sz val="11"/>
      <color rgb="FF000000"/>
      <name val="Calibri"/>
      <family val="2"/>
      <scheme val="minor"/>
    </font>
    <font>
      <i/>
      <sz val="11"/>
      <color rgb="FF000000"/>
      <name val="Calibri"/>
      <family val="2"/>
      <scheme val="minor"/>
    </font>
    <font>
      <i/>
      <sz val="11"/>
      <name val="Calibri"/>
      <family val="2"/>
      <scheme val="minor"/>
    </font>
    <font>
      <sz val="11"/>
      <color theme="4"/>
      <name val="Calibri"/>
      <family val="2"/>
      <scheme val="minor"/>
    </font>
    <font>
      <sz val="10"/>
      <color theme="1"/>
      <name val="Calibri"/>
      <family val="2"/>
      <scheme val="minor"/>
    </font>
    <font>
      <sz val="10"/>
      <name val="Calibri"/>
      <family val="2"/>
      <scheme val="minor"/>
    </font>
    <font>
      <sz val="10"/>
      <color rgb="FF000000"/>
      <name val="Calibri"/>
      <family val="2"/>
      <scheme val="minor"/>
    </font>
    <font>
      <sz val="11"/>
      <color theme="1"/>
      <name val="Aptos"/>
      <family val="2"/>
      <charset val="1"/>
    </font>
    <font>
      <b/>
      <sz val="9"/>
      <color indexed="81"/>
      <name val="Segoe UI"/>
      <family val="2"/>
    </font>
    <font>
      <sz val="11"/>
      <name val="Carlito"/>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tint="-4.9989318521683403E-2"/>
        <bgColor indexed="64"/>
      </patternFill>
    </fill>
    <fill>
      <patternFill patternType="solid">
        <fgColor rgb="FFD9D9D9"/>
        <bgColor rgb="FFD9D9D9"/>
      </patternFill>
    </fill>
    <fill>
      <patternFill patternType="solid">
        <fgColor rgb="FFFFC000"/>
        <bgColor indexed="64"/>
      </patternFill>
    </fill>
  </fills>
  <borders count="5">
    <border>
      <left/>
      <right/>
      <top/>
      <bottom/>
      <diagonal/>
    </border>
    <border>
      <left/>
      <right/>
      <top style="thin">
        <color theme="6" tint="0.39997558519241921"/>
      </top>
      <bottom style="thin">
        <color theme="6" tint="0.39997558519241921"/>
      </bottom>
      <diagonal/>
    </border>
    <border>
      <left style="thin">
        <color rgb="FF000000"/>
      </left>
      <right style="thin">
        <color rgb="FF000000"/>
      </right>
      <top style="thin">
        <color rgb="FF000000"/>
      </top>
      <bottom style="thin">
        <color rgb="FF000000"/>
      </bottom>
      <diagonal/>
    </border>
    <border>
      <left/>
      <right/>
      <top style="thin">
        <color rgb="FFC9C9C9"/>
      </top>
      <bottom style="thin">
        <color rgb="FFC9C9C9"/>
      </bottom>
      <diagonal/>
    </border>
    <border>
      <left/>
      <right/>
      <top style="thin">
        <color rgb="FFC9C9C9"/>
      </top>
      <bottom/>
      <diagonal/>
    </border>
  </borders>
  <cellStyleXfs count="2">
    <xf numFmtId="0" fontId="0" fillId="0" borderId="0"/>
    <xf numFmtId="0" fontId="14" fillId="0" borderId="0"/>
  </cellStyleXfs>
  <cellXfs count="110">
    <xf numFmtId="0" fontId="0" fillId="0" borderId="0" xfId="0"/>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166" fontId="2" fillId="0" borderId="0" xfId="0" applyNumberFormat="1" applyFont="1" applyAlignment="1">
      <alignment horizontal="left" vertical="center"/>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1" fillId="6" borderId="0" xfId="0" applyFont="1" applyFill="1" applyAlignment="1">
      <alignment horizontal="center" vertical="center" wrapText="1"/>
    </xf>
    <xf numFmtId="164" fontId="1" fillId="6" borderId="0" xfId="0" applyNumberFormat="1" applyFont="1" applyFill="1" applyAlignment="1">
      <alignment horizontal="center" vertical="center" wrapText="1"/>
    </xf>
    <xf numFmtId="0" fontId="0" fillId="2" borderId="0" xfId="0" applyFill="1"/>
    <xf numFmtId="0" fontId="2" fillId="0" borderId="1" xfId="0" applyFont="1" applyBorder="1" applyAlignment="1">
      <alignment horizontal="left" vertical="center"/>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0" borderId="1" xfId="0" applyFont="1" applyBorder="1" applyAlignment="1">
      <alignment horizontal="center" vertical="center"/>
    </xf>
    <xf numFmtId="0" fontId="0" fillId="0" borderId="1" xfId="0" applyBorder="1" applyAlignment="1">
      <alignment horizontal="left"/>
    </xf>
    <xf numFmtId="0" fontId="5" fillId="0" borderId="1" xfId="0" applyFont="1" applyBorder="1" applyAlignment="1">
      <alignment horizontal="left" vertical="center"/>
    </xf>
    <xf numFmtId="0" fontId="2" fillId="0" borderId="0" xfId="0" applyFont="1" applyAlignment="1">
      <alignment horizontal="left"/>
    </xf>
    <xf numFmtId="0" fontId="2" fillId="9" borderId="0" xfId="0" applyFont="1" applyFill="1" applyAlignment="1">
      <alignment horizontal="center" vertical="center"/>
    </xf>
    <xf numFmtId="0" fontId="5" fillId="2" borderId="0" xfId="0" applyFont="1" applyFill="1" applyAlignment="1">
      <alignment horizontal="left" vertical="center"/>
    </xf>
    <xf numFmtId="0" fontId="2" fillId="5" borderId="0" xfId="0" applyFont="1" applyFill="1" applyAlignment="1">
      <alignment horizontal="left" vertical="center"/>
    </xf>
    <xf numFmtId="0" fontId="5" fillId="8" borderId="0" xfId="0" applyFont="1" applyFill="1" applyAlignment="1">
      <alignment horizontal="left" vertical="center"/>
    </xf>
    <xf numFmtId="0" fontId="2" fillId="8" borderId="0" xfId="0" applyFont="1" applyFill="1" applyAlignment="1">
      <alignment horizontal="left" vertical="center"/>
    </xf>
    <xf numFmtId="0" fontId="2" fillId="8" borderId="0" xfId="0" applyFont="1" applyFill="1" applyAlignment="1">
      <alignment horizontal="center" vertical="center"/>
    </xf>
    <xf numFmtId="0" fontId="2" fillId="0" borderId="0" xfId="0" applyFont="1" applyAlignment="1" applyProtection="1">
      <alignment horizontal="left" vertical="center"/>
      <protection locked="0"/>
    </xf>
    <xf numFmtId="166" fontId="2" fillId="0" borderId="0" xfId="0" applyNumberFormat="1" applyFont="1" applyAlignment="1" applyProtection="1">
      <alignment horizontal="left" vertical="center"/>
      <protection locked="0"/>
    </xf>
    <xf numFmtId="14" fontId="2" fillId="0" borderId="0" xfId="0" applyNumberFormat="1" applyFont="1" applyAlignment="1" applyProtection="1">
      <alignment horizontal="left" vertical="center"/>
      <protection locked="0"/>
    </xf>
    <xf numFmtId="0" fontId="0" fillId="0" borderId="0" xfId="0" applyAlignment="1" applyProtection="1">
      <alignment horizontal="center"/>
      <protection locked="0"/>
    </xf>
    <xf numFmtId="0" fontId="2" fillId="0" borderId="0" xfId="0" applyFont="1" applyAlignment="1" applyProtection="1">
      <alignment horizontal="center" vertical="center"/>
      <protection locked="0"/>
    </xf>
    <xf numFmtId="0" fontId="5" fillId="0" borderId="0" xfId="0" applyFont="1" applyAlignment="1" applyProtection="1">
      <alignment horizontal="left" vertical="center"/>
      <protection locked="0"/>
    </xf>
    <xf numFmtId="0" fontId="2" fillId="0" borderId="0" xfId="0" applyFont="1" applyAlignment="1" applyProtection="1">
      <alignment horizontal="left"/>
      <protection locked="0"/>
    </xf>
    <xf numFmtId="0" fontId="5" fillId="0" borderId="0" xfId="0" applyFont="1" applyAlignment="1" applyProtection="1">
      <alignment horizontal="center" vertical="center"/>
      <protection locked="0"/>
    </xf>
    <xf numFmtId="0" fontId="0" fillId="0" borderId="0" xfId="0" applyAlignment="1" applyProtection="1">
      <alignment horizontal="left"/>
      <protection locked="0"/>
    </xf>
    <xf numFmtId="0" fontId="8" fillId="0" borderId="0" xfId="0" applyFont="1" applyAlignment="1" applyProtection="1">
      <alignment horizontal="center"/>
      <protection locked="0"/>
    </xf>
    <xf numFmtId="0" fontId="9" fillId="0" borderId="0" xfId="0" applyFont="1" applyAlignment="1" applyProtection="1">
      <alignment horizontal="left"/>
      <protection locked="0"/>
    </xf>
    <xf numFmtId="0" fontId="2" fillId="3" borderId="0" xfId="0" applyFont="1" applyFill="1" applyAlignment="1" applyProtection="1">
      <alignment horizontal="left" vertical="center"/>
      <protection locked="0"/>
    </xf>
    <xf numFmtId="0" fontId="5" fillId="3" borderId="0" xfId="0" applyFont="1" applyFill="1" applyAlignment="1" applyProtection="1">
      <alignment horizontal="left" vertical="center"/>
      <protection locked="0"/>
    </xf>
    <xf numFmtId="0" fontId="3" fillId="0" borderId="0" xfId="0" applyFont="1" applyAlignment="1" applyProtection="1">
      <alignment horizontal="center"/>
      <protection locked="0"/>
    </xf>
    <xf numFmtId="0" fontId="9" fillId="0" borderId="0" xfId="0" applyFont="1" applyAlignment="1">
      <alignment horizontal="left"/>
    </xf>
    <xf numFmtId="0" fontId="9" fillId="8" borderId="0" xfId="0" applyFont="1" applyFill="1" applyAlignment="1" applyProtection="1">
      <alignment horizontal="left"/>
      <protection locked="0"/>
    </xf>
    <xf numFmtId="0" fontId="2" fillId="2" borderId="0" xfId="0" applyFont="1" applyFill="1" applyAlignment="1" applyProtection="1">
      <alignment horizontal="center" vertical="center"/>
      <protection locked="0"/>
    </xf>
    <xf numFmtId="0" fontId="0" fillId="10" borderId="0" xfId="0" applyFill="1" applyAlignment="1">
      <alignment horizontal="center"/>
    </xf>
    <xf numFmtId="0" fontId="0" fillId="10" borderId="0" xfId="0" applyFill="1"/>
    <xf numFmtId="0" fontId="0" fillId="0" borderId="0" xfId="0" applyProtection="1">
      <protection locked="0"/>
    </xf>
    <xf numFmtId="0" fontId="3" fillId="0" borderId="0" xfId="0" applyFont="1"/>
    <xf numFmtId="0" fontId="9" fillId="0" borderId="0" xfId="0" applyFont="1" applyProtection="1">
      <protection locked="0"/>
    </xf>
    <xf numFmtId="0" fontId="9" fillId="0" borderId="0" xfId="0" applyFont="1" applyAlignment="1" applyProtection="1">
      <alignment horizontal="center"/>
      <protection locked="0"/>
    </xf>
    <xf numFmtId="0" fontId="9" fillId="8" borderId="0" xfId="0" applyFont="1" applyFill="1" applyAlignment="1" applyProtection="1">
      <alignment horizontal="center"/>
      <protection locked="0"/>
    </xf>
    <xf numFmtId="0" fontId="2" fillId="7" borderId="0" xfId="0" applyFont="1" applyFill="1" applyAlignment="1">
      <alignment horizontal="left" vertical="center"/>
    </xf>
    <xf numFmtId="0" fontId="5" fillId="7" borderId="0" xfId="0" applyFont="1" applyFill="1" applyAlignment="1">
      <alignment horizontal="left" vertical="center"/>
    </xf>
    <xf numFmtId="0" fontId="0" fillId="10" borderId="0" xfId="0" applyFill="1" applyAlignment="1">
      <alignment horizontal="left"/>
    </xf>
    <xf numFmtId="0" fontId="2" fillId="10" borderId="0" xfId="0" applyFont="1" applyFill="1" applyAlignment="1">
      <alignment horizontal="center" vertical="center"/>
    </xf>
    <xf numFmtId="166" fontId="5" fillId="0" borderId="0" xfId="0" applyNumberFormat="1" applyFont="1" applyAlignment="1" applyProtection="1">
      <alignment horizontal="left" vertical="center"/>
      <protection locked="0"/>
    </xf>
    <xf numFmtId="0" fontId="0" fillId="4" borderId="0" xfId="0" applyFill="1"/>
    <xf numFmtId="0" fontId="11" fillId="0" borderId="0" xfId="0" applyFont="1" applyAlignment="1" applyProtection="1">
      <alignment horizontal="left"/>
      <protection locked="0"/>
    </xf>
    <xf numFmtId="16" fontId="2" fillId="0" borderId="0" xfId="0" quotePrefix="1" applyNumberFormat="1" applyFont="1" applyAlignment="1">
      <alignment horizontal="left"/>
    </xf>
    <xf numFmtId="16" fontId="0" fillId="0" borderId="0" xfId="0" quotePrefix="1" applyNumberFormat="1" applyAlignment="1">
      <alignment horizontal="left"/>
    </xf>
    <xf numFmtId="0" fontId="2" fillId="2" borderId="0" xfId="0" applyFont="1" applyFill="1" applyAlignment="1" applyProtection="1">
      <alignment horizontal="left" vertical="center"/>
      <protection locked="0"/>
    </xf>
    <xf numFmtId="0" fontId="0" fillId="0" borderId="1" xfId="0" applyBorder="1" applyAlignment="1">
      <alignment horizontal="center"/>
    </xf>
    <xf numFmtId="0" fontId="5" fillId="2" borderId="0" xfId="0" applyFont="1" applyFill="1" applyAlignment="1" applyProtection="1">
      <alignment horizontal="left" vertical="center"/>
      <protection locked="0"/>
    </xf>
    <xf numFmtId="0" fontId="2" fillId="0" borderId="1" xfId="0" applyFont="1" applyBorder="1" applyAlignment="1" applyProtection="1">
      <alignment horizontal="left" vertical="center"/>
      <protection locked="0"/>
    </xf>
    <xf numFmtId="0" fontId="2" fillId="0" borderId="2" xfId="0" applyFont="1" applyBorder="1" applyAlignment="1">
      <alignment horizontal="left" vertical="center"/>
    </xf>
    <xf numFmtId="0" fontId="2" fillId="3" borderId="0" xfId="0" applyFont="1" applyFill="1" applyAlignment="1" applyProtection="1">
      <alignment horizontal="center" vertical="center"/>
      <protection locked="0"/>
    </xf>
    <xf numFmtId="0" fontId="2" fillId="0" borderId="3" xfId="0" applyFont="1" applyBorder="1" applyAlignment="1">
      <alignment horizontal="left" vertical="center"/>
    </xf>
    <xf numFmtId="14" fontId="2" fillId="0" borderId="0" xfId="0" applyNumberFormat="1" applyFont="1" applyAlignment="1" applyProtection="1">
      <alignment horizontal="center" vertical="center"/>
      <protection locked="0"/>
    </xf>
    <xf numFmtId="0" fontId="2" fillId="0" borderId="3" xfId="0" applyFont="1" applyBorder="1" applyAlignment="1">
      <alignment horizontal="center" vertical="center"/>
    </xf>
    <xf numFmtId="0" fontId="2" fillId="0" borderId="3" xfId="0" applyFont="1" applyBorder="1" applyAlignment="1" applyProtection="1">
      <alignment horizontal="left" vertical="center"/>
      <protection locked="0"/>
    </xf>
    <xf numFmtId="0" fontId="2" fillId="0" borderId="0" xfId="0" applyFont="1"/>
    <xf numFmtId="0" fontId="0" fillId="0" borderId="0" xfId="0" applyAlignment="1">
      <alignment wrapText="1"/>
    </xf>
    <xf numFmtId="0" fontId="12" fillId="0" borderId="0" xfId="0" applyFont="1"/>
    <xf numFmtId="0" fontId="2" fillId="2" borderId="0" xfId="0" applyFont="1" applyFill="1" applyAlignment="1" applyProtection="1">
      <alignment horizontal="left"/>
      <protection locked="0"/>
    </xf>
    <xf numFmtId="0" fontId="2" fillId="0" borderId="0" xfId="0" applyFont="1" applyAlignment="1" applyProtection="1">
      <alignment horizontal="center" vertical="center" wrapText="1"/>
      <protection locked="0"/>
    </xf>
    <xf numFmtId="166" fontId="2" fillId="0" borderId="0" xfId="0" applyNumberFormat="1" applyFont="1" applyAlignment="1" applyProtection="1">
      <alignment vertical="center"/>
      <protection locked="0"/>
    </xf>
    <xf numFmtId="0" fontId="5" fillId="11" borderId="0" xfId="0" applyFont="1" applyFill="1" applyAlignment="1">
      <alignment horizontal="left"/>
    </xf>
    <xf numFmtId="0" fontId="5" fillId="0" borderId="0" xfId="0" applyFont="1" applyAlignment="1">
      <alignment horizontal="left"/>
    </xf>
    <xf numFmtId="0" fontId="2" fillId="11" borderId="0" xfId="0" applyFont="1" applyFill="1" applyAlignment="1">
      <alignment horizontal="left" vertical="center"/>
    </xf>
    <xf numFmtId="0" fontId="5" fillId="11" borderId="0" xfId="0" applyFont="1" applyFill="1" applyAlignment="1">
      <alignment horizontal="left" vertical="center"/>
    </xf>
    <xf numFmtId="0" fontId="2" fillId="11" borderId="0" xfId="0" applyFont="1" applyFill="1" applyAlignment="1">
      <alignment horizontal="center" vertical="center"/>
    </xf>
    <xf numFmtId="0" fontId="5" fillId="0" borderId="1" xfId="0" applyFont="1" applyBorder="1" applyAlignment="1" applyProtection="1">
      <alignment horizontal="left" vertical="center"/>
      <protection locked="0"/>
    </xf>
    <xf numFmtId="0" fontId="9" fillId="0" borderId="1" xfId="0" applyFont="1" applyBorder="1" applyAlignment="1" applyProtection="1">
      <alignment horizontal="left"/>
      <protection locked="0"/>
    </xf>
    <xf numFmtId="0" fontId="2" fillId="0" borderId="1" xfId="0" applyFont="1" applyBorder="1" applyAlignment="1" applyProtection="1">
      <alignment horizontal="center" vertical="center"/>
      <protection locked="0"/>
    </xf>
    <xf numFmtId="0" fontId="2" fillId="2" borderId="1" xfId="0" applyFont="1" applyFill="1" applyBorder="1" applyAlignment="1">
      <alignment horizontal="center" vertical="center"/>
    </xf>
    <xf numFmtId="0" fontId="9" fillId="0" borderId="3" xfId="0" applyFont="1" applyBorder="1" applyAlignment="1" applyProtection="1">
      <alignment horizontal="left"/>
      <protection locked="0"/>
    </xf>
    <xf numFmtId="0" fontId="2" fillId="0" borderId="3" xfId="0" applyFont="1" applyBorder="1" applyAlignment="1" applyProtection="1">
      <alignment horizontal="center" vertical="center"/>
      <protection locked="0"/>
    </xf>
    <xf numFmtId="0" fontId="9" fillId="2" borderId="0" xfId="0" applyFont="1" applyFill="1" applyAlignment="1" applyProtection="1">
      <alignment horizontal="left"/>
      <protection locked="0"/>
    </xf>
    <xf numFmtId="166" fontId="2" fillId="2" borderId="0" xfId="0" applyNumberFormat="1" applyFont="1" applyFill="1" applyAlignment="1">
      <alignment horizontal="left" vertical="center"/>
    </xf>
    <xf numFmtId="0" fontId="5" fillId="2" borderId="0" xfId="0" applyFont="1" applyFill="1" applyAlignment="1">
      <alignment horizontal="center" vertical="center"/>
    </xf>
    <xf numFmtId="0" fontId="0" fillId="12" borderId="0" xfId="0" applyFill="1" applyAlignment="1">
      <alignment horizontal="left"/>
    </xf>
    <xf numFmtId="0" fontId="2" fillId="12" borderId="0" xfId="0" applyFont="1" applyFill="1" applyAlignment="1">
      <alignment horizontal="left" vertical="center"/>
    </xf>
    <xf numFmtId="0" fontId="5" fillId="12" borderId="0" xfId="0" applyFont="1" applyFill="1" applyAlignment="1">
      <alignment horizontal="left" vertical="center"/>
    </xf>
    <xf numFmtId="0" fontId="2" fillId="12" borderId="0" xfId="0" applyFont="1" applyFill="1" applyAlignment="1">
      <alignment horizontal="center" vertical="center"/>
    </xf>
    <xf numFmtId="166" fontId="2" fillId="12" borderId="0" xfId="0" applyNumberFormat="1" applyFont="1" applyFill="1" applyAlignment="1">
      <alignment horizontal="left" vertical="center"/>
    </xf>
    <xf numFmtId="0" fontId="5" fillId="12" borderId="0" xfId="0" applyFont="1" applyFill="1" applyAlignment="1">
      <alignment horizontal="center" vertical="center"/>
    </xf>
    <xf numFmtId="0" fontId="0" fillId="12" borderId="0" xfId="0" applyFill="1"/>
    <xf numFmtId="0" fontId="0" fillId="12" borderId="0" xfId="0" applyFill="1" applyProtection="1">
      <protection locked="0"/>
    </xf>
    <xf numFmtId="0" fontId="11" fillId="12" borderId="0" xfId="0" applyFont="1" applyFill="1" applyAlignment="1" applyProtection="1">
      <alignment horizontal="left"/>
      <protection locked="0"/>
    </xf>
    <xf numFmtId="166" fontId="2" fillId="0" borderId="0" xfId="0" applyNumberFormat="1" applyFont="1" applyAlignment="1" applyProtection="1">
      <alignment horizontal="left" vertical="center" wrapText="1"/>
      <protection locked="0"/>
    </xf>
    <xf numFmtId="0" fontId="10" fillId="0" borderId="0" xfId="0" applyFont="1" applyAlignment="1" applyProtection="1">
      <alignment horizontal="left"/>
      <protection locked="0"/>
    </xf>
    <xf numFmtId="0" fontId="2" fillId="0" borderId="4" xfId="0" applyFont="1" applyBorder="1" applyAlignment="1">
      <alignment horizontal="left" vertical="center"/>
    </xf>
    <xf numFmtId="166" fontId="0" fillId="0" borderId="0" xfId="0" applyNumberFormat="1" applyAlignment="1">
      <alignment horizontal="left" vertical="center"/>
    </xf>
    <xf numFmtId="0" fontId="6" fillId="0" borderId="0" xfId="0" applyFont="1" applyAlignment="1">
      <alignment horizontal="center" vertical="center"/>
    </xf>
    <xf numFmtId="0" fontId="7" fillId="0" borderId="0" xfId="0" applyFont="1" applyAlignment="1">
      <alignment horizontal="center" vertical="center"/>
    </xf>
    <xf numFmtId="165" fontId="2" fillId="0" borderId="0" xfId="0" applyNumberFormat="1" applyFont="1" applyAlignment="1">
      <alignment horizontal="left" vertical="center"/>
    </xf>
    <xf numFmtId="0" fontId="0" fillId="0" borderId="0" xfId="0" applyAlignment="1">
      <alignment horizontal="left" wrapText="1"/>
    </xf>
    <xf numFmtId="166" fontId="2" fillId="0" borderId="0" xfId="0" applyNumberFormat="1" applyFont="1" applyAlignment="1">
      <alignment horizontal="left" vertical="center" wrapText="1"/>
    </xf>
    <xf numFmtId="0" fontId="2" fillId="0" borderId="0" xfId="0" applyFont="1" applyAlignment="1">
      <alignment horizontal="left" vertical="center" wrapText="1"/>
    </xf>
  </cellXfs>
  <cellStyles count="2">
    <cellStyle name="Normal" xfId="0" builtinId="0"/>
    <cellStyle name="Normal 2" xfId="1" xr:uid="{1FD16941-44BC-41DB-A851-EF6EEA7AFA44}"/>
  </cellStyles>
  <dxfs count="22">
    <dxf>
      <font>
        <b val="0"/>
        <i val="0"/>
        <strike val="0"/>
        <condense val="0"/>
        <extend val="0"/>
        <outline val="0"/>
        <shadow val="0"/>
        <u val="none"/>
        <vertAlign val="baseline"/>
        <sz val="11"/>
        <color auto="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F400]h:mm:ss\ AM/PM"/>
      <fill>
        <patternFill patternType="none">
          <bgColor auto="1"/>
        </patternFill>
      </fill>
      <alignment horizontal="left" vertical="center" textRotation="0" wrapText="0" indent="0" justifyLastLine="0" shrinkToFit="0" readingOrder="0"/>
    </dxf>
    <dxf>
      <font>
        <b val="0"/>
      </font>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alignment horizontal="center" vertical="center" textRotation="0" wrapText="1" indent="0" justifyLastLine="0" shrinkToFit="0" readingOrder="0"/>
    </dxf>
  </dxfs>
  <tableStyles count="0" defaultTableStyle="TableStyleMedium2" defaultPivotStyle="PivotStyleLight16"/>
  <colors>
    <mruColors>
      <color rgb="FFC9DA2A"/>
      <color rgb="FF0072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D4561549-3755-44CD-8553-59D677B9C3E6}"/>
</namedSheetViews>
</file>

<file path=xl/persons/person.xml><?xml version="1.0" encoding="utf-8"?>
<personList xmlns="http://schemas.microsoft.com/office/spreadsheetml/2018/threadedcomments" xmlns:x="http://schemas.openxmlformats.org/spreadsheetml/2006/main">
  <person displayName="Maria Claudia Sousa da Costa" id="{3C736F33-7BD8-4E45-AAF0-585BD75E5F69}" userId="S::claudiac@chesf.com.br::b0139aa2-8611-4f7d-8fc0-3096580bff6c" providerId="AD"/>
  <person displayName="Maria Claudia Sousa da Costa" id="{F13FC6C8-6E0D-40C3-A87B-0453E2AACA96}" userId="S::claudia.costa@eletrobras.com::1962d099-ba69-42c1-b55c-31c5633dd4f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45B31F-F5CF-4DC0-B2EE-BC2E713C4807}" name="Tabela1" displayName="Tabela1" ref="A1:T1719" totalsRowShown="0" headerRowDxfId="21" dataDxfId="20">
  <autoFilter ref="A1:T1719" xr:uid="{2845B31F-F5CF-4DC0-B2EE-BC2E713C4807}">
    <filterColumn colId="1">
      <filters>
        <filter val="I"/>
      </filters>
    </filterColumn>
  </autoFilter>
  <tableColumns count="20">
    <tableColumn id="3" xr3:uid="{88D5538D-FB99-4154-A9AF-1C65CFD30A45}" name="Classificação" dataDxfId="19"/>
    <tableColumn id="7" xr3:uid="{F7721178-961C-405C-A39F-D2B728D838D4}" name="Segmento" dataDxfId="18"/>
    <tableColumn id="13" xr3:uid="{6678DA52-DB39-4E3A-A766-8028BA44DA86}" name="Faixas de experiência" dataDxfId="17"/>
    <tableColumn id="14" xr3:uid="{496BC890-96F2-44E6-B039-4949E96EE3D0}" name="Dia da Semana" dataDxfId="16"/>
    <tableColumn id="15" xr3:uid="{0C0BD64A-431D-4053-9D73-A53874795747}" name="Dia" dataDxfId="15"/>
    <tableColumn id="16" xr3:uid="{925E5BAB-4928-4E7D-879F-B51B55120B85}" name="Mês" dataDxfId="14"/>
    <tableColumn id="17" xr3:uid="{854C68DB-F7E4-488F-A84E-7C3EFE18B12D}" name="Ano" dataDxfId="13"/>
    <tableColumn id="18" xr3:uid="{D1E02179-F0A2-4098-B998-1DE5E3E7E82A}" name="Hora" dataDxfId="12"/>
    <tableColumn id="19" xr3:uid="{16909992-DF23-46D0-BBAA-53E8135A8735}" name="Descrição" dataDxfId="11"/>
    <tableColumn id="23" xr3:uid="{31E7DAD5-AA54-4507-9599-1411D6C31E4B}" name="Estado" dataDxfId="10"/>
    <tableColumn id="31" xr3:uid="{F374DCBF-D556-4A6C-89F9-0CB0E9A2E9A3}" name="Dias Perdidos" dataDxfId="9"/>
    <tableColumn id="32" xr3:uid="{ECE23C4B-02F1-43E5-A061-944E2052D39B}" name="Dias Debitados" dataDxfId="8"/>
    <tableColumn id="33" xr3:uid="{F044AD6C-D244-4BBF-B1D4-F378B63099B6}" name="Reabilitado" dataDxfId="7"/>
    <tableColumn id="34" xr3:uid="{E4CE3210-62E0-4C18-8788-F30A37F32188}" name="Dias Perdidos Corrigidos" dataDxfId="6"/>
    <tableColumn id="37" xr3:uid="{0223B46E-294E-4C79-8D12-780AEF69EBF7}" name="Agente Causador" dataDxfId="5"/>
    <tableColumn id="40" xr3:uid="{9F566434-9B58-4A95-B40C-9ECE7C2789E5}" name="Gravidade" dataDxfId="4"/>
    <tableColumn id="61" xr3:uid="{BE7E2EBD-B065-4DDD-8714-AB79C1755CA1}" name="Potencial" dataDxfId="3"/>
    <tableColumn id="41" xr3:uid="{6DFEEC1A-0BB1-46B0-9AFB-A66283038318}" name="Grau de Risco" dataDxfId="2"/>
    <tableColumn id="43" xr3:uid="{8DBEC1BA-84A5-4CCF-BBFC-6ED3A7B8FC93}" name="Compromissos (Regra de Ouro)" dataDxfId="1"/>
    <tableColumn id="1" xr3:uid="{DC05DCD1-763D-4A5A-9600-11B06A1677BE}" name="Evento_Crítico_Target" dataDxfId="0">
      <calculatedColumnFormula>IF(OR(Tabela1[[#This Row],[Grau de Risco]]="Médio",Tabela1[[#This Row],[Grau de Risco]]="Baixo"),"Não","Sim")</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744" dT="2024-04-23T18:12:56.16" personId="{F13FC6C8-6E0D-40C3-A87B-0453E2AACA96}" id="{3C5B502F-9905-491F-9DB8-DD87BC633332}">
    <text>Alterar para 1 dia afastamento</text>
  </threadedComment>
  <threadedComment ref="A1609" dT="2023-09-25T12:08:12.05" personId="{3C736F33-7BD8-4E45-AAF0-585BD75E5F69}" id="{252A8683-ED2D-43E4-813B-0353A1FC00F0}">
    <text>Incidente (Bens materiais)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3E98-1A53-4708-994A-AA89D999B5F1}">
  <sheetPr codeName="Planilha2">
    <tabColor theme="9" tint="0.79998168889431442"/>
  </sheetPr>
  <dimension ref="A1:T1719"/>
  <sheetViews>
    <sheetView showGridLines="0" tabSelected="1" zoomScale="115" zoomScaleNormal="115" workbookViewId="0">
      <selection activeCell="B13" sqref="B13"/>
    </sheetView>
  </sheetViews>
  <sheetFormatPr defaultColWidth="9.44140625" defaultRowHeight="14.4"/>
  <cols>
    <col min="1" max="1" width="39.33203125" style="5" customWidth="1"/>
    <col min="2" max="2" width="30.109375" style="6" customWidth="1"/>
    <col min="3" max="3" width="20.21875" style="5" customWidth="1"/>
    <col min="4" max="4" width="15.33203125" style="5" customWidth="1"/>
    <col min="5" max="5" width="5.88671875" style="2" customWidth="1"/>
    <col min="6" max="6" width="5.77734375" style="2" customWidth="1"/>
    <col min="7" max="7" width="6.77734375" style="2" customWidth="1"/>
    <col min="8" max="8" width="11.6640625" style="5" customWidth="1"/>
    <col min="9" max="9" width="207.33203125" style="5" customWidth="1"/>
    <col min="10" max="10" width="11.88671875" style="5" bestFit="1" customWidth="1"/>
    <col min="11" max="11" width="12.6640625" style="2" bestFit="1" customWidth="1"/>
    <col min="12" max="12" width="13.44140625" style="2" bestFit="1" customWidth="1"/>
    <col min="13" max="13" width="13.44140625" style="5" bestFit="1" customWidth="1"/>
    <col min="14" max="14" width="13.5546875" style="5" bestFit="1" customWidth="1"/>
    <col min="15" max="15" width="122.33203125" style="5" bestFit="1" customWidth="1"/>
    <col min="16" max="16" width="12.6640625" style="2" bestFit="1" customWidth="1"/>
    <col min="17" max="17" width="13.33203125" style="2" bestFit="1" customWidth="1"/>
    <col min="18" max="18" width="12.77734375" style="2" bestFit="1" customWidth="1"/>
    <col min="19" max="19" width="32.21875" style="5" bestFit="1" customWidth="1"/>
    <col min="20" max="20" width="21.5546875" customWidth="1"/>
  </cols>
  <sheetData>
    <row r="1" spans="1:20" s="8" customFormat="1" ht="51" customHeight="1">
      <c r="A1" s="12" t="s">
        <v>1</v>
      </c>
      <c r="B1" s="8" t="s">
        <v>5</v>
      </c>
      <c r="C1" s="8" t="s">
        <v>1570</v>
      </c>
      <c r="D1" s="8" t="s">
        <v>1845</v>
      </c>
      <c r="E1" s="12" t="s">
        <v>12</v>
      </c>
      <c r="F1" s="12" t="s">
        <v>3</v>
      </c>
      <c r="G1" s="12" t="s">
        <v>0</v>
      </c>
      <c r="H1" s="8" t="s">
        <v>13</v>
      </c>
      <c r="I1" s="12" t="s">
        <v>14</v>
      </c>
      <c r="J1" s="8" t="s">
        <v>15</v>
      </c>
      <c r="K1" s="12" t="s">
        <v>16</v>
      </c>
      <c r="L1" s="12" t="s">
        <v>17</v>
      </c>
      <c r="M1" s="8" t="s">
        <v>18</v>
      </c>
      <c r="N1" s="8" t="s">
        <v>19</v>
      </c>
      <c r="O1" s="8" t="s">
        <v>20</v>
      </c>
      <c r="P1" s="12" t="s">
        <v>21</v>
      </c>
      <c r="Q1" s="13" t="s">
        <v>22</v>
      </c>
      <c r="R1" s="13" t="s">
        <v>23</v>
      </c>
      <c r="S1" s="9" t="s">
        <v>24</v>
      </c>
      <c r="T1" s="8" t="s">
        <v>1569</v>
      </c>
    </row>
    <row r="2" spans="1:20" hidden="1">
      <c r="A2" s="4" t="s">
        <v>9</v>
      </c>
      <c r="B2" s="10" t="s">
        <v>1793</v>
      </c>
      <c r="C2" s="4" t="s">
        <v>41</v>
      </c>
      <c r="D2" s="38" t="s">
        <v>1393</v>
      </c>
      <c r="E2" s="3">
        <v>12</v>
      </c>
      <c r="F2" s="3">
        <v>12</v>
      </c>
      <c r="G2" s="3">
        <v>2023</v>
      </c>
      <c r="H2" s="36" t="s">
        <v>112</v>
      </c>
      <c r="I2" s="7" t="s">
        <v>642</v>
      </c>
      <c r="J2" s="4" t="s">
        <v>93</v>
      </c>
      <c r="K2" s="3">
        <v>50</v>
      </c>
      <c r="L2" s="3">
        <v>0</v>
      </c>
      <c r="M2" s="4" t="s">
        <v>30</v>
      </c>
      <c r="N2" s="4">
        <v>0</v>
      </c>
      <c r="O2" s="4" t="s">
        <v>101</v>
      </c>
      <c r="P2" s="3" t="s">
        <v>31</v>
      </c>
      <c r="Q2" s="11">
        <v>11</v>
      </c>
      <c r="R2" s="3" t="s">
        <v>31</v>
      </c>
      <c r="S2" s="10" t="s">
        <v>63</v>
      </c>
      <c r="T2" s="4" t="str">
        <f>IF(OR(Tabela1[[#This Row],[Grau de Risco]]="Médio",Tabela1[[#This Row],[Grau de Risco]]="Baixo"),"Não","Sim")</f>
        <v>Não</v>
      </c>
    </row>
    <row r="3" spans="1:20">
      <c r="A3" s="4" t="s">
        <v>9</v>
      </c>
      <c r="B3" s="10" t="s">
        <v>1809</v>
      </c>
      <c r="C3" s="4" t="s">
        <v>81</v>
      </c>
      <c r="D3" s="38" t="s">
        <v>1320</v>
      </c>
      <c r="E3" s="3">
        <v>28</v>
      </c>
      <c r="F3" s="3">
        <v>7</v>
      </c>
      <c r="G3" s="3">
        <v>2025</v>
      </c>
      <c r="H3" s="36" t="s">
        <v>375</v>
      </c>
      <c r="I3" s="7" t="s">
        <v>1366</v>
      </c>
      <c r="J3" s="4" t="s">
        <v>84</v>
      </c>
      <c r="K3" s="3">
        <v>6</v>
      </c>
      <c r="L3" s="3">
        <v>0</v>
      </c>
      <c r="M3" s="4" t="s">
        <v>30</v>
      </c>
      <c r="N3" s="4"/>
      <c r="O3" s="4"/>
      <c r="P3" s="3" t="s">
        <v>31</v>
      </c>
      <c r="Q3" s="11">
        <v>10</v>
      </c>
      <c r="R3" s="3" t="s">
        <v>31</v>
      </c>
      <c r="S3" s="10" t="s">
        <v>56</v>
      </c>
      <c r="T3" s="4" t="str">
        <f>IF(OR(Tabela1[[#This Row],[Grau de Risco]]="Médio",Tabela1[[#This Row],[Grau de Risco]]="Baixo"),"Não","Sim")</f>
        <v>Não</v>
      </c>
    </row>
    <row r="4" spans="1:20" hidden="1">
      <c r="A4" s="28" t="s">
        <v>7</v>
      </c>
      <c r="B4" s="33" t="s">
        <v>1802</v>
      </c>
      <c r="C4" s="28" t="s">
        <v>81</v>
      </c>
      <c r="D4" s="28" t="s">
        <v>1409</v>
      </c>
      <c r="E4" s="32">
        <v>7</v>
      </c>
      <c r="F4" s="32">
        <v>8</v>
      </c>
      <c r="G4" s="32">
        <v>2025</v>
      </c>
      <c r="H4" s="34" t="s">
        <v>33</v>
      </c>
      <c r="I4" s="29" t="s">
        <v>1391</v>
      </c>
      <c r="J4" s="28" t="s">
        <v>61</v>
      </c>
      <c r="K4" s="32"/>
      <c r="L4" s="32"/>
      <c r="M4" s="28"/>
      <c r="N4" s="28"/>
      <c r="O4" s="28" t="s">
        <v>88</v>
      </c>
      <c r="P4" s="32"/>
      <c r="Q4" s="35">
        <v>12</v>
      </c>
      <c r="R4" s="32" t="s">
        <v>31</v>
      </c>
      <c r="S4" s="33" t="s">
        <v>4</v>
      </c>
      <c r="T4" s="4" t="str">
        <f>IF(OR(Tabela1[[#This Row],[Grau de Risco]]="Médio",Tabela1[[#This Row],[Grau de Risco]]="Baixo"),"Não","Sim")</f>
        <v>Não</v>
      </c>
    </row>
    <row r="5" spans="1:20">
      <c r="A5" s="5" t="s">
        <v>2</v>
      </c>
      <c r="B5" s="10" t="s">
        <v>1809</v>
      </c>
      <c r="C5" s="5" t="s">
        <v>81</v>
      </c>
      <c r="D5" s="38" t="s">
        <v>47</v>
      </c>
      <c r="E5" s="2">
        <v>29</v>
      </c>
      <c r="F5" s="2">
        <v>7</v>
      </c>
      <c r="G5" s="2">
        <v>2022</v>
      </c>
      <c r="H5" s="36" t="s">
        <v>82</v>
      </c>
      <c r="I5" s="5" t="s">
        <v>241</v>
      </c>
      <c r="J5" s="5" t="s">
        <v>169</v>
      </c>
      <c r="K5" s="2">
        <v>1</v>
      </c>
      <c r="L5" s="2">
        <v>1</v>
      </c>
      <c r="M5" s="5" t="s">
        <v>30</v>
      </c>
      <c r="O5" s="5" t="s">
        <v>45</v>
      </c>
      <c r="P5" s="2" t="s">
        <v>31</v>
      </c>
      <c r="Q5" s="2">
        <v>4</v>
      </c>
      <c r="R5" s="2" t="s">
        <v>102</v>
      </c>
      <c r="S5" s="5" t="s">
        <v>56</v>
      </c>
      <c r="T5" s="4" t="str">
        <f>IF(OR(Tabela1[[#This Row],[Grau de Risco]]="Médio",Tabela1[[#This Row],[Grau de Risco]]="Baixo"),"Não","Sim")</f>
        <v>Sim</v>
      </c>
    </row>
    <row r="6" spans="1:20">
      <c r="A6" s="5" t="s">
        <v>2</v>
      </c>
      <c r="B6" s="10" t="s">
        <v>1809</v>
      </c>
      <c r="C6" s="5" t="s">
        <v>81</v>
      </c>
      <c r="D6" s="38" t="s">
        <v>1320</v>
      </c>
      <c r="E6" s="2">
        <v>25</v>
      </c>
      <c r="F6" s="2">
        <v>7</v>
      </c>
      <c r="G6" s="2">
        <v>2022</v>
      </c>
      <c r="H6" s="36" t="s">
        <v>82</v>
      </c>
      <c r="I6" s="5" t="s">
        <v>283</v>
      </c>
      <c r="J6" s="5" t="s">
        <v>38</v>
      </c>
      <c r="K6" s="2">
        <v>1</v>
      </c>
      <c r="L6" s="2">
        <v>1</v>
      </c>
      <c r="M6" s="5" t="s">
        <v>30</v>
      </c>
      <c r="O6" s="5" t="s">
        <v>85</v>
      </c>
      <c r="P6" s="2" t="s">
        <v>31</v>
      </c>
      <c r="Q6" s="2">
        <v>4</v>
      </c>
      <c r="R6" s="2" t="s">
        <v>102</v>
      </c>
      <c r="S6" s="5" t="s">
        <v>40</v>
      </c>
      <c r="T6" s="4" t="str">
        <f>IF(OR(Tabela1[[#This Row],[Grau de Risco]]="Médio",Tabela1[[#This Row],[Grau de Risco]]="Baixo"),"Não","Sim")</f>
        <v>Sim</v>
      </c>
    </row>
    <row r="7" spans="1:20" hidden="1">
      <c r="A7" s="4" t="s">
        <v>9</v>
      </c>
      <c r="B7" s="10" t="s">
        <v>1793</v>
      </c>
      <c r="C7" s="4" t="s">
        <v>41</v>
      </c>
      <c r="D7" s="38" t="s">
        <v>47</v>
      </c>
      <c r="E7" s="3">
        <v>16</v>
      </c>
      <c r="F7" s="3">
        <v>6</v>
      </c>
      <c r="G7" s="3">
        <v>2023</v>
      </c>
      <c r="H7" s="36" t="s">
        <v>112</v>
      </c>
      <c r="I7" s="7" t="s">
        <v>418</v>
      </c>
      <c r="J7" s="4" t="s">
        <v>54</v>
      </c>
      <c r="K7" s="3">
        <v>4</v>
      </c>
      <c r="L7" s="3">
        <v>4</v>
      </c>
      <c r="M7" s="4" t="s">
        <v>30</v>
      </c>
      <c r="N7" s="4">
        <v>0</v>
      </c>
      <c r="O7" s="4" t="s">
        <v>386</v>
      </c>
      <c r="P7" s="3" t="s">
        <v>102</v>
      </c>
      <c r="Q7" s="11">
        <v>5</v>
      </c>
      <c r="R7" s="3" t="s">
        <v>102</v>
      </c>
      <c r="S7" s="10" t="s">
        <v>63</v>
      </c>
      <c r="T7" s="4" t="str">
        <f>IF(OR(Tabela1[[#This Row],[Grau de Risco]]="Médio",Tabela1[[#This Row],[Grau de Risco]]="Baixo"),"Não","Sim")</f>
        <v>Sim</v>
      </c>
    </row>
    <row r="8" spans="1:20" hidden="1">
      <c r="A8" s="4" t="s">
        <v>2</v>
      </c>
      <c r="B8" s="10" t="s">
        <v>1805</v>
      </c>
      <c r="C8" s="4" t="s">
        <v>81</v>
      </c>
      <c r="D8" s="38" t="s">
        <v>1382</v>
      </c>
      <c r="E8" s="3">
        <v>22</v>
      </c>
      <c r="F8" s="3">
        <v>11</v>
      </c>
      <c r="G8" s="3">
        <v>2023</v>
      </c>
      <c r="H8" s="36" t="s">
        <v>33</v>
      </c>
      <c r="I8" s="7" t="s">
        <v>493</v>
      </c>
      <c r="J8" s="4" t="s">
        <v>192</v>
      </c>
      <c r="K8" s="3">
        <v>3</v>
      </c>
      <c r="L8" s="3">
        <v>0</v>
      </c>
      <c r="M8" s="4" t="s">
        <v>30</v>
      </c>
      <c r="N8" s="4">
        <v>0</v>
      </c>
      <c r="O8" s="4" t="s">
        <v>4</v>
      </c>
      <c r="P8" s="3" t="s">
        <v>52</v>
      </c>
      <c r="Q8" s="11">
        <v>16</v>
      </c>
      <c r="R8" s="3" t="str">
        <f>IF(Q8="","",IF(Q8&lt;4,"Crítico",IF(Q8&lt;9,"Alto",IF(Q8&lt;14,"Médio","Baixo"))))</f>
        <v>Baixo</v>
      </c>
      <c r="S8" s="5" t="s">
        <v>56</v>
      </c>
      <c r="T8" s="4" t="str">
        <f>IF(OR(Tabela1[[#This Row],[Grau de Risco]]="Médio",Tabela1[[#This Row],[Grau de Risco]]="Baixo"),"Não","Sim")</f>
        <v>Não</v>
      </c>
    </row>
    <row r="9" spans="1:20" hidden="1">
      <c r="A9" s="4" t="s">
        <v>8</v>
      </c>
      <c r="B9" s="10" t="s">
        <v>1805</v>
      </c>
      <c r="C9" s="4" t="s">
        <v>81</v>
      </c>
      <c r="D9" s="38" t="s">
        <v>1382</v>
      </c>
      <c r="E9" s="3">
        <v>3</v>
      </c>
      <c r="F9" s="3">
        <v>8</v>
      </c>
      <c r="G9" s="3">
        <v>2023</v>
      </c>
      <c r="H9" s="36" t="s">
        <v>112</v>
      </c>
      <c r="I9" s="7" t="s">
        <v>614</v>
      </c>
      <c r="J9" s="4" t="s">
        <v>54</v>
      </c>
      <c r="K9" s="3">
        <v>0</v>
      </c>
      <c r="L9" s="3"/>
      <c r="M9" s="4"/>
      <c r="N9" s="4"/>
      <c r="O9" s="4" t="s">
        <v>88</v>
      </c>
      <c r="P9" s="3" t="s">
        <v>52</v>
      </c>
      <c r="Q9" s="11">
        <v>15</v>
      </c>
      <c r="R9" s="3" t="s">
        <v>52</v>
      </c>
      <c r="S9" s="5" t="s">
        <v>56</v>
      </c>
      <c r="T9" s="4" t="str">
        <f>IF(OR(Tabela1[[#This Row],[Grau de Risco]]="Médio",Tabela1[[#This Row],[Grau de Risco]]="Baixo"),"Não","Sim")</f>
        <v>Não</v>
      </c>
    </row>
    <row r="10" spans="1:20">
      <c r="A10" s="4" t="s">
        <v>8</v>
      </c>
      <c r="B10" s="10" t="s">
        <v>1809</v>
      </c>
      <c r="C10" s="4" t="s">
        <v>81</v>
      </c>
      <c r="D10" s="5" t="s">
        <v>1409</v>
      </c>
      <c r="E10" s="3">
        <v>20</v>
      </c>
      <c r="F10" s="3">
        <v>10</v>
      </c>
      <c r="G10" s="3">
        <v>2023</v>
      </c>
      <c r="H10" s="5" t="s">
        <v>71</v>
      </c>
      <c r="I10" s="7" t="s">
        <v>656</v>
      </c>
      <c r="J10" s="4" t="s">
        <v>290</v>
      </c>
      <c r="K10" s="3" t="s">
        <v>62</v>
      </c>
      <c r="L10" s="3">
        <v>0</v>
      </c>
      <c r="M10" s="4" t="s">
        <v>30</v>
      </c>
      <c r="N10" s="4">
        <v>0</v>
      </c>
      <c r="O10" s="4" t="s">
        <v>413</v>
      </c>
      <c r="P10" s="3" t="s">
        <v>52</v>
      </c>
      <c r="Q10" s="11">
        <v>11</v>
      </c>
      <c r="R10" s="3" t="s">
        <v>31</v>
      </c>
      <c r="S10" s="10" t="s">
        <v>141</v>
      </c>
      <c r="T10" s="4" t="str">
        <f>IF(OR(Tabela1[[#This Row],[Grau de Risco]]="Médio",Tabela1[[#This Row],[Grau de Risco]]="Baixo"),"Não","Sim")</f>
        <v>Não</v>
      </c>
    </row>
    <row r="11" spans="1:20" hidden="1">
      <c r="A11" s="4" t="s">
        <v>2</v>
      </c>
      <c r="B11" s="10" t="s">
        <v>1797</v>
      </c>
      <c r="C11" s="4" t="s">
        <v>41</v>
      </c>
      <c r="D11" s="58" t="s">
        <v>1409</v>
      </c>
      <c r="E11" s="3">
        <v>4</v>
      </c>
      <c r="F11" s="3">
        <v>4</v>
      </c>
      <c r="G11" s="3">
        <v>2024</v>
      </c>
      <c r="H11" s="36" t="s">
        <v>66</v>
      </c>
      <c r="I11" s="7" t="s">
        <v>784</v>
      </c>
      <c r="J11" s="4" t="s">
        <v>69</v>
      </c>
      <c r="K11" s="3">
        <v>10</v>
      </c>
      <c r="L11" s="3">
        <v>0</v>
      </c>
      <c r="M11" s="4" t="s">
        <v>30</v>
      </c>
      <c r="N11" s="4"/>
      <c r="O11" s="4" t="s">
        <v>70</v>
      </c>
      <c r="P11" s="3" t="s">
        <v>31</v>
      </c>
      <c r="Q11" s="11">
        <v>11</v>
      </c>
      <c r="R11" s="3" t="s">
        <v>31</v>
      </c>
      <c r="S11" s="10" t="s">
        <v>179</v>
      </c>
      <c r="T11" s="4" t="str">
        <f>IF(OR(Tabela1[[#This Row],[Grau de Risco]]="Médio",Tabela1[[#This Row],[Grau de Risco]]="Baixo"),"Não","Sim")</f>
        <v>Não</v>
      </c>
    </row>
    <row r="12" spans="1:20" hidden="1">
      <c r="A12" s="4" t="s">
        <v>2</v>
      </c>
      <c r="B12" s="10" t="s">
        <v>1797</v>
      </c>
      <c r="C12" s="4" t="s">
        <v>81</v>
      </c>
      <c r="D12" s="38" t="s">
        <v>1393</v>
      </c>
      <c r="E12" s="3">
        <v>10</v>
      </c>
      <c r="F12" s="3">
        <v>12</v>
      </c>
      <c r="G12" s="3">
        <v>2024</v>
      </c>
      <c r="H12" s="36" t="s">
        <v>66</v>
      </c>
      <c r="I12" s="7" t="s">
        <v>1040</v>
      </c>
      <c r="J12" s="4" t="s">
        <v>69</v>
      </c>
      <c r="K12" s="3">
        <v>1</v>
      </c>
      <c r="L12" s="3">
        <v>0</v>
      </c>
      <c r="M12" s="4" t="s">
        <v>30</v>
      </c>
      <c r="N12" s="4"/>
      <c r="O12" s="4" t="s">
        <v>325</v>
      </c>
      <c r="P12" s="3" t="s">
        <v>52</v>
      </c>
      <c r="Q12" s="11">
        <v>14</v>
      </c>
      <c r="R12" s="3" t="s">
        <v>52</v>
      </c>
      <c r="S12" s="5" t="s">
        <v>56</v>
      </c>
      <c r="T12" s="4" t="str">
        <f>IF(OR(Tabela1[[#This Row],[Grau de Risco]]="Médio",Tabela1[[#This Row],[Grau de Risco]]="Baixo"),"Não","Sim")</f>
        <v>Não</v>
      </c>
    </row>
    <row r="13" spans="1:20">
      <c r="A13" s="4" t="s">
        <v>2</v>
      </c>
      <c r="B13" s="10" t="s">
        <v>1809</v>
      </c>
      <c r="C13" s="4" t="s">
        <v>41</v>
      </c>
      <c r="D13" s="38" t="s">
        <v>47</v>
      </c>
      <c r="E13" s="3">
        <v>14</v>
      </c>
      <c r="F13" s="3">
        <v>2</v>
      </c>
      <c r="G13" s="3">
        <v>2025</v>
      </c>
      <c r="H13" s="36" t="s">
        <v>112</v>
      </c>
      <c r="I13" s="7" t="s">
        <v>1164</v>
      </c>
      <c r="J13" s="4" t="s">
        <v>35</v>
      </c>
      <c r="K13" s="3">
        <v>14</v>
      </c>
      <c r="L13" s="3">
        <v>0</v>
      </c>
      <c r="M13" s="4" t="s">
        <v>30</v>
      </c>
      <c r="N13" s="4"/>
      <c r="O13" s="4" t="s">
        <v>45</v>
      </c>
      <c r="P13" s="3" t="s">
        <v>31</v>
      </c>
      <c r="Q13" s="11">
        <v>4</v>
      </c>
      <c r="R13" s="3" t="s">
        <v>102</v>
      </c>
      <c r="S13" s="5" t="s">
        <v>56</v>
      </c>
      <c r="T13" s="4" t="str">
        <f>IF(OR(Tabela1[[#This Row],[Grau de Risco]]="Médio",Tabela1[[#This Row],[Grau de Risco]]="Baixo"),"Não","Sim")</f>
        <v>Sim</v>
      </c>
    </row>
    <row r="14" spans="1:20" hidden="1">
      <c r="A14" s="4" t="s">
        <v>2</v>
      </c>
      <c r="B14" s="10" t="s">
        <v>1797</v>
      </c>
      <c r="C14" s="4" t="s">
        <v>41</v>
      </c>
      <c r="D14" s="58" t="s">
        <v>1409</v>
      </c>
      <c r="E14" s="3">
        <v>10</v>
      </c>
      <c r="F14" s="3">
        <v>4</v>
      </c>
      <c r="G14" s="3">
        <v>2025</v>
      </c>
      <c r="H14" s="36" t="s">
        <v>82</v>
      </c>
      <c r="I14" s="7" t="s">
        <v>1224</v>
      </c>
      <c r="J14" s="4" t="s">
        <v>29</v>
      </c>
      <c r="K14" s="3">
        <v>1</v>
      </c>
      <c r="L14" s="3">
        <v>0</v>
      </c>
      <c r="M14" s="4" t="s">
        <v>30</v>
      </c>
      <c r="N14" s="4"/>
      <c r="O14" s="4" t="s">
        <v>70</v>
      </c>
      <c r="P14" s="3" t="s">
        <v>52</v>
      </c>
      <c r="Q14" s="11">
        <v>11</v>
      </c>
      <c r="R14" s="3" t="s">
        <v>31</v>
      </c>
      <c r="S14" s="5" t="s">
        <v>56</v>
      </c>
      <c r="T14" s="4" t="str">
        <f>IF(OR(Tabela1[[#This Row],[Grau de Risco]]="Médio",Tabela1[[#This Row],[Grau de Risco]]="Baixo"),"Não","Sim")</f>
        <v>Não</v>
      </c>
    </row>
    <row r="15" spans="1:20" hidden="1">
      <c r="A15" s="28" t="s">
        <v>8</v>
      </c>
      <c r="B15" s="33" t="s">
        <v>1802</v>
      </c>
      <c r="C15" s="28" t="s">
        <v>81</v>
      </c>
      <c r="D15" s="58" t="s">
        <v>1409</v>
      </c>
      <c r="E15" s="32">
        <v>10</v>
      </c>
      <c r="F15" s="32">
        <v>7</v>
      </c>
      <c r="G15" s="32">
        <v>2025</v>
      </c>
      <c r="H15" s="5" t="s">
        <v>71</v>
      </c>
      <c r="I15" s="29" t="s">
        <v>1354</v>
      </c>
      <c r="J15" s="28" t="s">
        <v>61</v>
      </c>
      <c r="K15" s="32"/>
      <c r="L15" s="32"/>
      <c r="M15" s="28"/>
      <c r="N15" s="28"/>
      <c r="O15" s="28" t="s">
        <v>4</v>
      </c>
      <c r="P15" s="32" t="s">
        <v>31</v>
      </c>
      <c r="Q15" s="35">
        <v>13</v>
      </c>
      <c r="R15" s="32" t="s">
        <v>31</v>
      </c>
      <c r="S15" s="33" t="s">
        <v>56</v>
      </c>
      <c r="T15" s="4" t="str">
        <f>IF(OR(Tabela1[[#This Row],[Grau de Risco]]="Médio",Tabela1[[#This Row],[Grau de Risco]]="Baixo"),"Não","Sim")</f>
        <v>Não</v>
      </c>
    </row>
    <row r="16" spans="1:20" hidden="1">
      <c r="A16" s="4" t="s">
        <v>2</v>
      </c>
      <c r="B16" s="10" t="s">
        <v>1805</v>
      </c>
      <c r="C16" s="4" t="s">
        <v>81</v>
      </c>
      <c r="D16" s="38" t="s">
        <v>1393</v>
      </c>
      <c r="E16" s="3">
        <v>28</v>
      </c>
      <c r="F16" s="3">
        <v>2</v>
      </c>
      <c r="G16" s="3">
        <v>2023</v>
      </c>
      <c r="H16" s="36" t="s">
        <v>33</v>
      </c>
      <c r="I16" s="7" t="s">
        <v>444</v>
      </c>
      <c r="J16" s="4" t="s">
        <v>54</v>
      </c>
      <c r="K16" s="3">
        <v>15</v>
      </c>
      <c r="L16" s="3">
        <v>0</v>
      </c>
      <c r="M16" s="4" t="s">
        <v>30</v>
      </c>
      <c r="N16" s="4">
        <v>0</v>
      </c>
      <c r="O16" s="4" t="s">
        <v>99</v>
      </c>
      <c r="P16" s="3" t="s">
        <v>31</v>
      </c>
      <c r="Q16" s="11">
        <v>11</v>
      </c>
      <c r="R16" s="2" t="s">
        <v>31</v>
      </c>
      <c r="S16" s="5" t="s">
        <v>56</v>
      </c>
      <c r="T16" s="4" t="str">
        <f>IF(OR(Tabela1[[#This Row],[Grau de Risco]]="Médio",Tabela1[[#This Row],[Grau de Risco]]="Baixo"),"Não","Sim")</f>
        <v>Não</v>
      </c>
    </row>
    <row r="17" spans="1:20" hidden="1">
      <c r="A17" s="5" t="s">
        <v>7</v>
      </c>
      <c r="B17" s="10" t="s">
        <v>1800</v>
      </c>
      <c r="C17" s="4" t="s">
        <v>252</v>
      </c>
      <c r="D17" s="38" t="s">
        <v>1320</v>
      </c>
      <c r="E17" s="3">
        <v>30</v>
      </c>
      <c r="F17" s="3">
        <v>10</v>
      </c>
      <c r="G17" s="3">
        <v>2023</v>
      </c>
      <c r="H17" s="34" t="s">
        <v>59</v>
      </c>
      <c r="I17" s="7" t="s">
        <v>449</v>
      </c>
      <c r="J17" s="4" t="s">
        <v>38</v>
      </c>
      <c r="K17" s="3" t="s">
        <v>44</v>
      </c>
      <c r="L17" s="3"/>
      <c r="M17" s="4"/>
      <c r="N17" s="4"/>
      <c r="O17" s="4" t="s">
        <v>70</v>
      </c>
      <c r="P17" s="3"/>
      <c r="Q17" s="11">
        <v>11</v>
      </c>
      <c r="R17" s="3" t="s">
        <v>31</v>
      </c>
      <c r="S17" s="5" t="s">
        <v>40</v>
      </c>
      <c r="T17" s="4" t="str">
        <f>IF(OR(Tabela1[[#This Row],[Grau de Risco]]="Médio",Tabela1[[#This Row],[Grau de Risco]]="Baixo"),"Não","Sim")</f>
        <v>Não</v>
      </c>
    </row>
    <row r="18" spans="1:20" hidden="1">
      <c r="A18" s="4" t="s">
        <v>2</v>
      </c>
      <c r="B18" s="10" t="s">
        <v>1805</v>
      </c>
      <c r="C18" s="4" t="s">
        <v>81</v>
      </c>
      <c r="D18" s="38" t="s">
        <v>47</v>
      </c>
      <c r="E18" s="3">
        <v>22</v>
      </c>
      <c r="F18" s="3">
        <v>9</v>
      </c>
      <c r="G18" s="3">
        <v>2023</v>
      </c>
      <c r="H18" s="36" t="s">
        <v>33</v>
      </c>
      <c r="I18" s="7" t="s">
        <v>551</v>
      </c>
      <c r="J18" s="4" t="s">
        <v>54</v>
      </c>
      <c r="K18" s="3">
        <v>15</v>
      </c>
      <c r="L18" s="3"/>
      <c r="M18" s="4"/>
      <c r="N18" s="4"/>
      <c r="O18" s="4" t="s">
        <v>129</v>
      </c>
      <c r="P18" s="3" t="s">
        <v>31</v>
      </c>
      <c r="Q18" s="11">
        <v>11</v>
      </c>
      <c r="R18" s="2" t="s">
        <v>31</v>
      </c>
      <c r="S18" s="5" t="s">
        <v>56</v>
      </c>
      <c r="T18" s="4" t="str">
        <f>IF(OR(Tabela1[[#This Row],[Grau de Risco]]="Médio",Tabela1[[#This Row],[Grau de Risco]]="Baixo"),"Não","Sim")</f>
        <v>Não</v>
      </c>
    </row>
    <row r="19" spans="1:20">
      <c r="A19" s="5" t="s">
        <v>7</v>
      </c>
      <c r="B19" s="10" t="s">
        <v>1809</v>
      </c>
      <c r="C19" s="26" t="s">
        <v>81</v>
      </c>
      <c r="D19" s="38" t="s">
        <v>1382</v>
      </c>
      <c r="E19" s="27">
        <v>20</v>
      </c>
      <c r="F19" s="3">
        <v>12</v>
      </c>
      <c r="G19" s="27">
        <v>2023</v>
      </c>
      <c r="H19" s="4" t="s">
        <v>86</v>
      </c>
      <c r="I19" s="7" t="s">
        <v>572</v>
      </c>
      <c r="J19" s="21" t="s">
        <v>169</v>
      </c>
      <c r="K19" s="3" t="s">
        <v>44</v>
      </c>
      <c r="L19" s="3"/>
      <c r="M19" s="4"/>
      <c r="N19" s="4"/>
      <c r="O19" s="4" t="s">
        <v>77</v>
      </c>
      <c r="P19" s="3"/>
      <c r="Q19" s="3">
        <v>15</v>
      </c>
      <c r="R19" s="11" t="s">
        <v>52</v>
      </c>
      <c r="S19" s="25" t="s">
        <v>63</v>
      </c>
      <c r="T19" s="4" t="str">
        <f>IF(OR(Tabela1[[#This Row],[Grau de Risco]]="Médio",Tabela1[[#This Row],[Grau de Risco]]="Baixo"),"Não","Sim")</f>
        <v>Não</v>
      </c>
    </row>
    <row r="20" spans="1:20">
      <c r="A20" s="28" t="s">
        <v>2</v>
      </c>
      <c r="B20" s="10" t="s">
        <v>1809</v>
      </c>
      <c r="C20" s="28" t="s">
        <v>41</v>
      </c>
      <c r="D20" s="38" t="s">
        <v>1320</v>
      </c>
      <c r="E20" s="32">
        <v>16</v>
      </c>
      <c r="F20" s="32">
        <v>12</v>
      </c>
      <c r="G20" s="32">
        <v>2024</v>
      </c>
      <c r="H20" s="5" t="s">
        <v>123</v>
      </c>
      <c r="I20" s="29" t="s">
        <v>1019</v>
      </c>
      <c r="J20" s="28" t="s">
        <v>54</v>
      </c>
      <c r="K20" s="32">
        <v>22</v>
      </c>
      <c r="L20" s="32" t="s">
        <v>80</v>
      </c>
      <c r="M20" s="28" t="s">
        <v>30</v>
      </c>
      <c r="N20" s="28" t="s">
        <v>80</v>
      </c>
      <c r="O20" s="28" t="s">
        <v>167</v>
      </c>
      <c r="P20" s="32" t="s">
        <v>31</v>
      </c>
      <c r="Q20" s="35">
        <v>11</v>
      </c>
      <c r="R20" s="32" t="s">
        <v>31</v>
      </c>
      <c r="S20" s="33" t="s">
        <v>4</v>
      </c>
      <c r="T20" s="4" t="str">
        <f>IF(OR(Tabela1[[#This Row],[Grau de Risco]]="Médio",Tabela1[[#This Row],[Grau de Risco]]="Baixo"),"Não","Sim")</f>
        <v>Não</v>
      </c>
    </row>
    <row r="21" spans="1:20" hidden="1">
      <c r="A21" s="4" t="s">
        <v>8</v>
      </c>
      <c r="B21" s="10" t="s">
        <v>1800</v>
      </c>
      <c r="C21" s="4" t="s">
        <v>41</v>
      </c>
      <c r="D21" s="38" t="s">
        <v>47</v>
      </c>
      <c r="E21" s="3">
        <v>12</v>
      </c>
      <c r="F21" s="3">
        <v>1</v>
      </c>
      <c r="G21" s="3">
        <v>2024</v>
      </c>
      <c r="H21" s="5" t="s">
        <v>71</v>
      </c>
      <c r="I21" s="7" t="s">
        <v>1068</v>
      </c>
      <c r="J21" s="4" t="s">
        <v>61</v>
      </c>
      <c r="K21" s="3" t="s">
        <v>62</v>
      </c>
      <c r="L21" s="3">
        <v>0</v>
      </c>
      <c r="M21" s="4" t="s">
        <v>30</v>
      </c>
      <c r="N21" s="4">
        <v>0</v>
      </c>
      <c r="O21" s="4" t="s">
        <v>70</v>
      </c>
      <c r="P21" s="3" t="s">
        <v>52</v>
      </c>
      <c r="Q21" s="11">
        <v>15</v>
      </c>
      <c r="R21" s="3" t="s">
        <v>52</v>
      </c>
      <c r="S21" s="10" t="s">
        <v>4</v>
      </c>
      <c r="T21" s="4" t="str">
        <f>IF(OR(Tabela1[[#This Row],[Grau de Risco]]="Médio",Tabela1[[#This Row],[Grau de Risco]]="Baixo"),"Não","Sim")</f>
        <v>Não</v>
      </c>
    </row>
    <row r="22" spans="1:20" hidden="1">
      <c r="A22" s="4" t="s">
        <v>7</v>
      </c>
      <c r="B22" s="10" t="s">
        <v>1797</v>
      </c>
      <c r="C22" s="4" t="s">
        <v>252</v>
      </c>
      <c r="D22" s="38" t="s">
        <v>47</v>
      </c>
      <c r="E22" s="3">
        <v>7</v>
      </c>
      <c r="F22" s="3">
        <v>2</v>
      </c>
      <c r="G22" s="3">
        <v>2025</v>
      </c>
      <c r="H22" s="5" t="s">
        <v>123</v>
      </c>
      <c r="I22" s="7" t="s">
        <v>1149</v>
      </c>
      <c r="J22" s="4" t="s">
        <v>93</v>
      </c>
      <c r="K22" s="3"/>
      <c r="L22" s="3"/>
      <c r="M22" s="4"/>
      <c r="N22" s="4"/>
      <c r="O22" s="4" t="s">
        <v>101</v>
      </c>
      <c r="P22" s="3" t="s">
        <v>52</v>
      </c>
      <c r="Q22" s="11">
        <v>15</v>
      </c>
      <c r="R22" s="3" t="s">
        <v>52</v>
      </c>
      <c r="S22" s="33" t="s">
        <v>63</v>
      </c>
      <c r="T22" s="4" t="str">
        <f>IF(OR(Tabela1[[#This Row],[Grau de Risco]]="Médio",Tabela1[[#This Row],[Grau de Risco]]="Baixo"),"Não","Sim")</f>
        <v>Não</v>
      </c>
    </row>
    <row r="23" spans="1:20" hidden="1">
      <c r="A23" s="28" t="s">
        <v>7</v>
      </c>
      <c r="B23" s="33" t="s">
        <v>1802</v>
      </c>
      <c r="C23" s="28" t="s">
        <v>252</v>
      </c>
      <c r="D23" s="38" t="s">
        <v>1382</v>
      </c>
      <c r="E23" s="32">
        <v>11</v>
      </c>
      <c r="F23" s="32">
        <v>6</v>
      </c>
      <c r="G23" s="32">
        <v>2025</v>
      </c>
      <c r="H23" s="5" t="s">
        <v>48</v>
      </c>
      <c r="I23" s="29" t="s">
        <v>1840</v>
      </c>
      <c r="J23" s="28" t="s">
        <v>61</v>
      </c>
      <c r="K23" s="32"/>
      <c r="L23" s="32"/>
      <c r="M23" s="28"/>
      <c r="N23" s="28"/>
      <c r="O23" s="28" t="s">
        <v>88</v>
      </c>
      <c r="P23" s="32"/>
      <c r="Q23" s="11">
        <v>8</v>
      </c>
      <c r="R23" s="3" t="s">
        <v>102</v>
      </c>
      <c r="S23" s="10" t="s">
        <v>4</v>
      </c>
      <c r="T23" s="4" t="str">
        <f>IF(OR(Tabela1[[#This Row],[Grau de Risco]]="Médio",Tabela1[[#This Row],[Grau de Risco]]="Baixo"),"Não","Sim")</f>
        <v>Sim</v>
      </c>
    </row>
    <row r="24" spans="1:20" hidden="1">
      <c r="A24" s="4" t="s">
        <v>8</v>
      </c>
      <c r="B24" s="10" t="s">
        <v>1802</v>
      </c>
      <c r="C24" s="4" t="s">
        <v>41</v>
      </c>
      <c r="D24" s="38" t="s">
        <v>1382</v>
      </c>
      <c r="E24" s="3">
        <v>31</v>
      </c>
      <c r="F24" s="3">
        <v>7</v>
      </c>
      <c r="G24" s="3">
        <v>2025</v>
      </c>
      <c r="H24" s="21" t="s">
        <v>27</v>
      </c>
      <c r="I24" s="7" t="s">
        <v>1373</v>
      </c>
      <c r="J24" s="4" t="s">
        <v>61</v>
      </c>
      <c r="K24" s="3"/>
      <c r="L24" s="3"/>
      <c r="M24" s="4"/>
      <c r="N24" s="4"/>
      <c r="O24" s="4" t="s">
        <v>88</v>
      </c>
      <c r="P24" s="3" t="s">
        <v>31</v>
      </c>
      <c r="Q24" s="11">
        <v>9</v>
      </c>
      <c r="R24" s="3" t="s">
        <v>31</v>
      </c>
      <c r="S24" s="10" t="s">
        <v>56</v>
      </c>
      <c r="T24" s="4" t="str">
        <f>IF(OR(Tabela1[[#This Row],[Grau de Risco]]="Médio",Tabela1[[#This Row],[Grau de Risco]]="Baixo"),"Não","Sim")</f>
        <v>Não</v>
      </c>
    </row>
    <row r="25" spans="1:20" hidden="1">
      <c r="A25" s="28" t="s">
        <v>8</v>
      </c>
      <c r="B25" s="10" t="s">
        <v>1797</v>
      </c>
      <c r="C25" s="4" t="s">
        <v>252</v>
      </c>
      <c r="D25" s="4" t="s">
        <v>47</v>
      </c>
      <c r="E25" s="3">
        <v>1</v>
      </c>
      <c r="F25" s="3">
        <v>8</v>
      </c>
      <c r="G25" s="3">
        <v>2025</v>
      </c>
      <c r="H25" s="21" t="s">
        <v>107</v>
      </c>
      <c r="I25" s="7" t="s">
        <v>1375</v>
      </c>
      <c r="J25" s="4" t="s">
        <v>76</v>
      </c>
      <c r="K25" s="3" t="s">
        <v>44</v>
      </c>
      <c r="L25" s="3" t="s">
        <v>44</v>
      </c>
      <c r="M25" s="4"/>
      <c r="N25" s="4" t="s">
        <v>44</v>
      </c>
      <c r="O25" s="4" t="s">
        <v>55</v>
      </c>
      <c r="P25" s="3" t="s">
        <v>52</v>
      </c>
      <c r="Q25" s="11">
        <v>14</v>
      </c>
      <c r="R25" s="3" t="str">
        <f>IF(Q25="","",IF(Q25&lt;4,"Crítico",IF(Q25&lt;9,"Alto",IF(Q25&lt;14,"Médio","Baixo"))))</f>
        <v>Baixo</v>
      </c>
      <c r="S25" s="10" t="s">
        <v>56</v>
      </c>
      <c r="T25" s="4" t="str">
        <f>IF(OR(Tabela1[[#This Row],[Grau de Risco]]="Médio",Tabela1[[#This Row],[Grau de Risco]]="Baixo"),"Não","Sim")</f>
        <v>Não</v>
      </c>
    </row>
    <row r="26" spans="1:20" hidden="1">
      <c r="A26" s="28" t="s">
        <v>7</v>
      </c>
      <c r="B26" s="33" t="s">
        <v>1800</v>
      </c>
      <c r="C26" s="28" t="s">
        <v>41</v>
      </c>
      <c r="D26" s="38" t="s">
        <v>1382</v>
      </c>
      <c r="E26" s="32">
        <v>6</v>
      </c>
      <c r="F26" s="32">
        <v>8</v>
      </c>
      <c r="G26" s="32">
        <v>2025</v>
      </c>
      <c r="H26" s="38" t="s">
        <v>27</v>
      </c>
      <c r="I26" s="7" t="s">
        <v>1383</v>
      </c>
      <c r="J26" s="28" t="s">
        <v>69</v>
      </c>
      <c r="K26" s="32" t="s">
        <v>80</v>
      </c>
      <c r="L26" s="32" t="s">
        <v>80</v>
      </c>
      <c r="M26" s="28" t="s">
        <v>30</v>
      </c>
      <c r="N26" s="28" t="s">
        <v>80</v>
      </c>
      <c r="O26" s="4" t="s">
        <v>51</v>
      </c>
      <c r="P26" s="32" t="s">
        <v>52</v>
      </c>
      <c r="Q26" s="35">
        <v>14</v>
      </c>
      <c r="R26" s="32" t="s">
        <v>52</v>
      </c>
      <c r="S26" s="33" t="s">
        <v>32</v>
      </c>
      <c r="T26" s="4" t="str">
        <f>IF(OR(Tabela1[[#This Row],[Grau de Risco]]="Médio",Tabela1[[#This Row],[Grau de Risco]]="Baixo"),"Não","Sim")</f>
        <v>Não</v>
      </c>
    </row>
    <row r="27" spans="1:20" hidden="1">
      <c r="A27" s="28" t="s">
        <v>7</v>
      </c>
      <c r="B27" s="33" t="s">
        <v>1802</v>
      </c>
      <c r="C27" s="28" t="s">
        <v>81</v>
      </c>
      <c r="D27" s="28" t="s">
        <v>1393</v>
      </c>
      <c r="E27" s="32">
        <v>28</v>
      </c>
      <c r="F27" s="32">
        <v>10</v>
      </c>
      <c r="G27" s="32">
        <v>2025</v>
      </c>
      <c r="H27" s="34" t="s">
        <v>66</v>
      </c>
      <c r="I27" s="29" t="s">
        <v>1483</v>
      </c>
      <c r="J27" s="28" t="s">
        <v>61</v>
      </c>
      <c r="K27" s="32"/>
      <c r="L27" s="32"/>
      <c r="M27" s="28"/>
      <c r="N27" s="28"/>
      <c r="O27" s="28" t="s">
        <v>4</v>
      </c>
      <c r="P27" s="32"/>
      <c r="Q27" s="35">
        <v>15</v>
      </c>
      <c r="R27" s="32" t="s">
        <v>52</v>
      </c>
      <c r="S27" s="33" t="s">
        <v>4</v>
      </c>
      <c r="T27" s="4" t="str">
        <f>IF(OR(Tabela1[[#This Row],[Grau de Risco]]="Médio",Tabela1[[#This Row],[Grau de Risco]]="Baixo"),"Não","Sim")</f>
        <v>Não</v>
      </c>
    </row>
    <row r="28" spans="1:20" hidden="1">
      <c r="A28" s="5" t="s">
        <v>2</v>
      </c>
      <c r="B28" s="4" t="s">
        <v>1800</v>
      </c>
      <c r="C28" s="4" t="s">
        <v>41</v>
      </c>
      <c r="D28" s="5" t="s">
        <v>36</v>
      </c>
      <c r="E28" s="3">
        <v>23</v>
      </c>
      <c r="F28" s="3">
        <v>1</v>
      </c>
      <c r="G28" s="3">
        <v>2021</v>
      </c>
      <c r="H28" s="4" t="s">
        <v>27</v>
      </c>
      <c r="I28" s="7" t="s">
        <v>220</v>
      </c>
      <c r="J28" s="4" t="s">
        <v>76</v>
      </c>
      <c r="K28" s="3">
        <v>281</v>
      </c>
      <c r="L28" s="3">
        <v>0</v>
      </c>
      <c r="M28" s="5" t="s">
        <v>30</v>
      </c>
      <c r="N28" s="4">
        <v>281</v>
      </c>
      <c r="O28" s="4" t="s">
        <v>51</v>
      </c>
      <c r="P28" s="3" t="s">
        <v>102</v>
      </c>
      <c r="Q28" s="3">
        <v>5</v>
      </c>
      <c r="R28" s="2" t="s">
        <v>102</v>
      </c>
      <c r="S28" s="10" t="s">
        <v>32</v>
      </c>
      <c r="T28" s="4" t="str">
        <f>IF(OR(Tabela1[[#This Row],[Grau de Risco]]="Médio",Tabela1[[#This Row],[Grau de Risco]]="Baixo"),"Não","Sim")</f>
        <v>Sim</v>
      </c>
    </row>
    <row r="29" spans="1:20" hidden="1">
      <c r="A29" s="4" t="s">
        <v>2</v>
      </c>
      <c r="B29" s="10" t="s">
        <v>1793</v>
      </c>
      <c r="C29" s="4"/>
      <c r="D29" s="38" t="s">
        <v>1382</v>
      </c>
      <c r="E29" s="3">
        <v>30</v>
      </c>
      <c r="F29" s="3">
        <v>11</v>
      </c>
      <c r="G29" s="3">
        <v>2022</v>
      </c>
      <c r="H29" s="5" t="s">
        <v>48</v>
      </c>
      <c r="I29" s="7" t="s">
        <v>287</v>
      </c>
      <c r="J29" s="4" t="s">
        <v>61</v>
      </c>
      <c r="K29" s="3">
        <v>14</v>
      </c>
      <c r="L29" s="3">
        <v>0</v>
      </c>
      <c r="M29" s="4" t="s">
        <v>30</v>
      </c>
      <c r="N29" s="4"/>
      <c r="O29" s="4" t="s">
        <v>74</v>
      </c>
      <c r="P29" s="3" t="s">
        <v>31</v>
      </c>
      <c r="Q29" s="11">
        <v>4</v>
      </c>
      <c r="R29" s="3" t="str">
        <f>IF(Q29="","",IF(Q29&lt;4,"Crítico",IF(Q29&lt;9,"Alto",IF(Q29&lt;14,"Médio","Baixo"))))</f>
        <v>Alto</v>
      </c>
      <c r="S29" s="10" t="s">
        <v>63</v>
      </c>
      <c r="T29" s="4" t="str">
        <f>IF(OR(Tabela1[[#This Row],[Grau de Risco]]="Médio",Tabela1[[#This Row],[Grau de Risco]]="Baixo"),"Não","Sim")</f>
        <v>Sim</v>
      </c>
    </row>
    <row r="30" spans="1:20">
      <c r="A30" s="4" t="s">
        <v>2</v>
      </c>
      <c r="B30" s="10" t="s">
        <v>1809</v>
      </c>
      <c r="C30" s="4"/>
      <c r="D30" s="38" t="s">
        <v>1320</v>
      </c>
      <c r="E30" s="3">
        <v>30</v>
      </c>
      <c r="F30" s="3">
        <v>5</v>
      </c>
      <c r="G30" s="3">
        <v>2022</v>
      </c>
      <c r="H30" s="36" t="s">
        <v>33</v>
      </c>
      <c r="I30" s="7" t="s">
        <v>322</v>
      </c>
      <c r="J30" s="4" t="s">
        <v>61</v>
      </c>
      <c r="K30" s="3">
        <v>8</v>
      </c>
      <c r="L30" s="3">
        <v>0</v>
      </c>
      <c r="M30" s="4" t="s">
        <v>30</v>
      </c>
      <c r="N30" s="4"/>
      <c r="O30" s="4" t="s">
        <v>159</v>
      </c>
      <c r="P30" s="3" t="s">
        <v>52</v>
      </c>
      <c r="Q30" s="11">
        <v>14</v>
      </c>
      <c r="R30" s="3" t="s">
        <v>52</v>
      </c>
      <c r="S30" s="5" t="s">
        <v>56</v>
      </c>
      <c r="T30" s="4" t="str">
        <f>IF(OR(Tabela1[[#This Row],[Grau de Risco]]="Médio",Tabela1[[#This Row],[Grau de Risco]]="Baixo"),"Não","Sim")</f>
        <v>Não</v>
      </c>
    </row>
    <row r="31" spans="1:20" hidden="1">
      <c r="A31" s="4" t="s">
        <v>8</v>
      </c>
      <c r="B31" s="10" t="s">
        <v>1793</v>
      </c>
      <c r="C31" s="4" t="s">
        <v>41</v>
      </c>
      <c r="D31" s="38" t="s">
        <v>1393</v>
      </c>
      <c r="E31" s="3">
        <v>13</v>
      </c>
      <c r="F31" s="3">
        <v>6</v>
      </c>
      <c r="G31" s="3">
        <v>2023</v>
      </c>
      <c r="H31" s="4" t="s">
        <v>86</v>
      </c>
      <c r="I31" s="7" t="s">
        <v>436</v>
      </c>
      <c r="J31" s="4" t="s">
        <v>54</v>
      </c>
      <c r="K31" s="3">
        <v>0</v>
      </c>
      <c r="L31" s="3">
        <v>0</v>
      </c>
      <c r="M31" s="4" t="s">
        <v>30</v>
      </c>
      <c r="N31" s="4">
        <v>0</v>
      </c>
      <c r="O31" s="4" t="s">
        <v>55</v>
      </c>
      <c r="P31" s="3" t="s">
        <v>31</v>
      </c>
      <c r="Q31" s="11">
        <v>11</v>
      </c>
      <c r="R31" s="2" t="s">
        <v>31</v>
      </c>
      <c r="S31" s="10" t="s">
        <v>32</v>
      </c>
      <c r="T31" s="4" t="str">
        <f>IF(OR(Tabela1[[#This Row],[Grau de Risco]]="Médio",Tabela1[[#This Row],[Grau de Risco]]="Baixo"),"Não","Sim")</f>
        <v>Não</v>
      </c>
    </row>
    <row r="32" spans="1:20" hidden="1">
      <c r="A32" s="4" t="s">
        <v>2</v>
      </c>
      <c r="B32" s="10" t="s">
        <v>1793</v>
      </c>
      <c r="C32" s="4" t="s">
        <v>81</v>
      </c>
      <c r="D32" s="58" t="s">
        <v>1409</v>
      </c>
      <c r="E32" s="3">
        <v>26</v>
      </c>
      <c r="F32" s="3">
        <v>1</v>
      </c>
      <c r="G32" s="3">
        <v>2023</v>
      </c>
      <c r="H32" s="5" t="s">
        <v>71</v>
      </c>
      <c r="I32" s="7" t="s">
        <v>1796</v>
      </c>
      <c r="J32" s="4" t="s">
        <v>61</v>
      </c>
      <c r="K32" s="3">
        <v>26</v>
      </c>
      <c r="L32" s="3">
        <v>0</v>
      </c>
      <c r="M32" s="4" t="s">
        <v>30</v>
      </c>
      <c r="N32" s="4"/>
      <c r="O32" s="4" t="s">
        <v>45</v>
      </c>
      <c r="P32" s="3" t="s">
        <v>31</v>
      </c>
      <c r="Q32" s="11">
        <v>11</v>
      </c>
      <c r="R32" s="3" t="str">
        <f>IF(Q32="","",IF(Q32&lt;4,"Crítico",IF(Q32&lt;9,"Alto",IF(Q32&lt;14,"Médio","Baixo"))))</f>
        <v>Médio</v>
      </c>
      <c r="S32" s="10" t="s">
        <v>178</v>
      </c>
      <c r="T32" s="4" t="str">
        <f>IF(OR(Tabela1[[#This Row],[Grau de Risco]]="Médio",Tabela1[[#This Row],[Grau de Risco]]="Baixo"),"Não","Sim")</f>
        <v>Não</v>
      </c>
    </row>
    <row r="33" spans="1:20">
      <c r="A33" s="4" t="s">
        <v>7</v>
      </c>
      <c r="B33" s="10" t="s">
        <v>1809</v>
      </c>
      <c r="C33" s="4" t="s">
        <v>41</v>
      </c>
      <c r="D33" s="5" t="s">
        <v>36</v>
      </c>
      <c r="E33" s="3">
        <v>15</v>
      </c>
      <c r="F33" s="3">
        <v>7</v>
      </c>
      <c r="G33" s="3">
        <v>2023</v>
      </c>
      <c r="H33" s="5" t="s">
        <v>48</v>
      </c>
      <c r="I33" s="7" t="s">
        <v>495</v>
      </c>
      <c r="J33" s="4" t="s">
        <v>229</v>
      </c>
      <c r="K33" s="3" t="s">
        <v>62</v>
      </c>
      <c r="L33" s="3"/>
      <c r="M33" s="4"/>
      <c r="N33" s="4"/>
      <c r="O33" s="4" t="s">
        <v>39</v>
      </c>
      <c r="P33" s="3" t="s">
        <v>52</v>
      </c>
      <c r="Q33" s="11">
        <v>11</v>
      </c>
      <c r="R33" s="3" t="str">
        <f>IF(Q33="","",IF(Q33&lt;4,"Crítico",IF(Q33&lt;9,"Alto",IF(Q33&lt;14,"Médio","Baixo"))))</f>
        <v>Médio</v>
      </c>
      <c r="S33" s="5" t="s">
        <v>56</v>
      </c>
      <c r="T33" s="4" t="str">
        <f>IF(OR(Tabela1[[#This Row],[Grau de Risco]]="Médio",Tabela1[[#This Row],[Grau de Risco]]="Baixo"),"Não","Sim")</f>
        <v>Não</v>
      </c>
    </row>
    <row r="34" spans="1:20" hidden="1">
      <c r="A34" s="4" t="s">
        <v>2</v>
      </c>
      <c r="B34" s="10" t="s">
        <v>1793</v>
      </c>
      <c r="C34" s="4" t="s">
        <v>81</v>
      </c>
      <c r="D34" s="38" t="s">
        <v>1393</v>
      </c>
      <c r="E34" s="3">
        <v>30</v>
      </c>
      <c r="F34" s="3">
        <v>5</v>
      </c>
      <c r="G34" s="3">
        <v>2023</v>
      </c>
      <c r="H34" s="36" t="s">
        <v>107</v>
      </c>
      <c r="I34" s="7" t="s">
        <v>599</v>
      </c>
      <c r="J34" s="4" t="s">
        <v>54</v>
      </c>
      <c r="K34" s="3">
        <v>2</v>
      </c>
      <c r="L34" s="3">
        <v>0</v>
      </c>
      <c r="M34" s="4" t="s">
        <v>30</v>
      </c>
      <c r="N34" s="4">
        <v>0</v>
      </c>
      <c r="O34" s="4" t="s">
        <v>45</v>
      </c>
      <c r="P34" s="3" t="s">
        <v>31</v>
      </c>
      <c r="Q34" s="11">
        <v>13</v>
      </c>
      <c r="R34" s="2" t="s">
        <v>31</v>
      </c>
      <c r="S34" s="5" t="s">
        <v>56</v>
      </c>
      <c r="T34" s="4" t="str">
        <f>IF(OR(Tabela1[[#This Row],[Grau de Risco]]="Médio",Tabela1[[#This Row],[Grau de Risco]]="Baixo"),"Não","Sim")</f>
        <v>Não</v>
      </c>
    </row>
    <row r="35" spans="1:20" hidden="1">
      <c r="A35" s="4" t="s">
        <v>8</v>
      </c>
      <c r="B35" s="10" t="s">
        <v>1805</v>
      </c>
      <c r="C35" s="4" t="s">
        <v>81</v>
      </c>
      <c r="D35" s="38" t="s">
        <v>1320</v>
      </c>
      <c r="E35" s="3">
        <v>4</v>
      </c>
      <c r="F35" s="3">
        <v>9</v>
      </c>
      <c r="G35" s="3">
        <v>2023</v>
      </c>
      <c r="H35" s="5" t="s">
        <v>48</v>
      </c>
      <c r="I35" s="7" t="s">
        <v>620</v>
      </c>
      <c r="J35" s="4" t="s">
        <v>54</v>
      </c>
      <c r="K35" s="3">
        <v>0</v>
      </c>
      <c r="L35" s="3" t="s">
        <v>80</v>
      </c>
      <c r="M35" s="4" t="s">
        <v>30</v>
      </c>
      <c r="N35" s="4" t="s">
        <v>80</v>
      </c>
      <c r="O35" s="4" t="s">
        <v>167</v>
      </c>
      <c r="P35" s="3" t="s">
        <v>52</v>
      </c>
      <c r="Q35" s="11">
        <v>13</v>
      </c>
      <c r="R35" s="2" t="s">
        <v>31</v>
      </c>
      <c r="S35" s="5" t="s">
        <v>56</v>
      </c>
      <c r="T35" s="4" t="str">
        <f>IF(OR(Tabela1[[#This Row],[Grau de Risco]]="Médio",Tabela1[[#This Row],[Grau de Risco]]="Baixo"),"Não","Sim")</f>
        <v>Não</v>
      </c>
    </row>
    <row r="36" spans="1:20" hidden="1">
      <c r="A36" s="4" t="s">
        <v>8</v>
      </c>
      <c r="B36" s="10" t="s">
        <v>1800</v>
      </c>
      <c r="C36" s="4" t="s">
        <v>81</v>
      </c>
      <c r="D36" s="38" t="s">
        <v>1320</v>
      </c>
      <c r="E36" s="3">
        <v>18</v>
      </c>
      <c r="F36" s="3">
        <v>9</v>
      </c>
      <c r="G36" s="3">
        <v>2023</v>
      </c>
      <c r="H36" s="36" t="s">
        <v>66</v>
      </c>
      <c r="I36" s="7" t="s">
        <v>628</v>
      </c>
      <c r="J36" s="4" t="s">
        <v>54</v>
      </c>
      <c r="K36" s="3">
        <v>0</v>
      </c>
      <c r="L36" s="3" t="s">
        <v>80</v>
      </c>
      <c r="M36" s="4"/>
      <c r="N36" s="4" t="s">
        <v>80</v>
      </c>
      <c r="O36" s="4" t="s">
        <v>129</v>
      </c>
      <c r="P36" s="3" t="s">
        <v>52</v>
      </c>
      <c r="Q36" s="11">
        <v>11</v>
      </c>
      <c r="R36" s="2" t="s">
        <v>31</v>
      </c>
      <c r="S36" s="5" t="s">
        <v>56</v>
      </c>
      <c r="T36" s="4" t="str">
        <f>IF(OR(Tabela1[[#This Row],[Grau de Risco]]="Médio",Tabela1[[#This Row],[Grau de Risco]]="Baixo"),"Não","Sim")</f>
        <v>Não</v>
      </c>
    </row>
    <row r="37" spans="1:20" hidden="1">
      <c r="A37" s="4" t="s">
        <v>9</v>
      </c>
      <c r="B37" s="10" t="s">
        <v>1797</v>
      </c>
      <c r="C37" s="4" t="s">
        <v>41</v>
      </c>
      <c r="D37" s="58" t="s">
        <v>1409</v>
      </c>
      <c r="E37" s="3">
        <v>22</v>
      </c>
      <c r="F37" s="3">
        <v>8</v>
      </c>
      <c r="G37" s="3">
        <v>2024</v>
      </c>
      <c r="H37" s="36" t="s">
        <v>112</v>
      </c>
      <c r="I37" s="7" t="s">
        <v>729</v>
      </c>
      <c r="J37" s="4" t="s">
        <v>93</v>
      </c>
      <c r="K37" s="3">
        <v>3</v>
      </c>
      <c r="L37" s="3">
        <v>0</v>
      </c>
      <c r="M37" s="4" t="s">
        <v>30</v>
      </c>
      <c r="N37" s="4"/>
      <c r="O37" s="4" t="s">
        <v>74</v>
      </c>
      <c r="P37" s="3" t="s">
        <v>52</v>
      </c>
      <c r="Q37" s="11">
        <v>15</v>
      </c>
      <c r="R37" s="3" t="s">
        <v>52</v>
      </c>
      <c r="S37" s="10" t="s">
        <v>63</v>
      </c>
      <c r="T37" s="4" t="str">
        <f>IF(OR(Tabela1[[#This Row],[Grau de Risco]]="Médio",Tabela1[[#This Row],[Grau de Risco]]="Baixo"),"Não","Sim")</f>
        <v>Não</v>
      </c>
    </row>
    <row r="38" spans="1:20" hidden="1">
      <c r="A38" s="5" t="s">
        <v>7</v>
      </c>
      <c r="B38" s="10" t="s">
        <v>1800</v>
      </c>
      <c r="C38" s="4" t="s">
        <v>41</v>
      </c>
      <c r="D38" s="38" t="s">
        <v>1320</v>
      </c>
      <c r="E38" s="3">
        <v>14</v>
      </c>
      <c r="F38" s="3">
        <v>10</v>
      </c>
      <c r="G38" s="3">
        <v>2024</v>
      </c>
      <c r="H38" s="60" t="s">
        <v>109</v>
      </c>
      <c r="I38" s="7" t="s">
        <v>1012</v>
      </c>
      <c r="J38" s="4" t="s">
        <v>54</v>
      </c>
      <c r="K38" s="3" t="s">
        <v>80</v>
      </c>
      <c r="L38" s="3" t="s">
        <v>80</v>
      </c>
      <c r="M38" s="4" t="s">
        <v>30</v>
      </c>
      <c r="N38" s="4" t="s">
        <v>80</v>
      </c>
      <c r="O38" s="4" t="s">
        <v>77</v>
      </c>
      <c r="P38" s="3"/>
      <c r="Q38" s="11">
        <v>10</v>
      </c>
      <c r="R38" s="3" t="s">
        <v>31</v>
      </c>
      <c r="S38" s="10" t="s">
        <v>63</v>
      </c>
      <c r="T38" s="4" t="str">
        <f>IF(OR(Tabela1[[#This Row],[Grau de Risco]]="Médio",Tabela1[[#This Row],[Grau de Risco]]="Baixo"),"Não","Sim")</f>
        <v>Não</v>
      </c>
    </row>
    <row r="39" spans="1:20" hidden="1">
      <c r="A39" s="4" t="s">
        <v>2</v>
      </c>
      <c r="B39" s="10" t="s">
        <v>1800</v>
      </c>
      <c r="C39" s="4" t="s">
        <v>81</v>
      </c>
      <c r="D39" s="38" t="s">
        <v>1393</v>
      </c>
      <c r="E39" s="3">
        <v>9</v>
      </c>
      <c r="F39" s="3">
        <v>4</v>
      </c>
      <c r="G39" s="3">
        <v>2024</v>
      </c>
      <c r="H39" s="36" t="s">
        <v>33</v>
      </c>
      <c r="I39" s="7" t="s">
        <v>1024</v>
      </c>
      <c r="J39" s="4" t="s">
        <v>54</v>
      </c>
      <c r="K39" s="3">
        <v>1</v>
      </c>
      <c r="L39" s="3" t="s">
        <v>30</v>
      </c>
      <c r="M39" s="4" t="s">
        <v>30</v>
      </c>
      <c r="N39" s="4" t="s">
        <v>44</v>
      </c>
      <c r="O39" s="4" t="s">
        <v>45</v>
      </c>
      <c r="P39" s="3" t="s">
        <v>31</v>
      </c>
      <c r="Q39" s="11">
        <v>11</v>
      </c>
      <c r="R39" s="3" t="s">
        <v>31</v>
      </c>
      <c r="S39" s="5" t="s">
        <v>56</v>
      </c>
      <c r="T39" s="4" t="str">
        <f>IF(OR(Tabela1[[#This Row],[Grau de Risco]]="Médio",Tabela1[[#This Row],[Grau de Risco]]="Baixo"),"Não","Sim")</f>
        <v>Não</v>
      </c>
    </row>
    <row r="40" spans="1:20">
      <c r="A40" s="28" t="s">
        <v>7</v>
      </c>
      <c r="B40" s="10" t="s">
        <v>1809</v>
      </c>
      <c r="C40" s="28" t="s">
        <v>81</v>
      </c>
      <c r="D40" s="58" t="s">
        <v>1409</v>
      </c>
      <c r="E40" s="32">
        <v>17</v>
      </c>
      <c r="F40" s="32">
        <v>4</v>
      </c>
      <c r="G40" s="32">
        <v>2025</v>
      </c>
      <c r="H40" s="36" t="s">
        <v>107</v>
      </c>
      <c r="I40" s="29" t="s">
        <v>1230</v>
      </c>
      <c r="J40" s="28" t="s">
        <v>91</v>
      </c>
      <c r="K40" s="32"/>
      <c r="L40" s="32"/>
      <c r="M40" s="28"/>
      <c r="N40" s="28"/>
      <c r="O40" s="28" t="s">
        <v>117</v>
      </c>
      <c r="P40" s="32"/>
      <c r="Q40" s="11">
        <v>13</v>
      </c>
      <c r="R40" s="3" t="s">
        <v>31</v>
      </c>
      <c r="S40" s="5" t="s">
        <v>56</v>
      </c>
      <c r="T40" s="4" t="str">
        <f>IF(OR(Tabela1[[#This Row],[Grau de Risco]]="Médio",Tabela1[[#This Row],[Grau de Risco]]="Baixo"),"Não","Sim")</f>
        <v>Não</v>
      </c>
    </row>
    <row r="41" spans="1:20" hidden="1">
      <c r="A41" s="28" t="s">
        <v>6</v>
      </c>
      <c r="B41" s="33" t="s">
        <v>1800</v>
      </c>
      <c r="C41" s="28" t="s">
        <v>81</v>
      </c>
      <c r="D41" s="38" t="s">
        <v>1320</v>
      </c>
      <c r="E41" s="32">
        <v>29</v>
      </c>
      <c r="F41" s="32">
        <v>8</v>
      </c>
      <c r="G41" s="32">
        <v>2025</v>
      </c>
      <c r="H41" s="38" t="s">
        <v>33</v>
      </c>
      <c r="I41" s="7" t="s">
        <v>1416</v>
      </c>
      <c r="J41" s="28" t="s">
        <v>69</v>
      </c>
      <c r="K41" s="32" t="s">
        <v>80</v>
      </c>
      <c r="L41" s="32" t="s">
        <v>80</v>
      </c>
      <c r="M41" s="28" t="s">
        <v>30</v>
      </c>
      <c r="N41" s="28" t="s">
        <v>80</v>
      </c>
      <c r="O41" s="4" t="s">
        <v>4</v>
      </c>
      <c r="P41" s="32" t="s">
        <v>44</v>
      </c>
      <c r="Q41" s="35">
        <v>7</v>
      </c>
      <c r="R41" s="32" t="s">
        <v>102</v>
      </c>
      <c r="S41" s="33" t="s">
        <v>4</v>
      </c>
      <c r="T41" s="4" t="str">
        <f>IF(OR(Tabela1[[#This Row],[Grau de Risco]]="Médio",Tabela1[[#This Row],[Grau de Risco]]="Baixo"),"Não","Sim")</f>
        <v>Sim</v>
      </c>
    </row>
    <row r="42" spans="1:20" hidden="1">
      <c r="A42" s="28" t="s">
        <v>8</v>
      </c>
      <c r="B42" s="10" t="s">
        <v>1797</v>
      </c>
      <c r="C42" s="4" t="s">
        <v>81</v>
      </c>
      <c r="D42" s="4" t="s">
        <v>1320</v>
      </c>
      <c r="E42" s="3">
        <v>4</v>
      </c>
      <c r="F42" s="3">
        <v>8</v>
      </c>
      <c r="G42" s="3">
        <v>2025</v>
      </c>
      <c r="H42" s="21" t="s">
        <v>112</v>
      </c>
      <c r="I42" s="7" t="s">
        <v>1377</v>
      </c>
      <c r="J42" s="4" t="s">
        <v>76</v>
      </c>
      <c r="K42" s="3" t="s">
        <v>44</v>
      </c>
      <c r="L42" s="3" t="s">
        <v>44</v>
      </c>
      <c r="M42" s="4" t="s">
        <v>30</v>
      </c>
      <c r="N42" s="4"/>
      <c r="O42" s="4" t="s">
        <v>39</v>
      </c>
      <c r="P42" s="3" t="s">
        <v>52</v>
      </c>
      <c r="Q42" s="11">
        <v>11</v>
      </c>
      <c r="R42" s="3" t="str">
        <f>IF(Q42="","",IF(Q42&lt;4,"Crítico",IF(Q42&lt;9,"Alto",IF(Q42&lt;14,"Médio","Baixo"))))</f>
        <v>Médio</v>
      </c>
      <c r="S42" s="10" t="s">
        <v>56</v>
      </c>
      <c r="T42" s="4" t="str">
        <f>IF(OR(Tabela1[[#This Row],[Grau de Risco]]="Médio",Tabela1[[#This Row],[Grau de Risco]]="Baixo"),"Não","Sim")</f>
        <v>Não</v>
      </c>
    </row>
    <row r="43" spans="1:20">
      <c r="A43" s="28" t="s">
        <v>2</v>
      </c>
      <c r="B43" s="10" t="s">
        <v>1809</v>
      </c>
      <c r="C43" s="28" t="s">
        <v>81</v>
      </c>
      <c r="D43" s="38" t="s">
        <v>1393</v>
      </c>
      <c r="E43" s="32">
        <v>22</v>
      </c>
      <c r="F43" s="32">
        <v>7</v>
      </c>
      <c r="G43" s="32">
        <v>2025</v>
      </c>
      <c r="H43" s="36" t="s">
        <v>66</v>
      </c>
      <c r="I43" s="29" t="s">
        <v>1414</v>
      </c>
      <c r="J43" s="28" t="s">
        <v>229</v>
      </c>
      <c r="K43" s="32">
        <v>2</v>
      </c>
      <c r="L43" s="32"/>
      <c r="M43" s="28"/>
      <c r="N43" s="28"/>
      <c r="O43" s="28" t="s">
        <v>51</v>
      </c>
      <c r="P43" s="32" t="s">
        <v>31</v>
      </c>
      <c r="Q43" s="35">
        <v>10</v>
      </c>
      <c r="R43" s="32" t="s">
        <v>31</v>
      </c>
      <c r="S43" s="5" t="s">
        <v>56</v>
      </c>
      <c r="T43" s="4" t="str">
        <f>IF(OR(Tabela1[[#This Row],[Grau de Risco]]="Médio",Tabela1[[#This Row],[Grau de Risco]]="Baixo"),"Não","Sim")</f>
        <v>Não</v>
      </c>
    </row>
    <row r="44" spans="1:20">
      <c r="A44" s="28" t="s">
        <v>8</v>
      </c>
      <c r="B44" s="10" t="s">
        <v>1809</v>
      </c>
      <c r="C44" s="28" t="s">
        <v>81</v>
      </c>
      <c r="D44" s="28" t="s">
        <v>1382</v>
      </c>
      <c r="E44" s="32">
        <v>29</v>
      </c>
      <c r="F44" s="32">
        <v>10</v>
      </c>
      <c r="G44" s="32">
        <v>2025</v>
      </c>
      <c r="H44" s="34" t="s">
        <v>1132</v>
      </c>
      <c r="I44" s="29" t="s">
        <v>1484</v>
      </c>
      <c r="J44" s="28" t="s">
        <v>111</v>
      </c>
      <c r="K44" s="32"/>
      <c r="L44" s="32"/>
      <c r="M44" s="28"/>
      <c r="N44" s="28"/>
      <c r="O44" s="28" t="s">
        <v>51</v>
      </c>
      <c r="P44" s="32" t="s">
        <v>52</v>
      </c>
      <c r="Q44" s="35">
        <v>15</v>
      </c>
      <c r="R44" s="32" t="s">
        <v>52</v>
      </c>
      <c r="S44" s="33" t="s">
        <v>4</v>
      </c>
      <c r="T44" s="4" t="str">
        <f>IF(OR(Tabela1[[#This Row],[Grau de Risco]]="Médio",Tabela1[[#This Row],[Grau de Risco]]="Baixo"),"Não","Sim")</f>
        <v>Não</v>
      </c>
    </row>
    <row r="45" spans="1:20">
      <c r="A45" s="28" t="s">
        <v>2</v>
      </c>
      <c r="B45" s="10" t="s">
        <v>1809</v>
      </c>
      <c r="C45" s="28" t="s">
        <v>81</v>
      </c>
      <c r="D45" s="28" t="s">
        <v>1382</v>
      </c>
      <c r="E45" s="32">
        <v>29</v>
      </c>
      <c r="F45" s="32">
        <v>10</v>
      </c>
      <c r="G45" s="32">
        <v>2025</v>
      </c>
      <c r="H45" s="34" t="s">
        <v>71</v>
      </c>
      <c r="I45" s="29" t="s">
        <v>1573</v>
      </c>
      <c r="J45" s="28" t="s">
        <v>76</v>
      </c>
      <c r="K45" s="32">
        <v>5</v>
      </c>
      <c r="L45" s="32">
        <v>0</v>
      </c>
      <c r="M45" s="28" t="s">
        <v>30</v>
      </c>
      <c r="N45" s="28"/>
      <c r="O45" s="28"/>
      <c r="P45" s="32" t="s">
        <v>31</v>
      </c>
      <c r="Q45" s="35">
        <v>9</v>
      </c>
      <c r="R45" s="32" t="s">
        <v>31</v>
      </c>
      <c r="S45" s="33" t="s">
        <v>56</v>
      </c>
      <c r="T45" s="4" t="str">
        <f>IF(OR(Tabela1[[#This Row],[Grau de Risco]]="Médio",Tabela1[[#This Row],[Grau de Risco]]="Baixo"),"Não","Sim")</f>
        <v>Não</v>
      </c>
    </row>
    <row r="46" spans="1:20">
      <c r="A46" s="4" t="s">
        <v>2</v>
      </c>
      <c r="B46" s="10" t="s">
        <v>1809</v>
      </c>
      <c r="C46" s="4" t="s">
        <v>81</v>
      </c>
      <c r="D46" s="38" t="s">
        <v>1320</v>
      </c>
      <c r="E46" s="3">
        <v>28</v>
      </c>
      <c r="F46" s="3">
        <v>8</v>
      </c>
      <c r="G46" s="3">
        <v>2023</v>
      </c>
      <c r="H46" s="36" t="s">
        <v>33</v>
      </c>
      <c r="I46" s="7" t="s">
        <v>1810</v>
      </c>
      <c r="J46" s="4" t="s">
        <v>229</v>
      </c>
      <c r="K46" s="3">
        <v>3</v>
      </c>
      <c r="L46" s="3">
        <v>0</v>
      </c>
      <c r="M46" s="4" t="s">
        <v>30</v>
      </c>
      <c r="N46" s="4">
        <v>0</v>
      </c>
      <c r="O46" s="4" t="s">
        <v>419</v>
      </c>
      <c r="P46" s="3" t="s">
        <v>31</v>
      </c>
      <c r="Q46" s="11">
        <v>11</v>
      </c>
      <c r="R46" s="3" t="str">
        <f>IF(Q46="","",IF(Q46&lt;4,"Crítico",IF(Q46&lt;9,"Alto",IF(Q46&lt;14,"Médio","Baixo"))))</f>
        <v>Médio</v>
      </c>
      <c r="S46" s="10" t="s">
        <v>141</v>
      </c>
      <c r="T46" s="4" t="str">
        <f>IF(OR(Tabela1[[#This Row],[Grau de Risco]]="Médio",Tabela1[[#This Row],[Grau de Risco]]="Baixo"),"Não","Sim")</f>
        <v>Não</v>
      </c>
    </row>
    <row r="47" spans="1:20" hidden="1">
      <c r="A47" s="4" t="s">
        <v>2</v>
      </c>
      <c r="B47" s="10" t="s">
        <v>1800</v>
      </c>
      <c r="C47" s="4" t="s">
        <v>81</v>
      </c>
      <c r="D47" s="38" t="s">
        <v>1393</v>
      </c>
      <c r="E47" s="3">
        <v>28</v>
      </c>
      <c r="F47" s="3">
        <v>11</v>
      </c>
      <c r="G47" s="3">
        <v>2023</v>
      </c>
      <c r="H47" s="4" t="s">
        <v>27</v>
      </c>
      <c r="I47" s="7" t="s">
        <v>678</v>
      </c>
      <c r="J47" s="4" t="s">
        <v>115</v>
      </c>
      <c r="K47" s="3">
        <v>3</v>
      </c>
      <c r="L47" s="3">
        <v>0</v>
      </c>
      <c r="M47" s="4" t="s">
        <v>30</v>
      </c>
      <c r="N47" s="4">
        <v>0</v>
      </c>
      <c r="O47" s="4" t="s">
        <v>4</v>
      </c>
      <c r="P47" s="3" t="s">
        <v>31</v>
      </c>
      <c r="Q47" s="11">
        <v>11</v>
      </c>
      <c r="R47" s="3" t="str">
        <f>IF(Q47="","",IF(Q47&lt;4,"Crítico",IF(Q47&lt;9,"Alto",IF(Q47&lt;14,"Médio","Baixo"))))</f>
        <v>Médio</v>
      </c>
      <c r="S47" s="5" t="s">
        <v>56</v>
      </c>
      <c r="T47" s="4" t="str">
        <f>IF(OR(Tabela1[[#This Row],[Grau de Risco]]="Médio",Tabela1[[#This Row],[Grau de Risco]]="Baixo"),"Não","Sim")</f>
        <v>Não</v>
      </c>
    </row>
    <row r="48" spans="1:20">
      <c r="A48" s="4" t="s">
        <v>8</v>
      </c>
      <c r="B48" s="10" t="s">
        <v>1809</v>
      </c>
      <c r="C48" s="4" t="s">
        <v>41</v>
      </c>
      <c r="D48" s="5" t="s">
        <v>148</v>
      </c>
      <c r="E48" s="3">
        <v>30</v>
      </c>
      <c r="F48" s="3">
        <v>6</v>
      </c>
      <c r="G48" s="3">
        <v>2024</v>
      </c>
      <c r="H48" s="34" t="s">
        <v>59</v>
      </c>
      <c r="I48" s="7" t="s">
        <v>775</v>
      </c>
      <c r="J48" s="4" t="s">
        <v>229</v>
      </c>
      <c r="K48" s="3">
        <v>3</v>
      </c>
      <c r="L48" s="3">
        <v>0</v>
      </c>
      <c r="M48" s="4" t="s">
        <v>25</v>
      </c>
      <c r="N48" s="4">
        <v>0</v>
      </c>
      <c r="O48" s="4" t="s">
        <v>85</v>
      </c>
      <c r="P48" s="3" t="s">
        <v>52</v>
      </c>
      <c r="Q48" s="11">
        <v>14</v>
      </c>
      <c r="R48" s="3" t="s">
        <v>52</v>
      </c>
      <c r="S48" s="5" t="s">
        <v>40</v>
      </c>
      <c r="T48" s="4" t="str">
        <f>IF(OR(Tabela1[[#This Row],[Grau de Risco]]="Médio",Tabela1[[#This Row],[Grau de Risco]]="Baixo"),"Não","Sim")</f>
        <v>Não</v>
      </c>
    </row>
    <row r="49" spans="1:20" hidden="1">
      <c r="A49" s="4" t="s">
        <v>2</v>
      </c>
      <c r="B49" s="10" t="s">
        <v>1797</v>
      </c>
      <c r="C49" s="4" t="s">
        <v>81</v>
      </c>
      <c r="D49" s="58" t="s">
        <v>1409</v>
      </c>
      <c r="E49" s="3">
        <v>26</v>
      </c>
      <c r="F49" s="3">
        <v>9</v>
      </c>
      <c r="G49" s="3">
        <v>2024</v>
      </c>
      <c r="H49" s="4" t="s">
        <v>27</v>
      </c>
      <c r="I49" s="7" t="s">
        <v>777</v>
      </c>
      <c r="J49" s="4" t="s">
        <v>50</v>
      </c>
      <c r="K49" s="3">
        <v>1</v>
      </c>
      <c r="L49" s="3">
        <v>0</v>
      </c>
      <c r="M49" s="4" t="s">
        <v>30</v>
      </c>
      <c r="N49" s="4"/>
      <c r="O49" s="4" t="s">
        <v>85</v>
      </c>
      <c r="P49" s="3" t="s">
        <v>31</v>
      </c>
      <c r="Q49" s="11">
        <v>4</v>
      </c>
      <c r="R49" s="3" t="s">
        <v>102</v>
      </c>
      <c r="S49" s="5" t="s">
        <v>40</v>
      </c>
      <c r="T49" s="4" t="str">
        <f>IF(OR(Tabela1[[#This Row],[Grau de Risco]]="Médio",Tabela1[[#This Row],[Grau de Risco]]="Baixo"),"Não","Sim")</f>
        <v>Sim</v>
      </c>
    </row>
    <row r="50" spans="1:20" hidden="1">
      <c r="A50" s="4" t="s">
        <v>7</v>
      </c>
      <c r="B50" s="10" t="s">
        <v>1805</v>
      </c>
      <c r="C50" s="4" t="s">
        <v>41</v>
      </c>
      <c r="D50" s="38" t="s">
        <v>1382</v>
      </c>
      <c r="E50" s="3">
        <v>29</v>
      </c>
      <c r="F50" s="3">
        <v>5</v>
      </c>
      <c r="G50" s="3">
        <v>2024</v>
      </c>
      <c r="H50" s="5" t="s">
        <v>256</v>
      </c>
      <c r="I50" s="7" t="s">
        <v>801</v>
      </c>
      <c r="J50" s="4" t="s">
        <v>111</v>
      </c>
      <c r="K50" s="3" t="s">
        <v>62</v>
      </c>
      <c r="L50" s="3"/>
      <c r="M50" s="4"/>
      <c r="N50" s="4"/>
      <c r="O50" s="4" t="s">
        <v>386</v>
      </c>
      <c r="P50" s="3"/>
      <c r="Q50" s="11">
        <v>7</v>
      </c>
      <c r="R50" s="3" t="s">
        <v>102</v>
      </c>
      <c r="S50" s="10" t="s">
        <v>63</v>
      </c>
      <c r="T50" s="4" t="str">
        <f>IF(OR(Tabela1[[#This Row],[Grau de Risco]]="Médio",Tabela1[[#This Row],[Grau de Risco]]="Baixo"),"Não","Sim")</f>
        <v>Sim</v>
      </c>
    </row>
    <row r="51" spans="1:20">
      <c r="A51" s="4" t="s">
        <v>8</v>
      </c>
      <c r="B51" s="10" t="s">
        <v>1809</v>
      </c>
      <c r="C51" s="4" t="s">
        <v>252</v>
      </c>
      <c r="D51" s="38" t="s">
        <v>1320</v>
      </c>
      <c r="E51" s="3">
        <v>11</v>
      </c>
      <c r="F51" s="3">
        <v>3</v>
      </c>
      <c r="G51" s="3">
        <v>2024</v>
      </c>
      <c r="H51" s="36" t="s">
        <v>375</v>
      </c>
      <c r="I51" s="7" t="s">
        <v>1811</v>
      </c>
      <c r="J51" s="4" t="s">
        <v>135</v>
      </c>
      <c r="K51" s="3">
        <v>4</v>
      </c>
      <c r="L51" s="3">
        <v>0</v>
      </c>
      <c r="M51" s="4" t="s">
        <v>25</v>
      </c>
      <c r="N51" s="4">
        <v>0</v>
      </c>
      <c r="O51" s="4" t="s">
        <v>70</v>
      </c>
      <c r="P51" s="3" t="s">
        <v>52</v>
      </c>
      <c r="Q51" s="11">
        <v>14</v>
      </c>
      <c r="R51" s="3" t="s">
        <v>52</v>
      </c>
      <c r="S51" s="10" t="s">
        <v>4</v>
      </c>
      <c r="T51" s="4" t="str">
        <f>IF(OR(Tabela1[[#This Row],[Grau de Risco]]="Médio",Tabela1[[#This Row],[Grau de Risco]]="Baixo"),"Não","Sim")</f>
        <v>Não</v>
      </c>
    </row>
    <row r="52" spans="1:20" hidden="1">
      <c r="A52" s="4" t="s">
        <v>9</v>
      </c>
      <c r="B52" s="10" t="s">
        <v>1797</v>
      </c>
      <c r="C52" s="4" t="s">
        <v>81</v>
      </c>
      <c r="D52" s="58" t="s">
        <v>1409</v>
      </c>
      <c r="E52" s="3">
        <v>23</v>
      </c>
      <c r="F52" s="3">
        <v>1</v>
      </c>
      <c r="G52" s="3">
        <v>2025</v>
      </c>
      <c r="H52" s="36" t="s">
        <v>112</v>
      </c>
      <c r="I52" s="7" t="s">
        <v>1129</v>
      </c>
      <c r="J52" s="4" t="s">
        <v>100</v>
      </c>
      <c r="K52" s="3">
        <v>1</v>
      </c>
      <c r="L52" s="3">
        <v>0</v>
      </c>
      <c r="M52" s="4" t="s">
        <v>30</v>
      </c>
      <c r="N52" s="4">
        <v>0</v>
      </c>
      <c r="O52" s="4" t="s">
        <v>101</v>
      </c>
      <c r="P52" s="3" t="s">
        <v>52</v>
      </c>
      <c r="Q52" s="11">
        <v>11</v>
      </c>
      <c r="R52" s="3" t="s">
        <v>31</v>
      </c>
      <c r="S52" s="33" t="s">
        <v>63</v>
      </c>
      <c r="T52" s="4" t="str">
        <f>IF(OR(Tabela1[[#This Row],[Grau de Risco]]="Médio",Tabela1[[#This Row],[Grau de Risco]]="Baixo"),"Não","Sim")</f>
        <v>Não</v>
      </c>
    </row>
    <row r="53" spans="1:20" hidden="1">
      <c r="A53" s="4" t="s">
        <v>10</v>
      </c>
      <c r="B53" s="10" t="s">
        <v>1797</v>
      </c>
      <c r="C53" s="4" t="s">
        <v>252</v>
      </c>
      <c r="D53" s="38" t="s">
        <v>47</v>
      </c>
      <c r="E53" s="3">
        <v>7</v>
      </c>
      <c r="F53" s="3">
        <v>2</v>
      </c>
      <c r="G53" s="3">
        <v>2025</v>
      </c>
      <c r="H53" s="5" t="s">
        <v>123</v>
      </c>
      <c r="I53" s="7" t="s">
        <v>1149</v>
      </c>
      <c r="J53" s="4" t="s">
        <v>93</v>
      </c>
      <c r="K53" s="3">
        <v>0</v>
      </c>
      <c r="L53" s="3">
        <v>0</v>
      </c>
      <c r="M53" s="4" t="s">
        <v>30</v>
      </c>
      <c r="N53" s="4">
        <v>0</v>
      </c>
      <c r="O53" s="4" t="s">
        <v>101</v>
      </c>
      <c r="P53" s="3" t="s">
        <v>52</v>
      </c>
      <c r="Q53" s="11">
        <v>15</v>
      </c>
      <c r="R53" s="3" t="s">
        <v>52</v>
      </c>
      <c r="S53" s="33" t="s">
        <v>63</v>
      </c>
      <c r="T53" s="4" t="str">
        <f>IF(OR(Tabela1[[#This Row],[Grau de Risco]]="Médio",Tabela1[[#This Row],[Grau de Risco]]="Baixo"),"Não","Sim")</f>
        <v>Não</v>
      </c>
    </row>
    <row r="54" spans="1:20" hidden="1">
      <c r="A54" s="4" t="s">
        <v>9</v>
      </c>
      <c r="B54" s="10" t="s">
        <v>1797</v>
      </c>
      <c r="C54" s="4" t="s">
        <v>81</v>
      </c>
      <c r="D54" s="38" t="s">
        <v>1382</v>
      </c>
      <c r="E54" s="3">
        <v>12</v>
      </c>
      <c r="F54" s="3">
        <v>2</v>
      </c>
      <c r="G54" s="3">
        <v>2025</v>
      </c>
      <c r="H54" s="5" t="s">
        <v>123</v>
      </c>
      <c r="I54" s="7" t="s">
        <v>1157</v>
      </c>
      <c r="J54" s="4" t="s">
        <v>35</v>
      </c>
      <c r="K54" s="3">
        <v>4</v>
      </c>
      <c r="L54" s="3">
        <v>0</v>
      </c>
      <c r="M54" s="4" t="s">
        <v>30</v>
      </c>
      <c r="N54" s="4"/>
      <c r="O54" s="4" t="s">
        <v>541</v>
      </c>
      <c r="P54" s="3" t="s">
        <v>52</v>
      </c>
      <c r="Q54" s="11">
        <v>14</v>
      </c>
      <c r="R54" s="3" t="s">
        <v>52</v>
      </c>
      <c r="S54" s="33" t="s">
        <v>63</v>
      </c>
      <c r="T54" s="4" t="str">
        <f>IF(OR(Tabela1[[#This Row],[Grau de Risco]]="Médio",Tabela1[[#This Row],[Grau de Risco]]="Baixo"),"Não","Sim")</f>
        <v>Não</v>
      </c>
    </row>
    <row r="55" spans="1:20" hidden="1">
      <c r="A55" s="4" t="s">
        <v>8</v>
      </c>
      <c r="B55" s="10" t="s">
        <v>1797</v>
      </c>
      <c r="C55" s="4" t="s">
        <v>41</v>
      </c>
      <c r="D55" s="38" t="s">
        <v>1393</v>
      </c>
      <c r="E55" s="3">
        <v>8</v>
      </c>
      <c r="F55" s="3">
        <v>4</v>
      </c>
      <c r="G55" s="3">
        <v>2025</v>
      </c>
      <c r="H55" s="36" t="s">
        <v>33</v>
      </c>
      <c r="I55" s="7" t="s">
        <v>1220</v>
      </c>
      <c r="J55" s="4" t="s">
        <v>93</v>
      </c>
      <c r="K55" s="3">
        <v>0</v>
      </c>
      <c r="L55" s="3">
        <v>0</v>
      </c>
      <c r="M55" s="4" t="s">
        <v>30</v>
      </c>
      <c r="N55" s="4">
        <v>0</v>
      </c>
      <c r="O55" s="4" t="s">
        <v>88</v>
      </c>
      <c r="P55" s="3" t="s">
        <v>52</v>
      </c>
      <c r="Q55" s="11">
        <v>15</v>
      </c>
      <c r="R55" s="3" t="s">
        <v>52</v>
      </c>
      <c r="S55" s="5" t="s">
        <v>56</v>
      </c>
      <c r="T55" s="4" t="str">
        <f>IF(OR(Tabela1[[#This Row],[Grau de Risco]]="Médio",Tabela1[[#This Row],[Grau de Risco]]="Baixo"),"Não","Sim")</f>
        <v>Não</v>
      </c>
    </row>
    <row r="56" spans="1:20" hidden="1">
      <c r="A56" s="28" t="s">
        <v>9</v>
      </c>
      <c r="B56" s="33" t="s">
        <v>1797</v>
      </c>
      <c r="C56" s="28" t="s">
        <v>41</v>
      </c>
      <c r="D56" s="58" t="s">
        <v>1409</v>
      </c>
      <c r="E56" s="32">
        <v>2</v>
      </c>
      <c r="F56" s="32">
        <v>6</v>
      </c>
      <c r="G56" s="32">
        <v>2025</v>
      </c>
      <c r="H56" s="36" t="s">
        <v>375</v>
      </c>
      <c r="I56" s="29" t="s">
        <v>1276</v>
      </c>
      <c r="J56" s="28" t="s">
        <v>135</v>
      </c>
      <c r="K56" s="32">
        <v>3</v>
      </c>
      <c r="L56" s="32"/>
      <c r="M56" s="28"/>
      <c r="N56" s="28"/>
      <c r="O56" s="28" t="s">
        <v>101</v>
      </c>
      <c r="P56" s="32" t="s">
        <v>31</v>
      </c>
      <c r="Q56" s="35">
        <v>9</v>
      </c>
      <c r="R56" s="32" t="s">
        <v>31</v>
      </c>
      <c r="S56" s="33" t="s">
        <v>63</v>
      </c>
      <c r="T56" s="4" t="str">
        <f>IF(OR(Tabela1[[#This Row],[Grau de Risco]]="Médio",Tabela1[[#This Row],[Grau de Risco]]="Baixo"),"Não","Sim")</f>
        <v>Não</v>
      </c>
    </row>
    <row r="57" spans="1:20" hidden="1">
      <c r="A57" s="4" t="s">
        <v>7</v>
      </c>
      <c r="B57" s="10" t="s">
        <v>1797</v>
      </c>
      <c r="C57" s="4" t="s">
        <v>125</v>
      </c>
      <c r="D57" s="38" t="s">
        <v>1382</v>
      </c>
      <c r="E57" s="3">
        <v>11</v>
      </c>
      <c r="F57" s="3">
        <v>6</v>
      </c>
      <c r="G57" s="3">
        <v>2025</v>
      </c>
      <c r="H57" s="5" t="s">
        <v>71</v>
      </c>
      <c r="I57" s="7" t="s">
        <v>1293</v>
      </c>
      <c r="J57" s="4" t="s">
        <v>76</v>
      </c>
      <c r="K57" s="3" t="s">
        <v>44</v>
      </c>
      <c r="L57" s="3" t="s">
        <v>44</v>
      </c>
      <c r="M57" s="4"/>
      <c r="N57" s="4" t="s">
        <v>44</v>
      </c>
      <c r="O57" s="4"/>
      <c r="P57" s="3"/>
      <c r="Q57" s="11">
        <v>14</v>
      </c>
      <c r="R57" s="3" t="s">
        <v>52</v>
      </c>
      <c r="S57" s="10" t="s">
        <v>63</v>
      </c>
      <c r="T57" s="4" t="str">
        <f>IF(OR(Tabela1[[#This Row],[Grau de Risco]]="Médio",Tabela1[[#This Row],[Grau de Risco]]="Baixo"),"Não","Sim")</f>
        <v>Não</v>
      </c>
    </row>
    <row r="58" spans="1:20" hidden="1">
      <c r="A58" s="28" t="s">
        <v>6</v>
      </c>
      <c r="B58" s="28" t="s">
        <v>1797</v>
      </c>
      <c r="C58" s="32" t="s">
        <v>81</v>
      </c>
      <c r="D58" s="32" t="s">
        <v>1320</v>
      </c>
      <c r="E58" s="32">
        <v>10</v>
      </c>
      <c r="F58" s="32">
        <v>11</v>
      </c>
      <c r="G58" s="32">
        <v>2025</v>
      </c>
      <c r="H58" s="32" t="s">
        <v>82</v>
      </c>
      <c r="I58" s="76" t="s">
        <v>1841</v>
      </c>
      <c r="J58" s="32" t="s">
        <v>115</v>
      </c>
      <c r="K58" s="32"/>
      <c r="L58" s="32"/>
      <c r="M58" s="32"/>
      <c r="N58" s="32"/>
      <c r="O58" s="32" t="s">
        <v>4</v>
      </c>
      <c r="P58" s="32"/>
      <c r="Q58" s="32">
        <v>4</v>
      </c>
      <c r="R58" s="32" t="s">
        <v>102</v>
      </c>
      <c r="S58" s="4" t="s">
        <v>141</v>
      </c>
      <c r="T58" s="4" t="str">
        <f>IF(OR(Tabela1[[#This Row],[Grau de Risco]]="Médio",Tabela1[[#This Row],[Grau de Risco]]="Baixo"),"Não","Sim")</f>
        <v>Sim</v>
      </c>
    </row>
    <row r="59" spans="1:20" hidden="1">
      <c r="A59" s="47" t="s">
        <v>6</v>
      </c>
      <c r="B59" s="10" t="s">
        <v>1797</v>
      </c>
      <c r="C59" s="4" t="s">
        <v>252</v>
      </c>
      <c r="D59" s="58" t="s">
        <v>1409</v>
      </c>
      <c r="E59" s="3">
        <v>2</v>
      </c>
      <c r="F59" s="3">
        <v>4</v>
      </c>
      <c r="G59" s="3">
        <v>2025</v>
      </c>
      <c r="H59" s="36" t="s">
        <v>107</v>
      </c>
      <c r="I59" s="7" t="s">
        <v>1216</v>
      </c>
      <c r="J59" s="4" t="s">
        <v>100</v>
      </c>
      <c r="K59" s="3"/>
      <c r="L59" s="3"/>
      <c r="M59" s="4"/>
      <c r="N59" s="4"/>
      <c r="O59" s="4"/>
      <c r="P59" s="3"/>
      <c r="Q59" s="11">
        <v>15</v>
      </c>
      <c r="R59" s="3" t="s">
        <v>52</v>
      </c>
      <c r="S59" s="5" t="s">
        <v>56</v>
      </c>
      <c r="T59" s="4" t="str">
        <f>IF(OR(Tabela1[[#This Row],[Grau de Risco]]="Médio",Tabela1[[#This Row],[Grau de Risco]]="Baixo"),"Não","Sim")</f>
        <v>Não</v>
      </c>
    </row>
    <row r="60" spans="1:20" hidden="1">
      <c r="A60" s="28" t="s">
        <v>8</v>
      </c>
      <c r="B60" s="33" t="s">
        <v>1800</v>
      </c>
      <c r="C60" s="28" t="s">
        <v>252</v>
      </c>
      <c r="D60" s="38" t="s">
        <v>36</v>
      </c>
      <c r="E60" s="32">
        <v>9</v>
      </c>
      <c r="F60" s="32">
        <v>8</v>
      </c>
      <c r="G60" s="32">
        <v>2025</v>
      </c>
      <c r="H60" s="38" t="s">
        <v>107</v>
      </c>
      <c r="I60" s="7" t="s">
        <v>1395</v>
      </c>
      <c r="J60" s="28" t="s">
        <v>229</v>
      </c>
      <c r="K60" s="32" t="s">
        <v>80</v>
      </c>
      <c r="L60" s="32" t="s">
        <v>80</v>
      </c>
      <c r="M60" s="28" t="s">
        <v>30</v>
      </c>
      <c r="N60" s="28" t="s">
        <v>80</v>
      </c>
      <c r="O60" s="28" t="s">
        <v>699</v>
      </c>
      <c r="P60" s="32" t="s">
        <v>52</v>
      </c>
      <c r="Q60" s="35">
        <v>7</v>
      </c>
      <c r="R60" s="32" t="s">
        <v>102</v>
      </c>
      <c r="S60" s="33" t="s">
        <v>32</v>
      </c>
      <c r="T60" s="4" t="str">
        <f>IF(OR(Tabela1[[#This Row],[Grau de Risco]]="Médio",Tabela1[[#This Row],[Grau de Risco]]="Baixo"),"Não","Sim")</f>
        <v>Sim</v>
      </c>
    </row>
    <row r="61" spans="1:20" hidden="1">
      <c r="A61" s="28" t="s">
        <v>9</v>
      </c>
      <c r="B61" s="33" t="s">
        <v>1797</v>
      </c>
      <c r="C61" s="28" t="s">
        <v>81</v>
      </c>
      <c r="D61" s="28" t="s">
        <v>1382</v>
      </c>
      <c r="E61" s="32">
        <v>1</v>
      </c>
      <c r="F61" s="32">
        <v>10</v>
      </c>
      <c r="G61" s="32">
        <v>2025</v>
      </c>
      <c r="H61" s="34" t="s">
        <v>375</v>
      </c>
      <c r="I61" s="29" t="s">
        <v>1574</v>
      </c>
      <c r="J61" s="28" t="s">
        <v>76</v>
      </c>
      <c r="K61" s="32"/>
      <c r="L61" s="32"/>
      <c r="M61" s="28"/>
      <c r="N61" s="28"/>
      <c r="O61" s="28"/>
      <c r="P61" s="32" t="s">
        <v>31</v>
      </c>
      <c r="Q61" s="35">
        <v>10</v>
      </c>
      <c r="R61" s="32" t="s">
        <v>31</v>
      </c>
      <c r="S61" s="33" t="s">
        <v>63</v>
      </c>
      <c r="T61" s="4" t="str">
        <f>IF(OR(Tabela1[[#This Row],[Grau de Risco]]="Médio",Tabela1[[#This Row],[Grau de Risco]]="Baixo"),"Não","Sim")</f>
        <v>Não</v>
      </c>
    </row>
    <row r="62" spans="1:20" hidden="1">
      <c r="A62" s="38" t="s">
        <v>8</v>
      </c>
      <c r="B62" s="58" t="s">
        <v>1800</v>
      </c>
      <c r="C62" s="38" t="s">
        <v>252</v>
      </c>
      <c r="D62" s="38" t="s">
        <v>148</v>
      </c>
      <c r="E62" s="38">
        <v>9</v>
      </c>
      <c r="F62" s="38">
        <v>11</v>
      </c>
      <c r="G62" s="38">
        <v>2025</v>
      </c>
      <c r="H62" s="38" t="s">
        <v>375</v>
      </c>
      <c r="I62" t="s">
        <v>1536</v>
      </c>
      <c r="J62" s="38" t="s">
        <v>61</v>
      </c>
      <c r="K62" s="38" t="s">
        <v>80</v>
      </c>
      <c r="L62" s="38" t="s">
        <v>80</v>
      </c>
      <c r="M62" s="38" t="s">
        <v>30</v>
      </c>
      <c r="N62" s="38" t="s">
        <v>80</v>
      </c>
      <c r="O62" s="42" t="s">
        <v>45</v>
      </c>
      <c r="P62" s="3" t="s">
        <v>52</v>
      </c>
      <c r="Q62" s="38">
        <v>11</v>
      </c>
      <c r="R62" s="32" t="s">
        <v>31</v>
      </c>
      <c r="S62" s="38" t="s">
        <v>56</v>
      </c>
      <c r="T62" s="4" t="str">
        <f>IF(OR(Tabela1[[#This Row],[Grau de Risco]]="Médio",Tabela1[[#This Row],[Grau de Risco]]="Baixo"),"Não","Sim")</f>
        <v>Não</v>
      </c>
    </row>
    <row r="63" spans="1:20" hidden="1">
      <c r="A63" s="4" t="s">
        <v>10</v>
      </c>
      <c r="B63" s="10" t="s">
        <v>1793</v>
      </c>
      <c r="C63" s="4" t="s">
        <v>81</v>
      </c>
      <c r="D63" s="58" t="s">
        <v>1409</v>
      </c>
      <c r="E63" s="3">
        <v>16</v>
      </c>
      <c r="F63" s="3">
        <v>11</v>
      </c>
      <c r="G63" s="3">
        <v>2023</v>
      </c>
      <c r="H63" s="4" t="s">
        <v>86</v>
      </c>
      <c r="I63" s="7" t="s">
        <v>403</v>
      </c>
      <c r="J63" s="4" t="s">
        <v>93</v>
      </c>
      <c r="K63" s="3" t="s">
        <v>62</v>
      </c>
      <c r="L63" s="3">
        <v>0</v>
      </c>
      <c r="M63" s="4" t="s">
        <v>30</v>
      </c>
      <c r="N63" s="4">
        <v>0</v>
      </c>
      <c r="O63" s="4" t="s">
        <v>386</v>
      </c>
      <c r="P63" s="3" t="s">
        <v>31</v>
      </c>
      <c r="Q63" s="11">
        <v>10</v>
      </c>
      <c r="R63" s="3" t="s">
        <v>31</v>
      </c>
      <c r="S63" s="10" t="s">
        <v>63</v>
      </c>
      <c r="T63" s="4" t="str">
        <f>IF(OR(Tabela1[[#This Row],[Grau de Risco]]="Médio",Tabela1[[#This Row],[Grau de Risco]]="Baixo"),"Não","Sim")</f>
        <v>Não</v>
      </c>
    </row>
    <row r="64" spans="1:20">
      <c r="A64" s="5" t="s">
        <v>7</v>
      </c>
      <c r="B64" s="10" t="s">
        <v>1809</v>
      </c>
      <c r="C64" s="4" t="s">
        <v>41</v>
      </c>
      <c r="D64" s="38" t="s">
        <v>47</v>
      </c>
      <c r="E64" s="3">
        <v>1</v>
      </c>
      <c r="F64" s="3">
        <v>12</v>
      </c>
      <c r="G64" s="3">
        <v>2023</v>
      </c>
      <c r="H64" s="36" t="s">
        <v>82</v>
      </c>
      <c r="I64" s="7" t="s">
        <v>646</v>
      </c>
      <c r="J64" s="4" t="s">
        <v>76</v>
      </c>
      <c r="K64" s="3" t="s">
        <v>44</v>
      </c>
      <c r="L64" s="3" t="s">
        <v>44</v>
      </c>
      <c r="M64" s="4"/>
      <c r="N64" s="4" t="s">
        <v>44</v>
      </c>
      <c r="O64" s="4"/>
      <c r="P64" s="3"/>
      <c r="Q64" s="3">
        <v>7</v>
      </c>
      <c r="R64" s="11" t="s">
        <v>102</v>
      </c>
      <c r="S64" s="10" t="s">
        <v>63</v>
      </c>
      <c r="T64" s="4" t="str">
        <f>IF(OR(Tabela1[[#This Row],[Grau de Risco]]="Médio",Tabela1[[#This Row],[Grau de Risco]]="Baixo"),"Não","Sim")</f>
        <v>Sim</v>
      </c>
    </row>
    <row r="65" spans="1:20" hidden="1">
      <c r="A65" s="4" t="s">
        <v>7</v>
      </c>
      <c r="B65" s="10" t="s">
        <v>1805</v>
      </c>
      <c r="C65" s="4" t="s">
        <v>252</v>
      </c>
      <c r="D65" s="58" t="s">
        <v>1409</v>
      </c>
      <c r="E65" s="3">
        <v>21</v>
      </c>
      <c r="F65" s="3">
        <v>11</v>
      </c>
      <c r="G65" s="3">
        <v>2024</v>
      </c>
      <c r="H65" s="59" t="s">
        <v>516</v>
      </c>
      <c r="I65" s="7" t="s">
        <v>1575</v>
      </c>
      <c r="J65" s="4" t="s">
        <v>69</v>
      </c>
      <c r="K65" s="3" t="s">
        <v>44</v>
      </c>
      <c r="L65" s="3" t="s">
        <v>44</v>
      </c>
      <c r="M65" s="4"/>
      <c r="N65" s="4" t="s">
        <v>44</v>
      </c>
      <c r="O65" s="4"/>
      <c r="P65" s="3"/>
      <c r="Q65" s="11">
        <v>15</v>
      </c>
      <c r="R65" s="3" t="s">
        <v>52</v>
      </c>
      <c r="S65" s="10" t="s">
        <v>63</v>
      </c>
      <c r="T65" s="4" t="str">
        <f>IF(OR(Tabela1[[#This Row],[Grau de Risco]]="Médio",Tabela1[[#This Row],[Grau de Risco]]="Baixo"),"Não","Sim")</f>
        <v>Não</v>
      </c>
    </row>
    <row r="66" spans="1:20" hidden="1">
      <c r="A66" s="4" t="s">
        <v>8</v>
      </c>
      <c r="B66" s="10" t="s">
        <v>1800</v>
      </c>
      <c r="C66" s="4" t="s">
        <v>81</v>
      </c>
      <c r="D66" s="38" t="s">
        <v>1393</v>
      </c>
      <c r="E66" s="3">
        <v>12</v>
      </c>
      <c r="F66" s="3">
        <v>3</v>
      </c>
      <c r="G66" s="3">
        <v>2024</v>
      </c>
      <c r="H66" s="36" t="s">
        <v>33</v>
      </c>
      <c r="I66" s="7" t="s">
        <v>866</v>
      </c>
      <c r="J66" s="4" t="s">
        <v>61</v>
      </c>
      <c r="K66" s="3">
        <v>3</v>
      </c>
      <c r="L66" s="3">
        <v>0</v>
      </c>
      <c r="M66" s="4" t="s">
        <v>25</v>
      </c>
      <c r="N66" s="4">
        <v>0</v>
      </c>
      <c r="O66" s="4" t="s">
        <v>419</v>
      </c>
      <c r="P66" s="3" t="s">
        <v>52</v>
      </c>
      <c r="Q66" s="11">
        <v>11</v>
      </c>
      <c r="R66" s="3" t="s">
        <v>31</v>
      </c>
      <c r="S66" s="10" t="s">
        <v>4</v>
      </c>
      <c r="T66" s="4" t="str">
        <f>IF(OR(Tabela1[[#This Row],[Grau de Risco]]="Médio",Tabela1[[#This Row],[Grau de Risco]]="Baixo"),"Não","Sim")</f>
        <v>Não</v>
      </c>
    </row>
    <row r="67" spans="1:20" hidden="1">
      <c r="A67" s="4" t="s">
        <v>7</v>
      </c>
      <c r="B67" s="10" t="s">
        <v>1805</v>
      </c>
      <c r="C67" s="4" t="s">
        <v>252</v>
      </c>
      <c r="D67" s="38" t="s">
        <v>47</v>
      </c>
      <c r="E67" s="3">
        <v>9</v>
      </c>
      <c r="F67" s="3">
        <v>8</v>
      </c>
      <c r="G67" s="3">
        <v>2024</v>
      </c>
      <c r="H67" s="36" t="s">
        <v>107</v>
      </c>
      <c r="I67" s="7" t="s">
        <v>908</v>
      </c>
      <c r="J67" s="4" t="s">
        <v>79</v>
      </c>
      <c r="K67" s="3" t="s">
        <v>44</v>
      </c>
      <c r="L67" s="3" t="s">
        <v>44</v>
      </c>
      <c r="M67" s="4"/>
      <c r="N67" s="4" t="s">
        <v>44</v>
      </c>
      <c r="O67" s="4"/>
      <c r="P67" s="3" t="s">
        <v>52</v>
      </c>
      <c r="Q67" s="11">
        <v>15</v>
      </c>
      <c r="R67" s="3" t="s">
        <v>52</v>
      </c>
      <c r="S67" s="10" t="s">
        <v>63</v>
      </c>
      <c r="T67" s="4" t="str">
        <f>IF(OR(Tabela1[[#This Row],[Grau de Risco]]="Médio",Tabela1[[#This Row],[Grau de Risco]]="Baixo"),"Não","Sim")</f>
        <v>Não</v>
      </c>
    </row>
    <row r="68" spans="1:20">
      <c r="A68" s="4" t="s">
        <v>2</v>
      </c>
      <c r="B68" s="10" t="s">
        <v>1809</v>
      </c>
      <c r="C68" s="4" t="s">
        <v>41</v>
      </c>
      <c r="D68" s="58" t="s">
        <v>1409</v>
      </c>
      <c r="E68" s="3">
        <v>4</v>
      </c>
      <c r="F68" s="3">
        <v>7</v>
      </c>
      <c r="G68" s="3">
        <v>2024</v>
      </c>
      <c r="H68" s="5" t="s">
        <v>71</v>
      </c>
      <c r="I68" s="7" t="s">
        <v>1041</v>
      </c>
      <c r="J68" s="4" t="s">
        <v>192</v>
      </c>
      <c r="K68" s="3">
        <v>1</v>
      </c>
      <c r="L68" s="3">
        <v>0</v>
      </c>
      <c r="M68" s="4" t="s">
        <v>30</v>
      </c>
      <c r="N68" s="4">
        <v>0</v>
      </c>
      <c r="O68" s="4" t="s">
        <v>88</v>
      </c>
      <c r="P68" s="3" t="s">
        <v>31</v>
      </c>
      <c r="Q68" s="11">
        <v>10</v>
      </c>
      <c r="R68" s="3" t="s">
        <v>31</v>
      </c>
      <c r="S68" s="10" t="s">
        <v>4</v>
      </c>
      <c r="T68" s="4" t="str">
        <f>IF(OR(Tabela1[[#This Row],[Grau de Risco]]="Médio",Tabela1[[#This Row],[Grau de Risco]]="Baixo"),"Não","Sim")</f>
        <v>Não</v>
      </c>
    </row>
    <row r="69" spans="1:20" hidden="1">
      <c r="A69" s="5" t="s">
        <v>7</v>
      </c>
      <c r="B69" s="38" t="s">
        <v>1800</v>
      </c>
      <c r="C69" s="38" t="s">
        <v>252</v>
      </c>
      <c r="D69" s="38" t="s">
        <v>1393</v>
      </c>
      <c r="E69" s="50">
        <v>27</v>
      </c>
      <c r="F69" s="50">
        <v>8</v>
      </c>
      <c r="G69" s="50">
        <v>2024</v>
      </c>
      <c r="H69" s="36" t="s">
        <v>33</v>
      </c>
      <c r="I69" s="38" t="s">
        <v>1063</v>
      </c>
      <c r="J69" s="38" t="s">
        <v>61</v>
      </c>
      <c r="K69" s="3" t="s">
        <v>44</v>
      </c>
      <c r="L69" s="38" t="s">
        <v>80</v>
      </c>
      <c r="M69" s="38" t="s">
        <v>30</v>
      </c>
      <c r="N69" s="38" t="s">
        <v>80</v>
      </c>
      <c r="O69" s="38" t="s">
        <v>4</v>
      </c>
      <c r="P69" s="38"/>
      <c r="Q69" s="38">
        <v>7</v>
      </c>
      <c r="R69" s="3" t="s">
        <v>102</v>
      </c>
      <c r="S69" s="5" t="s">
        <v>40</v>
      </c>
      <c r="T69" s="4" t="str">
        <f>IF(OR(Tabela1[[#This Row],[Grau de Risco]]="Médio",Tabela1[[#This Row],[Grau de Risco]]="Baixo"),"Não","Sim")</f>
        <v>Sim</v>
      </c>
    </row>
    <row r="70" spans="1:20" hidden="1">
      <c r="A70" s="4" t="s">
        <v>9</v>
      </c>
      <c r="B70" s="10" t="s">
        <v>1805</v>
      </c>
      <c r="C70" s="4" t="s">
        <v>41</v>
      </c>
      <c r="D70" s="38" t="s">
        <v>1320</v>
      </c>
      <c r="E70" s="3">
        <v>8</v>
      </c>
      <c r="F70" s="3">
        <v>7</v>
      </c>
      <c r="G70" s="3">
        <v>2024</v>
      </c>
      <c r="H70" s="36" t="s">
        <v>112</v>
      </c>
      <c r="I70" s="7" t="s">
        <v>1089</v>
      </c>
      <c r="J70" s="4" t="s">
        <v>93</v>
      </c>
      <c r="K70" s="3">
        <v>2</v>
      </c>
      <c r="L70" s="3">
        <v>0</v>
      </c>
      <c r="M70" s="4" t="s">
        <v>30</v>
      </c>
      <c r="N70" s="4"/>
      <c r="O70" s="4" t="s">
        <v>101</v>
      </c>
      <c r="P70" s="3" t="s">
        <v>31</v>
      </c>
      <c r="Q70" s="11">
        <v>13</v>
      </c>
      <c r="R70" s="3" t="s">
        <v>31</v>
      </c>
      <c r="S70" s="10" t="s">
        <v>63</v>
      </c>
      <c r="T70" s="4" t="str">
        <f>IF(OR(Tabela1[[#This Row],[Grau de Risco]]="Médio",Tabela1[[#This Row],[Grau de Risco]]="Baixo"),"Não","Sim")</f>
        <v>Não</v>
      </c>
    </row>
    <row r="71" spans="1:20" hidden="1">
      <c r="A71" s="4" t="s">
        <v>2</v>
      </c>
      <c r="B71" s="10" t="s">
        <v>1797</v>
      </c>
      <c r="C71" s="4" t="s">
        <v>81</v>
      </c>
      <c r="D71" s="38" t="s">
        <v>1393</v>
      </c>
      <c r="E71" s="3">
        <v>14</v>
      </c>
      <c r="F71" s="3">
        <v>1</v>
      </c>
      <c r="G71" s="3">
        <v>2025</v>
      </c>
      <c r="H71" s="36" t="s">
        <v>33</v>
      </c>
      <c r="I71" s="7" t="s">
        <v>1116</v>
      </c>
      <c r="J71" s="4" t="s">
        <v>575</v>
      </c>
      <c r="K71" s="3">
        <v>2</v>
      </c>
      <c r="L71" s="3">
        <v>0</v>
      </c>
      <c r="M71" s="4" t="s">
        <v>30</v>
      </c>
      <c r="N71" s="4">
        <v>0</v>
      </c>
      <c r="O71" s="4" t="s">
        <v>1117</v>
      </c>
      <c r="P71" s="3" t="s">
        <v>31</v>
      </c>
      <c r="Q71" s="11">
        <v>11</v>
      </c>
      <c r="R71" s="3" t="s">
        <v>31</v>
      </c>
      <c r="S71" s="5" t="s">
        <v>56</v>
      </c>
      <c r="T71" s="4" t="str">
        <f>IF(OR(Tabela1[[#This Row],[Grau de Risco]]="Médio",Tabela1[[#This Row],[Grau de Risco]]="Baixo"),"Não","Sim")</f>
        <v>Não</v>
      </c>
    </row>
    <row r="72" spans="1:20" hidden="1">
      <c r="A72" s="4" t="s">
        <v>8</v>
      </c>
      <c r="B72" s="10" t="s">
        <v>1805</v>
      </c>
      <c r="C72" s="4" t="s">
        <v>41</v>
      </c>
      <c r="D72" s="58" t="s">
        <v>1409</v>
      </c>
      <c r="E72" s="3">
        <v>30</v>
      </c>
      <c r="F72" s="3">
        <v>1</v>
      </c>
      <c r="G72" s="3">
        <v>2025</v>
      </c>
      <c r="H72" s="36" t="s">
        <v>107</v>
      </c>
      <c r="I72" s="7" t="s">
        <v>1138</v>
      </c>
      <c r="J72" s="4" t="s">
        <v>79</v>
      </c>
      <c r="K72" s="3" t="s">
        <v>44</v>
      </c>
      <c r="L72" s="3" t="s">
        <v>44</v>
      </c>
      <c r="M72" s="4"/>
      <c r="N72" s="4" t="s">
        <v>44</v>
      </c>
      <c r="O72" s="4" t="s">
        <v>45</v>
      </c>
      <c r="P72" s="3" t="s">
        <v>52</v>
      </c>
      <c r="Q72" s="11">
        <v>15</v>
      </c>
      <c r="R72" s="3" t="s">
        <v>52</v>
      </c>
      <c r="S72" s="5" t="s">
        <v>56</v>
      </c>
      <c r="T72" s="4" t="str">
        <f>IF(OR(Tabela1[[#This Row],[Grau de Risco]]="Médio",Tabela1[[#This Row],[Grau de Risco]]="Baixo"),"Não","Sim")</f>
        <v>Não</v>
      </c>
    </row>
    <row r="73" spans="1:20" hidden="1">
      <c r="A73" s="28" t="s">
        <v>7</v>
      </c>
      <c r="B73" s="33" t="s">
        <v>1800</v>
      </c>
      <c r="C73" s="28" t="s">
        <v>252</v>
      </c>
      <c r="D73" s="38" t="s">
        <v>1393</v>
      </c>
      <c r="E73" s="32">
        <v>13</v>
      </c>
      <c r="F73" s="32">
        <v>2</v>
      </c>
      <c r="G73" s="32">
        <v>2025</v>
      </c>
      <c r="H73" s="38" t="s">
        <v>107</v>
      </c>
      <c r="I73" s="29" t="s">
        <v>1576</v>
      </c>
      <c r="J73" s="28" t="s">
        <v>38</v>
      </c>
      <c r="K73" s="32" t="s">
        <v>80</v>
      </c>
      <c r="L73" s="32" t="s">
        <v>80</v>
      </c>
      <c r="M73" s="28" t="s">
        <v>30</v>
      </c>
      <c r="N73" s="28" t="s">
        <v>80</v>
      </c>
      <c r="O73" s="28"/>
      <c r="P73" s="32"/>
      <c r="Q73" s="35">
        <v>11</v>
      </c>
      <c r="R73" s="32" t="s">
        <v>31</v>
      </c>
      <c r="S73" s="33" t="s">
        <v>63</v>
      </c>
      <c r="T73" s="4" t="str">
        <f>IF(OR(Tabela1[[#This Row],[Grau de Risco]]="Médio",Tabela1[[#This Row],[Grau de Risco]]="Baixo"),"Não","Sim")</f>
        <v>Não</v>
      </c>
    </row>
    <row r="74" spans="1:20">
      <c r="A74" s="28" t="s">
        <v>2</v>
      </c>
      <c r="B74" s="10" t="s">
        <v>1809</v>
      </c>
      <c r="C74" s="28" t="s">
        <v>41</v>
      </c>
      <c r="D74" s="58" t="s">
        <v>1409</v>
      </c>
      <c r="E74" s="32">
        <v>10</v>
      </c>
      <c r="F74" s="32">
        <v>4</v>
      </c>
      <c r="G74" s="32">
        <v>2025</v>
      </c>
      <c r="H74" s="36" t="s">
        <v>33</v>
      </c>
      <c r="I74" s="29" t="s">
        <v>1226</v>
      </c>
      <c r="J74" s="28" t="s">
        <v>229</v>
      </c>
      <c r="K74" s="32">
        <v>30</v>
      </c>
      <c r="L74" s="32"/>
      <c r="M74" s="28"/>
      <c r="N74" s="28"/>
      <c r="O74" s="28" t="s">
        <v>4</v>
      </c>
      <c r="P74" s="32" t="s">
        <v>31</v>
      </c>
      <c r="Q74" s="11">
        <v>10</v>
      </c>
      <c r="R74" s="3" t="s">
        <v>31</v>
      </c>
      <c r="S74" s="5" t="s">
        <v>56</v>
      </c>
      <c r="T74" s="4" t="str">
        <f>IF(OR(Tabela1[[#This Row],[Grau de Risco]]="Médio",Tabela1[[#This Row],[Grau de Risco]]="Baixo"),"Não","Sim")</f>
        <v>Não</v>
      </c>
    </row>
    <row r="75" spans="1:20" hidden="1">
      <c r="A75" s="28" t="s">
        <v>2</v>
      </c>
      <c r="B75" s="33" t="s">
        <v>1797</v>
      </c>
      <c r="C75" s="28" t="s">
        <v>252</v>
      </c>
      <c r="D75" s="38" t="s">
        <v>1320</v>
      </c>
      <c r="E75" s="32">
        <v>27</v>
      </c>
      <c r="F75" s="32">
        <v>6</v>
      </c>
      <c r="G75" s="32">
        <v>2025</v>
      </c>
      <c r="H75" s="5" t="s">
        <v>71</v>
      </c>
      <c r="I75" s="29" t="s">
        <v>1331</v>
      </c>
      <c r="J75" s="28" t="s">
        <v>61</v>
      </c>
      <c r="K75" s="32">
        <v>3</v>
      </c>
      <c r="L75" s="32"/>
      <c r="M75" s="28"/>
      <c r="N75" s="28"/>
      <c r="O75" s="28" t="s">
        <v>129</v>
      </c>
      <c r="P75" s="32" t="s">
        <v>31</v>
      </c>
      <c r="Q75" s="35">
        <v>11</v>
      </c>
      <c r="R75" s="32" t="s">
        <v>31</v>
      </c>
      <c r="S75" s="10" t="s">
        <v>4</v>
      </c>
      <c r="T75" s="4" t="str">
        <f>IF(OR(Tabela1[[#This Row],[Grau de Risco]]="Médio",Tabela1[[#This Row],[Grau de Risco]]="Baixo"),"Não","Sim")</f>
        <v>Não</v>
      </c>
    </row>
    <row r="76" spans="1:20">
      <c r="A76" s="28" t="s">
        <v>7</v>
      </c>
      <c r="B76" s="10" t="s">
        <v>1809</v>
      </c>
      <c r="C76" s="28" t="s">
        <v>252</v>
      </c>
      <c r="D76" s="36" t="s">
        <v>1320</v>
      </c>
      <c r="E76" s="32">
        <v>28</v>
      </c>
      <c r="F76" s="32">
        <v>7</v>
      </c>
      <c r="G76" s="32">
        <v>2025</v>
      </c>
      <c r="H76" s="36" t="s">
        <v>82</v>
      </c>
      <c r="I76" s="29" t="s">
        <v>1577</v>
      </c>
      <c r="J76" s="28" t="s">
        <v>84</v>
      </c>
      <c r="K76" s="32" t="s">
        <v>44</v>
      </c>
      <c r="L76" s="32" t="s">
        <v>44</v>
      </c>
      <c r="M76" s="28" t="s">
        <v>30</v>
      </c>
      <c r="N76" s="28" t="s">
        <v>44</v>
      </c>
      <c r="O76" s="28"/>
      <c r="P76" s="32"/>
      <c r="Q76" s="35">
        <v>11</v>
      </c>
      <c r="R76" s="32" t="s">
        <v>31</v>
      </c>
      <c r="S76" s="5" t="s">
        <v>40</v>
      </c>
      <c r="T76" s="4" t="str">
        <f>IF(OR(Tabela1[[#This Row],[Grau de Risco]]="Médio",Tabela1[[#This Row],[Grau de Risco]]="Baixo"),"Não","Sim")</f>
        <v>Não</v>
      </c>
    </row>
    <row r="77" spans="1:20" hidden="1">
      <c r="A77" s="28" t="s">
        <v>7</v>
      </c>
      <c r="B77" s="33" t="s">
        <v>1797</v>
      </c>
      <c r="C77" s="28" t="s">
        <v>252</v>
      </c>
      <c r="D77" s="28" t="s">
        <v>148</v>
      </c>
      <c r="E77" s="32">
        <v>3</v>
      </c>
      <c r="F77" s="32">
        <v>8</v>
      </c>
      <c r="G77" s="32">
        <v>2025</v>
      </c>
      <c r="H77" s="34" t="s">
        <v>112</v>
      </c>
      <c r="I77" s="29" t="s">
        <v>1376</v>
      </c>
      <c r="J77" s="28" t="s">
        <v>135</v>
      </c>
      <c r="K77" s="32"/>
      <c r="L77" s="32"/>
      <c r="M77" s="28"/>
      <c r="N77" s="28"/>
      <c r="O77" s="28" t="s">
        <v>77</v>
      </c>
      <c r="P77" s="32"/>
      <c r="Q77" s="35">
        <v>13</v>
      </c>
      <c r="R77" s="32" t="s">
        <v>31</v>
      </c>
      <c r="S77" s="33" t="s">
        <v>63</v>
      </c>
      <c r="T77" s="4" t="str">
        <f>IF(OR(Tabela1[[#This Row],[Grau de Risco]]="Médio",Tabela1[[#This Row],[Grau de Risco]]="Baixo"),"Não","Sim")</f>
        <v>Não</v>
      </c>
    </row>
    <row r="78" spans="1:20">
      <c r="A78" s="28" t="s">
        <v>7</v>
      </c>
      <c r="B78" s="10" t="s">
        <v>1809</v>
      </c>
      <c r="C78" s="28" t="s">
        <v>81</v>
      </c>
      <c r="D78" s="28" t="s">
        <v>47</v>
      </c>
      <c r="E78" s="32">
        <v>10</v>
      </c>
      <c r="F78" s="32">
        <v>10</v>
      </c>
      <c r="G78" s="32">
        <v>2025</v>
      </c>
      <c r="H78" s="34" t="s">
        <v>82</v>
      </c>
      <c r="I78" s="29" t="s">
        <v>1475</v>
      </c>
      <c r="J78" s="28" t="s">
        <v>229</v>
      </c>
      <c r="K78" s="32"/>
      <c r="L78" s="32"/>
      <c r="M78" s="28"/>
      <c r="N78" s="28"/>
      <c r="O78" s="28" t="s">
        <v>51</v>
      </c>
      <c r="P78" s="32"/>
      <c r="Q78" s="35">
        <v>13</v>
      </c>
      <c r="R78" s="32" t="s">
        <v>31</v>
      </c>
      <c r="S78" s="10" t="s">
        <v>32</v>
      </c>
      <c r="T78" s="4" t="str">
        <f>IF(OR(Tabela1[[#This Row],[Grau de Risco]]="Médio",Tabela1[[#This Row],[Grau de Risco]]="Baixo"),"Não","Sim")</f>
        <v>Não</v>
      </c>
    </row>
    <row r="79" spans="1:20" hidden="1">
      <c r="A79" s="28" t="s">
        <v>7</v>
      </c>
      <c r="B79" s="33" t="s">
        <v>1800</v>
      </c>
      <c r="C79" s="28" t="s">
        <v>252</v>
      </c>
      <c r="D79" s="38" t="s">
        <v>1382</v>
      </c>
      <c r="E79" s="32">
        <v>15</v>
      </c>
      <c r="F79" s="32">
        <v>10</v>
      </c>
      <c r="G79" s="32">
        <v>2025</v>
      </c>
      <c r="H79" s="38" t="s">
        <v>107</v>
      </c>
      <c r="I79" s="7" t="s">
        <v>1502</v>
      </c>
      <c r="J79" s="28" t="s">
        <v>84</v>
      </c>
      <c r="K79" s="32" t="s">
        <v>80</v>
      </c>
      <c r="L79" s="32" t="s">
        <v>80</v>
      </c>
      <c r="M79" s="28" t="s">
        <v>30</v>
      </c>
      <c r="N79" s="28" t="s">
        <v>80</v>
      </c>
      <c r="O79" s="4" t="s">
        <v>167</v>
      </c>
      <c r="P79" s="32" t="s">
        <v>44</v>
      </c>
      <c r="Q79" s="35">
        <v>11</v>
      </c>
      <c r="R79" s="32" t="s">
        <v>31</v>
      </c>
      <c r="S79" s="33" t="s">
        <v>63</v>
      </c>
      <c r="T79" s="4" t="str">
        <f>IF(OR(Tabela1[[#This Row],[Grau de Risco]]="Médio",Tabela1[[#This Row],[Grau de Risco]]="Baixo"),"Não","Sim")</f>
        <v>Não</v>
      </c>
    </row>
    <row r="80" spans="1:20" hidden="1">
      <c r="A80" s="28" t="s">
        <v>1110</v>
      </c>
      <c r="B80" s="33" t="s">
        <v>1805</v>
      </c>
      <c r="C80" s="28" t="s">
        <v>252</v>
      </c>
      <c r="D80" s="28" t="s">
        <v>47</v>
      </c>
      <c r="E80" s="32">
        <v>31</v>
      </c>
      <c r="F80" s="32">
        <v>10</v>
      </c>
      <c r="G80" s="32">
        <v>2025</v>
      </c>
      <c r="H80" s="34" t="s">
        <v>27</v>
      </c>
      <c r="I80" s="29" t="s">
        <v>1578</v>
      </c>
      <c r="J80" s="28" t="s">
        <v>69</v>
      </c>
      <c r="K80" s="32" t="s">
        <v>44</v>
      </c>
      <c r="L80" s="32" t="s">
        <v>44</v>
      </c>
      <c r="M80" s="28"/>
      <c r="N80" s="28" t="s">
        <v>44</v>
      </c>
      <c r="O80" s="28"/>
      <c r="P80" s="32"/>
      <c r="Q80" s="35">
        <v>14</v>
      </c>
      <c r="R80" s="3" t="s">
        <v>52</v>
      </c>
      <c r="S80" s="33" t="s">
        <v>63</v>
      </c>
      <c r="T80" s="4" t="str">
        <f>IF(OR(Tabela1[[#This Row],[Grau de Risco]]="Médio",Tabela1[[#This Row],[Grau de Risco]]="Baixo"),"Não","Sim")</f>
        <v>Não</v>
      </c>
    </row>
    <row r="81" spans="1:20">
      <c r="A81" s="4" t="s">
        <v>2</v>
      </c>
      <c r="B81" s="10" t="s">
        <v>1809</v>
      </c>
      <c r="C81" s="4" t="s">
        <v>81</v>
      </c>
      <c r="D81" s="5" t="s">
        <v>1409</v>
      </c>
      <c r="E81" s="3">
        <v>31</v>
      </c>
      <c r="F81" s="3">
        <v>7</v>
      </c>
      <c r="G81" s="3">
        <v>2025</v>
      </c>
      <c r="H81" s="5" t="s">
        <v>27</v>
      </c>
      <c r="I81" s="7" t="s">
        <v>1527</v>
      </c>
      <c r="J81" s="4" t="s">
        <v>84</v>
      </c>
      <c r="K81" s="3">
        <v>5</v>
      </c>
      <c r="L81" s="3">
        <v>0</v>
      </c>
      <c r="M81" s="4" t="s">
        <v>30</v>
      </c>
      <c r="N81" s="4">
        <v>60</v>
      </c>
      <c r="O81" s="4" t="s">
        <v>55</v>
      </c>
      <c r="P81" s="3" t="s">
        <v>31</v>
      </c>
      <c r="Q81" s="11">
        <v>9</v>
      </c>
      <c r="R81" s="3" t="s">
        <v>31</v>
      </c>
      <c r="S81" s="10" t="s">
        <v>56</v>
      </c>
      <c r="T81" s="4" t="str">
        <f>IF(OR(Tabela1[[#This Row],[Grau de Risco]]="Médio",Tabela1[[#This Row],[Grau de Risco]]="Baixo"),"Não","Sim")</f>
        <v>Não</v>
      </c>
    </row>
    <row r="82" spans="1:20">
      <c r="A82" s="5" t="s">
        <v>9</v>
      </c>
      <c r="B82" s="10" t="s">
        <v>1809</v>
      </c>
      <c r="C82" s="5" t="s">
        <v>81</v>
      </c>
      <c r="D82" s="38" t="s">
        <v>1393</v>
      </c>
      <c r="E82" s="2">
        <v>22</v>
      </c>
      <c r="F82" s="2">
        <v>11</v>
      </c>
      <c r="G82" s="2">
        <v>2022</v>
      </c>
      <c r="H82" s="5" t="s">
        <v>127</v>
      </c>
      <c r="I82" s="5" t="s">
        <v>264</v>
      </c>
      <c r="J82" s="5" t="s">
        <v>54</v>
      </c>
      <c r="K82" s="2">
        <v>30</v>
      </c>
      <c r="L82" s="2">
        <v>30</v>
      </c>
      <c r="M82" s="5" t="s">
        <v>30</v>
      </c>
      <c r="O82" s="5" t="s">
        <v>101</v>
      </c>
      <c r="P82" s="2" t="s">
        <v>31</v>
      </c>
      <c r="Q82" s="2">
        <v>4</v>
      </c>
      <c r="R82" s="2" t="s">
        <v>102</v>
      </c>
      <c r="S82" s="5" t="s">
        <v>63</v>
      </c>
      <c r="T82" s="4" t="str">
        <f>IF(OR(Tabela1[[#This Row],[Grau de Risco]]="Médio",Tabela1[[#This Row],[Grau de Risco]]="Baixo"),"Não","Sim")</f>
        <v>Sim</v>
      </c>
    </row>
    <row r="83" spans="1:20">
      <c r="A83" s="4" t="s">
        <v>7</v>
      </c>
      <c r="B83" s="10" t="s">
        <v>1809</v>
      </c>
      <c r="C83" s="4" t="s">
        <v>81</v>
      </c>
      <c r="D83" s="38" t="s">
        <v>47</v>
      </c>
      <c r="E83" s="3">
        <v>29</v>
      </c>
      <c r="F83" s="3">
        <v>9</v>
      </c>
      <c r="G83" s="3">
        <v>2023</v>
      </c>
      <c r="H83" s="4" t="s">
        <v>27</v>
      </c>
      <c r="I83" s="7" t="s">
        <v>428</v>
      </c>
      <c r="J83" s="4" t="s">
        <v>61</v>
      </c>
      <c r="K83" s="3">
        <v>0</v>
      </c>
      <c r="L83" s="3">
        <v>0</v>
      </c>
      <c r="M83" s="4" t="s">
        <v>30</v>
      </c>
      <c r="N83" s="4">
        <v>0</v>
      </c>
      <c r="O83" s="4" t="s">
        <v>4</v>
      </c>
      <c r="P83" s="3" t="s">
        <v>52</v>
      </c>
      <c r="Q83" s="11">
        <v>11</v>
      </c>
      <c r="R83" s="3" t="str">
        <f>IF(Q83="","",IF(Q83&lt;4,"Crítico",IF(Q83&lt;9,"Alto",IF(Q83&lt;14,"Médio","Baixo"))))</f>
        <v>Médio</v>
      </c>
      <c r="S83" s="10" t="s">
        <v>32</v>
      </c>
      <c r="T83" s="4" t="str">
        <f>IF(OR(Tabela1[[#This Row],[Grau de Risco]]="Médio",Tabela1[[#This Row],[Grau de Risco]]="Baixo"),"Não","Sim")</f>
        <v>Não</v>
      </c>
    </row>
    <row r="84" spans="1:20">
      <c r="A84" s="4" t="s">
        <v>2</v>
      </c>
      <c r="B84" s="10" t="s">
        <v>1809</v>
      </c>
      <c r="C84" s="4" t="s">
        <v>81</v>
      </c>
      <c r="D84" s="38" t="s">
        <v>1320</v>
      </c>
      <c r="E84" s="3">
        <v>4</v>
      </c>
      <c r="F84" s="3">
        <v>12</v>
      </c>
      <c r="G84" s="3">
        <v>2023</v>
      </c>
      <c r="H84" s="36" t="s">
        <v>107</v>
      </c>
      <c r="I84" s="7" t="s">
        <v>465</v>
      </c>
      <c r="J84" s="4" t="s">
        <v>76</v>
      </c>
      <c r="K84" s="3">
        <v>4</v>
      </c>
      <c r="L84" s="3">
        <v>0</v>
      </c>
      <c r="M84" s="4" t="s">
        <v>30</v>
      </c>
      <c r="N84" s="4">
        <v>0</v>
      </c>
      <c r="O84" s="4" t="s">
        <v>74</v>
      </c>
      <c r="P84" s="3" t="s">
        <v>31</v>
      </c>
      <c r="Q84" s="3">
        <v>11</v>
      </c>
      <c r="R84" s="11" t="s">
        <v>31</v>
      </c>
      <c r="S84" s="10" t="s">
        <v>32</v>
      </c>
      <c r="T84" s="4" t="str">
        <f>IF(OR(Tabela1[[#This Row],[Grau de Risco]]="Médio",Tabela1[[#This Row],[Grau de Risco]]="Baixo"),"Não","Sim")</f>
        <v>Não</v>
      </c>
    </row>
    <row r="85" spans="1:20" hidden="1">
      <c r="A85" s="4" t="s">
        <v>2</v>
      </c>
      <c r="B85" s="10" t="s">
        <v>1805</v>
      </c>
      <c r="C85" s="4" t="s">
        <v>81</v>
      </c>
      <c r="D85" s="38" t="s">
        <v>1382</v>
      </c>
      <c r="E85" s="3">
        <v>18</v>
      </c>
      <c r="F85" s="3">
        <v>10</v>
      </c>
      <c r="G85" s="3">
        <v>2023</v>
      </c>
      <c r="H85" s="5" t="s">
        <v>48</v>
      </c>
      <c r="I85" s="7" t="s">
        <v>500</v>
      </c>
      <c r="J85" s="4" t="s">
        <v>29</v>
      </c>
      <c r="K85" s="3">
        <v>1</v>
      </c>
      <c r="L85" s="3">
        <v>0</v>
      </c>
      <c r="M85" s="4" t="s">
        <v>30</v>
      </c>
      <c r="N85" s="4">
        <v>0</v>
      </c>
      <c r="O85" s="4" t="s">
        <v>70</v>
      </c>
      <c r="P85" s="3" t="s">
        <v>52</v>
      </c>
      <c r="Q85" s="3">
        <v>14</v>
      </c>
      <c r="R85" s="11" t="s">
        <v>52</v>
      </c>
      <c r="S85" s="5" t="s">
        <v>56</v>
      </c>
      <c r="T85" s="4" t="str">
        <f>IF(OR(Tabela1[[#This Row],[Grau de Risco]]="Médio",Tabela1[[#This Row],[Grau de Risco]]="Baixo"),"Não","Sim")</f>
        <v>Não</v>
      </c>
    </row>
    <row r="86" spans="1:20" hidden="1">
      <c r="A86" s="4" t="s">
        <v>2</v>
      </c>
      <c r="B86" s="10" t="s">
        <v>1793</v>
      </c>
      <c r="C86" s="4" t="s">
        <v>81</v>
      </c>
      <c r="D86" s="38" t="s">
        <v>1393</v>
      </c>
      <c r="E86" s="3">
        <v>19</v>
      </c>
      <c r="F86" s="3">
        <v>9</v>
      </c>
      <c r="G86" s="3">
        <v>2023</v>
      </c>
      <c r="H86" s="5" t="s">
        <v>71</v>
      </c>
      <c r="I86" s="7" t="s">
        <v>583</v>
      </c>
      <c r="J86" s="4" t="s">
        <v>35</v>
      </c>
      <c r="K86" s="3">
        <v>3</v>
      </c>
      <c r="L86" s="3">
        <v>0</v>
      </c>
      <c r="M86" s="4" t="s">
        <v>30</v>
      </c>
      <c r="N86" s="4">
        <v>0</v>
      </c>
      <c r="O86" s="4" t="s">
        <v>99</v>
      </c>
      <c r="P86" s="3" t="s">
        <v>31</v>
      </c>
      <c r="Q86" s="11">
        <v>4</v>
      </c>
      <c r="R86" s="3" t="s">
        <v>102</v>
      </c>
      <c r="S86" s="5" t="s">
        <v>56</v>
      </c>
      <c r="T86" s="4" t="str">
        <f>IF(OR(Tabela1[[#This Row],[Grau de Risco]]="Médio",Tabela1[[#This Row],[Grau de Risco]]="Baixo"),"Não","Sim")</f>
        <v>Sim</v>
      </c>
    </row>
    <row r="87" spans="1:20" hidden="1">
      <c r="A87" s="4" t="s">
        <v>2</v>
      </c>
      <c r="B87" s="10" t="s">
        <v>1797</v>
      </c>
      <c r="C87" s="4" t="s">
        <v>81</v>
      </c>
      <c r="D87" s="38" t="s">
        <v>47</v>
      </c>
      <c r="E87" s="3">
        <v>10</v>
      </c>
      <c r="F87" s="3">
        <v>5</v>
      </c>
      <c r="G87" s="3">
        <v>2024</v>
      </c>
      <c r="H87" s="36" t="s">
        <v>66</v>
      </c>
      <c r="I87" s="7" t="s">
        <v>727</v>
      </c>
      <c r="J87" s="4" t="s">
        <v>93</v>
      </c>
      <c r="K87" s="3">
        <v>1</v>
      </c>
      <c r="L87" s="3">
        <v>0</v>
      </c>
      <c r="M87" s="4" t="s">
        <v>30</v>
      </c>
      <c r="N87" s="4">
        <v>0</v>
      </c>
      <c r="O87" s="4" t="s">
        <v>88</v>
      </c>
      <c r="P87" s="3" t="s">
        <v>52</v>
      </c>
      <c r="Q87" s="11">
        <v>11</v>
      </c>
      <c r="R87" s="3" t="s">
        <v>31</v>
      </c>
      <c r="S87" s="10" t="s">
        <v>144</v>
      </c>
      <c r="T87" s="4" t="str">
        <f>IF(OR(Tabela1[[#This Row],[Grau de Risco]]="Médio",Tabela1[[#This Row],[Grau de Risco]]="Baixo"),"Não","Sim")</f>
        <v>Não</v>
      </c>
    </row>
    <row r="88" spans="1:20" hidden="1">
      <c r="A88" s="4" t="s">
        <v>8</v>
      </c>
      <c r="B88" s="10" t="s">
        <v>1797</v>
      </c>
      <c r="C88" s="4" t="s">
        <v>81</v>
      </c>
      <c r="D88" s="38" t="s">
        <v>1320</v>
      </c>
      <c r="E88" s="3">
        <v>24</v>
      </c>
      <c r="F88" s="3">
        <v>6</v>
      </c>
      <c r="G88" s="3">
        <v>2024</v>
      </c>
      <c r="H88" s="36" t="s">
        <v>82</v>
      </c>
      <c r="I88" s="7" t="s">
        <v>1579</v>
      </c>
      <c r="J88" s="4" t="s">
        <v>93</v>
      </c>
      <c r="K88" s="3" t="s">
        <v>44</v>
      </c>
      <c r="L88" s="3" t="s">
        <v>44</v>
      </c>
      <c r="M88" s="4" t="s">
        <v>30</v>
      </c>
      <c r="N88" s="4">
        <v>0</v>
      </c>
      <c r="O88" s="4"/>
      <c r="P88" s="3" t="s">
        <v>52</v>
      </c>
      <c r="Q88" s="11">
        <v>11</v>
      </c>
      <c r="R88" s="3" t="s">
        <v>31</v>
      </c>
      <c r="S88" s="5" t="s">
        <v>56</v>
      </c>
      <c r="T88" s="4" t="str">
        <f>IF(OR(Tabela1[[#This Row],[Grau de Risco]]="Médio",Tabela1[[#This Row],[Grau de Risco]]="Baixo"),"Não","Sim")</f>
        <v>Não</v>
      </c>
    </row>
    <row r="89" spans="1:20">
      <c r="A89" s="4" t="s">
        <v>7</v>
      </c>
      <c r="B89" s="10" t="s">
        <v>1809</v>
      </c>
      <c r="C89" s="4" t="s">
        <v>81</v>
      </c>
      <c r="D89" s="58" t="s">
        <v>1409</v>
      </c>
      <c r="E89" s="3">
        <v>26</v>
      </c>
      <c r="F89" s="3">
        <v>9</v>
      </c>
      <c r="G89" s="3">
        <v>2024</v>
      </c>
      <c r="H89" s="4" t="s">
        <v>27</v>
      </c>
      <c r="I89" s="7" t="s">
        <v>759</v>
      </c>
      <c r="J89" s="4" t="s">
        <v>115</v>
      </c>
      <c r="K89" s="3"/>
      <c r="L89" s="3"/>
      <c r="M89" s="4"/>
      <c r="N89" s="4"/>
      <c r="O89" s="4" t="s">
        <v>85</v>
      </c>
      <c r="P89" s="3"/>
      <c r="Q89" s="11">
        <v>15</v>
      </c>
      <c r="R89" s="3" t="s">
        <v>52</v>
      </c>
      <c r="S89" s="5" t="s">
        <v>40</v>
      </c>
      <c r="T89" s="4" t="str">
        <f>IF(OR(Tabela1[[#This Row],[Grau de Risco]]="Médio",Tabela1[[#This Row],[Grau de Risco]]="Baixo"),"Não","Sim")</f>
        <v>Não</v>
      </c>
    </row>
    <row r="90" spans="1:20">
      <c r="A90" s="4" t="s">
        <v>7</v>
      </c>
      <c r="B90" s="10" t="s">
        <v>1809</v>
      </c>
      <c r="C90" s="4" t="s">
        <v>41</v>
      </c>
      <c r="D90" s="38" t="s">
        <v>1320</v>
      </c>
      <c r="E90" s="3">
        <v>30</v>
      </c>
      <c r="F90" s="3">
        <v>9</v>
      </c>
      <c r="G90" s="3">
        <v>2024</v>
      </c>
      <c r="H90" s="4" t="s">
        <v>27</v>
      </c>
      <c r="I90" s="7" t="s">
        <v>828</v>
      </c>
      <c r="J90" s="4" t="s">
        <v>61</v>
      </c>
      <c r="K90" s="3"/>
      <c r="L90" s="3"/>
      <c r="M90" s="4"/>
      <c r="N90" s="4"/>
      <c r="O90" s="4" t="s">
        <v>4</v>
      </c>
      <c r="P90" s="3"/>
      <c r="Q90" s="11">
        <v>7</v>
      </c>
      <c r="R90" s="3" t="s">
        <v>102</v>
      </c>
      <c r="S90" s="5" t="s">
        <v>40</v>
      </c>
      <c r="T90" s="4" t="str">
        <f>IF(OR(Tabela1[[#This Row],[Grau de Risco]]="Médio",Tabela1[[#This Row],[Grau de Risco]]="Baixo"),"Não","Sim")</f>
        <v>Sim</v>
      </c>
    </row>
    <row r="91" spans="1:20" hidden="1">
      <c r="A91" s="4" t="s">
        <v>7</v>
      </c>
      <c r="B91" s="10" t="s">
        <v>1805</v>
      </c>
      <c r="C91" s="4" t="s">
        <v>252</v>
      </c>
      <c r="D91" s="38" t="s">
        <v>1320</v>
      </c>
      <c r="E91" s="3">
        <v>23</v>
      </c>
      <c r="F91" s="3">
        <v>12</v>
      </c>
      <c r="G91" s="3">
        <v>2024</v>
      </c>
      <c r="H91" s="36" t="s">
        <v>375</v>
      </c>
      <c r="I91" s="7" t="s">
        <v>869</v>
      </c>
      <c r="J91" s="4" t="s">
        <v>61</v>
      </c>
      <c r="K91" s="3"/>
      <c r="L91" s="3"/>
      <c r="M91" s="4"/>
      <c r="N91" s="4"/>
      <c r="O91" s="4" t="s">
        <v>4</v>
      </c>
      <c r="P91" s="3"/>
      <c r="Q91" s="11">
        <v>15</v>
      </c>
      <c r="R91" s="3" t="s">
        <v>52</v>
      </c>
      <c r="S91" s="10" t="s">
        <v>63</v>
      </c>
      <c r="T91" s="4" t="str">
        <f>IF(OR(Tabela1[[#This Row],[Grau de Risco]]="Médio",Tabela1[[#This Row],[Grau de Risco]]="Baixo"),"Não","Sim")</f>
        <v>Não</v>
      </c>
    </row>
    <row r="92" spans="1:20" hidden="1">
      <c r="A92" s="4" t="s">
        <v>8</v>
      </c>
      <c r="B92" s="10" t="s">
        <v>1805</v>
      </c>
      <c r="C92" s="4" t="s">
        <v>81</v>
      </c>
      <c r="D92" s="38" t="s">
        <v>1320</v>
      </c>
      <c r="E92" s="3">
        <v>9</v>
      </c>
      <c r="F92" s="3">
        <v>12</v>
      </c>
      <c r="G92" s="3">
        <v>2024</v>
      </c>
      <c r="H92" s="36" t="s">
        <v>107</v>
      </c>
      <c r="I92" s="7" t="s">
        <v>913</v>
      </c>
      <c r="J92" s="4" t="s">
        <v>79</v>
      </c>
      <c r="K92" s="3" t="s">
        <v>44</v>
      </c>
      <c r="L92" s="3" t="s">
        <v>44</v>
      </c>
      <c r="M92" s="4"/>
      <c r="N92" s="4" t="s">
        <v>44</v>
      </c>
      <c r="O92" s="4" t="s">
        <v>88</v>
      </c>
      <c r="P92" s="3" t="s">
        <v>52</v>
      </c>
      <c r="Q92" s="11">
        <v>15</v>
      </c>
      <c r="R92" s="3" t="s">
        <v>52</v>
      </c>
      <c r="S92" s="10" t="s">
        <v>32</v>
      </c>
      <c r="T92" s="4" t="str">
        <f>IF(OR(Tabela1[[#This Row],[Grau de Risco]]="Médio",Tabela1[[#This Row],[Grau de Risco]]="Baixo"),"Não","Sim")</f>
        <v>Não</v>
      </c>
    </row>
    <row r="93" spans="1:20" hidden="1">
      <c r="A93" s="4" t="s">
        <v>2</v>
      </c>
      <c r="B93" s="10" t="s">
        <v>1793</v>
      </c>
      <c r="C93" s="4" t="s">
        <v>125</v>
      </c>
      <c r="D93" s="38" t="s">
        <v>1320</v>
      </c>
      <c r="E93" s="3">
        <v>11</v>
      </c>
      <c r="F93" s="3">
        <v>11</v>
      </c>
      <c r="G93" s="3">
        <v>2024</v>
      </c>
      <c r="H93" s="36" t="s">
        <v>107</v>
      </c>
      <c r="I93" s="7" t="s">
        <v>964</v>
      </c>
      <c r="J93" s="4" t="s">
        <v>50</v>
      </c>
      <c r="K93" s="3">
        <v>4</v>
      </c>
      <c r="L93" s="3">
        <v>0</v>
      </c>
      <c r="M93" s="4" t="s">
        <v>30</v>
      </c>
      <c r="N93" s="4"/>
      <c r="O93" s="4" t="s">
        <v>45</v>
      </c>
      <c r="P93" s="3" t="s">
        <v>52</v>
      </c>
      <c r="Q93" s="11">
        <v>10</v>
      </c>
      <c r="R93" s="3" t="s">
        <v>31</v>
      </c>
      <c r="S93" s="5" t="s">
        <v>56</v>
      </c>
      <c r="T93" s="4" t="str">
        <f>IF(OR(Tabela1[[#This Row],[Grau de Risco]]="Médio",Tabela1[[#This Row],[Grau de Risco]]="Baixo"),"Não","Sim")</f>
        <v>Não</v>
      </c>
    </row>
    <row r="94" spans="1:20" hidden="1">
      <c r="A94" s="28" t="s">
        <v>2</v>
      </c>
      <c r="B94" s="33" t="s">
        <v>1805</v>
      </c>
      <c r="C94" s="28"/>
      <c r="D94" s="58" t="s">
        <v>1409</v>
      </c>
      <c r="E94" s="32">
        <v>14</v>
      </c>
      <c r="F94" s="32">
        <v>11</v>
      </c>
      <c r="G94" s="32">
        <v>2024</v>
      </c>
      <c r="H94" s="36" t="s">
        <v>33</v>
      </c>
      <c r="I94" s="29" t="s">
        <v>1016</v>
      </c>
      <c r="J94" s="28" t="s">
        <v>54</v>
      </c>
      <c r="K94" s="32"/>
      <c r="L94" s="32"/>
      <c r="M94" s="28" t="s">
        <v>30</v>
      </c>
      <c r="N94" s="28" t="s">
        <v>44</v>
      </c>
      <c r="O94" s="28" t="s">
        <v>45</v>
      </c>
      <c r="P94" s="32" t="s">
        <v>31</v>
      </c>
      <c r="Q94" s="35">
        <v>11</v>
      </c>
      <c r="R94" s="3" t="s">
        <v>31</v>
      </c>
      <c r="S94" s="10" t="s">
        <v>32</v>
      </c>
      <c r="T94" s="4" t="str">
        <f>IF(OR(Tabela1[[#This Row],[Grau de Risco]]="Médio",Tabela1[[#This Row],[Grau de Risco]]="Baixo"),"Não","Sim")</f>
        <v>Não</v>
      </c>
    </row>
    <row r="95" spans="1:20" hidden="1">
      <c r="A95" s="4" t="s">
        <v>2</v>
      </c>
      <c r="B95" s="10" t="s">
        <v>1797</v>
      </c>
      <c r="C95" s="4" t="s">
        <v>81</v>
      </c>
      <c r="D95" s="38" t="s">
        <v>1382</v>
      </c>
      <c r="E95" s="3">
        <v>19</v>
      </c>
      <c r="F95" s="3">
        <v>6</v>
      </c>
      <c r="G95" s="3">
        <v>2024</v>
      </c>
      <c r="H95" s="5" t="s">
        <v>71</v>
      </c>
      <c r="I95" s="7" t="s">
        <v>1043</v>
      </c>
      <c r="J95" s="4" t="s">
        <v>290</v>
      </c>
      <c r="K95" s="3">
        <v>5</v>
      </c>
      <c r="L95" s="3">
        <v>0</v>
      </c>
      <c r="M95" s="4" t="s">
        <v>30</v>
      </c>
      <c r="N95" s="4">
        <v>0</v>
      </c>
      <c r="O95" s="4" t="s">
        <v>129</v>
      </c>
      <c r="P95" s="3" t="s">
        <v>31</v>
      </c>
      <c r="Q95" s="11">
        <v>11</v>
      </c>
      <c r="R95" s="3" t="s">
        <v>31</v>
      </c>
      <c r="S95" s="5" t="s">
        <v>56</v>
      </c>
      <c r="T95" s="4" t="str">
        <f>IF(OR(Tabela1[[#This Row],[Grau de Risco]]="Médio",Tabela1[[#This Row],[Grau de Risco]]="Baixo"),"Não","Sim")</f>
        <v>Não</v>
      </c>
    </row>
    <row r="96" spans="1:20" hidden="1">
      <c r="A96" s="4" t="s">
        <v>2</v>
      </c>
      <c r="B96" s="10" t="s">
        <v>1797</v>
      </c>
      <c r="C96" s="4" t="s">
        <v>81</v>
      </c>
      <c r="D96" s="38" t="s">
        <v>1320</v>
      </c>
      <c r="E96" s="3">
        <v>21</v>
      </c>
      <c r="F96" s="3">
        <v>10</v>
      </c>
      <c r="G96" s="3">
        <v>2024</v>
      </c>
      <c r="H96" s="4" t="s">
        <v>27</v>
      </c>
      <c r="I96" s="7" t="s">
        <v>1048</v>
      </c>
      <c r="J96" s="4" t="s">
        <v>290</v>
      </c>
      <c r="K96" s="3">
        <v>5</v>
      </c>
      <c r="L96" s="3">
        <v>0</v>
      </c>
      <c r="M96" s="4"/>
      <c r="N96" s="4"/>
      <c r="O96" s="4" t="s">
        <v>74</v>
      </c>
      <c r="P96" s="3" t="s">
        <v>31</v>
      </c>
      <c r="Q96" s="11">
        <v>7</v>
      </c>
      <c r="R96" s="3" t="s">
        <v>102</v>
      </c>
      <c r="S96" s="10" t="s">
        <v>141</v>
      </c>
      <c r="T96" s="4" t="str">
        <f>IF(OR(Tabela1[[#This Row],[Grau de Risco]]="Médio",Tabela1[[#This Row],[Grau de Risco]]="Baixo"),"Não","Sim")</f>
        <v>Sim</v>
      </c>
    </row>
    <row r="97" spans="1:20">
      <c r="A97" s="4" t="s">
        <v>9</v>
      </c>
      <c r="B97" s="10" t="s">
        <v>1809</v>
      </c>
      <c r="C97" s="4" t="s">
        <v>81</v>
      </c>
      <c r="D97" s="5" t="s">
        <v>148</v>
      </c>
      <c r="E97" s="3">
        <v>21</v>
      </c>
      <c r="F97" s="3">
        <v>1</v>
      </c>
      <c r="G97" s="3">
        <v>2024</v>
      </c>
      <c r="H97" s="5" t="s">
        <v>269</v>
      </c>
      <c r="I97" s="7" t="s">
        <v>1051</v>
      </c>
      <c r="J97" s="4" t="s">
        <v>76</v>
      </c>
      <c r="K97" s="3">
        <v>60</v>
      </c>
      <c r="L97" s="3">
        <v>0</v>
      </c>
      <c r="M97" s="4" t="s">
        <v>30</v>
      </c>
      <c r="N97" s="4">
        <v>60</v>
      </c>
      <c r="O97" s="4" t="s">
        <v>101</v>
      </c>
      <c r="P97" s="3" t="s">
        <v>31</v>
      </c>
      <c r="Q97" s="11">
        <v>5</v>
      </c>
      <c r="R97" s="3" t="s">
        <v>102</v>
      </c>
      <c r="S97" s="10" t="s">
        <v>63</v>
      </c>
      <c r="T97" s="4" t="str">
        <f>IF(OR(Tabela1[[#This Row],[Grau de Risco]]="Médio",Tabela1[[#This Row],[Grau de Risco]]="Baixo"),"Não","Sim")</f>
        <v>Sim</v>
      </c>
    </row>
    <row r="98" spans="1:20" hidden="1">
      <c r="A98" s="4" t="s">
        <v>9</v>
      </c>
      <c r="B98" s="10" t="s">
        <v>1797</v>
      </c>
      <c r="C98" s="4" t="s">
        <v>41</v>
      </c>
      <c r="D98" s="58" t="s">
        <v>1409</v>
      </c>
      <c r="E98" s="3">
        <v>13</v>
      </c>
      <c r="F98" s="3">
        <v>2</v>
      </c>
      <c r="G98" s="3">
        <v>2025</v>
      </c>
      <c r="H98" s="5" t="s">
        <v>209</v>
      </c>
      <c r="I98" s="7" t="s">
        <v>1160</v>
      </c>
      <c r="J98" s="4" t="s">
        <v>93</v>
      </c>
      <c r="K98" s="3">
        <v>2</v>
      </c>
      <c r="L98" s="3">
        <v>0</v>
      </c>
      <c r="M98" s="4" t="s">
        <v>30</v>
      </c>
      <c r="N98" s="4">
        <v>0</v>
      </c>
      <c r="O98" s="4" t="s">
        <v>1117</v>
      </c>
      <c r="P98" s="3" t="s">
        <v>31</v>
      </c>
      <c r="Q98" s="11">
        <v>10</v>
      </c>
      <c r="R98" s="3" t="s">
        <v>31</v>
      </c>
      <c r="S98" s="33" t="s">
        <v>63</v>
      </c>
      <c r="T98" s="4" t="str">
        <f>IF(OR(Tabela1[[#This Row],[Grau de Risco]]="Médio",Tabela1[[#This Row],[Grau de Risco]]="Baixo"),"Não","Sim")</f>
        <v>Não</v>
      </c>
    </row>
    <row r="99" spans="1:20" hidden="1">
      <c r="A99" s="5" t="s">
        <v>7</v>
      </c>
      <c r="B99" s="33" t="s">
        <v>1805</v>
      </c>
      <c r="C99" s="28" t="s">
        <v>125</v>
      </c>
      <c r="D99" s="38" t="s">
        <v>1393</v>
      </c>
      <c r="E99" s="32">
        <v>18</v>
      </c>
      <c r="F99" s="32">
        <v>2</v>
      </c>
      <c r="G99" s="32">
        <v>2025</v>
      </c>
      <c r="H99" s="36" t="s">
        <v>112</v>
      </c>
      <c r="I99" s="29" t="s">
        <v>1580</v>
      </c>
      <c r="J99" s="28" t="s">
        <v>54</v>
      </c>
      <c r="K99" s="32" t="s">
        <v>1581</v>
      </c>
      <c r="L99" s="32" t="s">
        <v>44</v>
      </c>
      <c r="M99" s="28" t="s">
        <v>30</v>
      </c>
      <c r="N99" s="28" t="s">
        <v>44</v>
      </c>
      <c r="O99" s="28"/>
      <c r="P99" s="32"/>
      <c r="Q99" s="35">
        <v>10</v>
      </c>
      <c r="R99" s="32" t="s">
        <v>31</v>
      </c>
      <c r="S99" s="33" t="s">
        <v>63</v>
      </c>
      <c r="T99" s="4" t="str">
        <f>IF(OR(Tabela1[[#This Row],[Grau de Risco]]="Médio",Tabela1[[#This Row],[Grau de Risco]]="Baixo"),"Não","Sim")</f>
        <v>Não</v>
      </c>
    </row>
    <row r="100" spans="1:20" hidden="1">
      <c r="A100" s="28" t="s">
        <v>8</v>
      </c>
      <c r="B100" s="33" t="s">
        <v>1797</v>
      </c>
      <c r="C100" s="28" t="s">
        <v>81</v>
      </c>
      <c r="D100" s="58" t="s">
        <v>1409</v>
      </c>
      <c r="E100" s="32">
        <v>13</v>
      </c>
      <c r="F100" s="32">
        <v>3</v>
      </c>
      <c r="G100" s="32">
        <v>2025</v>
      </c>
      <c r="H100" s="5" t="s">
        <v>71</v>
      </c>
      <c r="I100" s="29" t="s">
        <v>1582</v>
      </c>
      <c r="J100" s="28" t="s">
        <v>54</v>
      </c>
      <c r="K100" s="32" t="s">
        <v>1581</v>
      </c>
      <c r="L100" s="32" t="s">
        <v>44</v>
      </c>
      <c r="M100" s="28" t="s">
        <v>30</v>
      </c>
      <c r="N100" s="28" t="s">
        <v>44</v>
      </c>
      <c r="O100" s="28"/>
      <c r="P100" s="32" t="s">
        <v>31</v>
      </c>
      <c r="Q100" s="35">
        <v>10</v>
      </c>
      <c r="R100" s="32" t="s">
        <v>31</v>
      </c>
      <c r="S100" s="10" t="s">
        <v>56</v>
      </c>
      <c r="T100" s="4" t="str">
        <f>IF(OR(Tabela1[[#This Row],[Grau de Risco]]="Médio",Tabela1[[#This Row],[Grau de Risco]]="Baixo"),"Não","Sim")</f>
        <v>Não</v>
      </c>
    </row>
    <row r="101" spans="1:20" hidden="1">
      <c r="A101" s="28" t="s">
        <v>9</v>
      </c>
      <c r="B101" s="33" t="s">
        <v>1797</v>
      </c>
      <c r="C101" s="28" t="s">
        <v>125</v>
      </c>
      <c r="D101" s="58" t="s">
        <v>1409</v>
      </c>
      <c r="E101" s="32">
        <v>10</v>
      </c>
      <c r="F101" s="32">
        <v>4</v>
      </c>
      <c r="G101" s="32">
        <v>2025</v>
      </c>
      <c r="H101" s="4" t="s">
        <v>86</v>
      </c>
      <c r="I101" s="29" t="s">
        <v>1225</v>
      </c>
      <c r="J101" s="28" t="s">
        <v>61</v>
      </c>
      <c r="K101" s="32">
        <v>3</v>
      </c>
      <c r="L101" s="32"/>
      <c r="M101" s="28"/>
      <c r="N101" s="28"/>
      <c r="O101" s="28" t="s">
        <v>101</v>
      </c>
      <c r="P101" s="32" t="s">
        <v>31</v>
      </c>
      <c r="Q101" s="11">
        <v>10</v>
      </c>
      <c r="R101" s="3" t="s">
        <v>31</v>
      </c>
      <c r="S101" s="10" t="s">
        <v>63</v>
      </c>
      <c r="T101" s="4" t="str">
        <f>IF(OR(Tabela1[[#This Row],[Grau de Risco]]="Médio",Tabela1[[#This Row],[Grau de Risco]]="Baixo"),"Não","Sim")</f>
        <v>Não</v>
      </c>
    </row>
    <row r="102" spans="1:20">
      <c r="A102" s="4" t="s">
        <v>7</v>
      </c>
      <c r="B102" s="10" t="s">
        <v>1809</v>
      </c>
      <c r="C102" s="28" t="s">
        <v>46</v>
      </c>
      <c r="D102" s="38" t="s">
        <v>1320</v>
      </c>
      <c r="E102" s="32">
        <v>2</v>
      </c>
      <c r="F102" s="32">
        <v>6</v>
      </c>
      <c r="G102" s="32">
        <v>2025</v>
      </c>
      <c r="H102" s="21" t="s">
        <v>27</v>
      </c>
      <c r="I102" s="29" t="s">
        <v>1583</v>
      </c>
      <c r="J102" s="28" t="s">
        <v>54</v>
      </c>
      <c r="K102" s="32"/>
      <c r="L102" s="32" t="s">
        <v>44</v>
      </c>
      <c r="M102" s="28" t="s">
        <v>30</v>
      </c>
      <c r="N102" s="28" t="s">
        <v>44</v>
      </c>
      <c r="O102" s="28"/>
      <c r="P102" s="32"/>
      <c r="Q102" s="35">
        <v>11</v>
      </c>
      <c r="R102" s="32" t="s">
        <v>31</v>
      </c>
      <c r="S102" s="5" t="s">
        <v>40</v>
      </c>
      <c r="T102" s="4" t="str">
        <f>IF(OR(Tabela1[[#This Row],[Grau de Risco]]="Médio",Tabela1[[#This Row],[Grau de Risco]]="Baixo"),"Não","Sim")</f>
        <v>Não</v>
      </c>
    </row>
    <row r="103" spans="1:20">
      <c r="A103" s="28" t="s">
        <v>7</v>
      </c>
      <c r="B103" s="10" t="s">
        <v>1809</v>
      </c>
      <c r="C103" s="28" t="s">
        <v>81</v>
      </c>
      <c r="D103" s="28" t="s">
        <v>1393</v>
      </c>
      <c r="E103" s="32">
        <v>23</v>
      </c>
      <c r="F103" s="32">
        <v>9</v>
      </c>
      <c r="G103" s="32">
        <v>2025</v>
      </c>
      <c r="H103" s="34" t="s">
        <v>66</v>
      </c>
      <c r="I103" s="29" t="s">
        <v>1306</v>
      </c>
      <c r="J103" s="28" t="s">
        <v>91</v>
      </c>
      <c r="K103" s="32"/>
      <c r="L103" s="32"/>
      <c r="M103" s="28"/>
      <c r="N103" s="28"/>
      <c r="O103" s="28" t="s">
        <v>51</v>
      </c>
      <c r="P103" s="32"/>
      <c r="Q103" s="35">
        <v>14</v>
      </c>
      <c r="R103" s="32" t="s">
        <v>52</v>
      </c>
      <c r="S103" s="10" t="s">
        <v>56</v>
      </c>
      <c r="T103" s="4" t="str">
        <f>IF(OR(Tabela1[[#This Row],[Grau de Risco]]="Médio",Tabela1[[#This Row],[Grau de Risco]]="Baixo"),"Não","Sim")</f>
        <v>Não</v>
      </c>
    </row>
    <row r="104" spans="1:20" hidden="1">
      <c r="A104" s="28" t="s">
        <v>7</v>
      </c>
      <c r="B104" s="33" t="s">
        <v>1797</v>
      </c>
      <c r="C104" s="28" t="s">
        <v>252</v>
      </c>
      <c r="D104" s="36" t="s">
        <v>47</v>
      </c>
      <c r="E104" s="32">
        <v>18</v>
      </c>
      <c r="F104" s="32">
        <v>7</v>
      </c>
      <c r="G104" s="32">
        <v>2025</v>
      </c>
      <c r="H104" s="36" t="s">
        <v>1132</v>
      </c>
      <c r="I104" s="29" t="s">
        <v>1584</v>
      </c>
      <c r="J104" s="28" t="s">
        <v>54</v>
      </c>
      <c r="K104" s="32" t="s">
        <v>44</v>
      </c>
      <c r="L104" s="32" t="s">
        <v>44</v>
      </c>
      <c r="M104" s="28" t="s">
        <v>30</v>
      </c>
      <c r="N104" s="28" t="s">
        <v>44</v>
      </c>
      <c r="O104" s="28"/>
      <c r="P104" s="32"/>
      <c r="Q104" s="35">
        <v>11</v>
      </c>
      <c r="R104" s="32" t="s">
        <v>31</v>
      </c>
      <c r="S104" s="33" t="s">
        <v>63</v>
      </c>
      <c r="T104" s="4" t="str">
        <f>IF(OR(Tabela1[[#This Row],[Grau de Risco]]="Médio",Tabela1[[#This Row],[Grau de Risco]]="Baixo"),"Não","Sim")</f>
        <v>Não</v>
      </c>
    </row>
    <row r="105" spans="1:20" hidden="1">
      <c r="A105" s="28" t="s">
        <v>8</v>
      </c>
      <c r="B105" s="33" t="s">
        <v>1800</v>
      </c>
      <c r="C105" s="28" t="s">
        <v>81</v>
      </c>
      <c r="D105" s="38" t="s">
        <v>36</v>
      </c>
      <c r="E105" s="32">
        <v>9</v>
      </c>
      <c r="F105" s="32">
        <v>8</v>
      </c>
      <c r="G105" s="32">
        <v>2025</v>
      </c>
      <c r="H105" s="38" t="s">
        <v>71</v>
      </c>
      <c r="I105" s="7" t="s">
        <v>1390</v>
      </c>
      <c r="J105" s="28" t="s">
        <v>69</v>
      </c>
      <c r="K105" s="32" t="s">
        <v>80</v>
      </c>
      <c r="L105" s="32" t="s">
        <v>80</v>
      </c>
      <c r="M105" s="28" t="s">
        <v>30</v>
      </c>
      <c r="N105" s="28" t="s">
        <v>80</v>
      </c>
      <c r="O105" s="4" t="s">
        <v>45</v>
      </c>
      <c r="P105" s="32" t="s">
        <v>52</v>
      </c>
      <c r="Q105" s="35">
        <v>11</v>
      </c>
      <c r="R105" s="32" t="s">
        <v>31</v>
      </c>
      <c r="S105" s="33" t="s">
        <v>56</v>
      </c>
      <c r="T105" s="4" t="str">
        <f>IF(OR(Tabela1[[#This Row],[Grau de Risco]]="Médio",Tabela1[[#This Row],[Grau de Risco]]="Baixo"),"Não","Sim")</f>
        <v>Não</v>
      </c>
    </row>
    <row r="106" spans="1:20">
      <c r="A106" s="5" t="s">
        <v>2</v>
      </c>
      <c r="B106" s="10" t="s">
        <v>1809</v>
      </c>
      <c r="C106" s="5" t="s">
        <v>81</v>
      </c>
      <c r="D106" s="5" t="s">
        <v>36</v>
      </c>
      <c r="E106" s="2">
        <v>20</v>
      </c>
      <c r="F106" s="2">
        <v>6</v>
      </c>
      <c r="G106" s="2">
        <v>2020</v>
      </c>
      <c r="H106" s="4" t="s">
        <v>86</v>
      </c>
      <c r="I106" s="5" t="s">
        <v>87</v>
      </c>
      <c r="J106" s="5" t="s">
        <v>84</v>
      </c>
      <c r="K106" s="2">
        <v>7</v>
      </c>
      <c r="L106" s="2">
        <v>0</v>
      </c>
      <c r="M106" s="5" t="s">
        <v>30</v>
      </c>
      <c r="N106" s="5">
        <v>0</v>
      </c>
      <c r="O106" s="5" t="s">
        <v>88</v>
      </c>
      <c r="P106" s="2" t="s">
        <v>31</v>
      </c>
      <c r="Q106" s="2">
        <v>13</v>
      </c>
      <c r="R106" s="2" t="s">
        <v>31</v>
      </c>
      <c r="S106" s="5" t="s">
        <v>56</v>
      </c>
      <c r="T106" s="4" t="str">
        <f>IF(OR(Tabela1[[#This Row],[Grau de Risco]]="Médio",Tabela1[[#This Row],[Grau de Risco]]="Baixo"),"Não","Sim")</f>
        <v>Não</v>
      </c>
    </row>
    <row r="107" spans="1:20" hidden="1">
      <c r="A107" s="4" t="s">
        <v>9</v>
      </c>
      <c r="B107" s="10" t="s">
        <v>1793</v>
      </c>
      <c r="C107" s="4" t="s">
        <v>81</v>
      </c>
      <c r="D107" s="38" t="s">
        <v>47</v>
      </c>
      <c r="E107" s="3">
        <v>4</v>
      </c>
      <c r="F107" s="3">
        <v>9</v>
      </c>
      <c r="G107" s="3">
        <v>2023</v>
      </c>
      <c r="H107" s="36" t="s">
        <v>375</v>
      </c>
      <c r="I107" s="7" t="s">
        <v>414</v>
      </c>
      <c r="J107" s="4" t="s">
        <v>29</v>
      </c>
      <c r="K107" s="3">
        <v>3</v>
      </c>
      <c r="L107" s="3">
        <v>0</v>
      </c>
      <c r="M107" s="4" t="s">
        <v>30</v>
      </c>
      <c r="N107" s="4">
        <v>0</v>
      </c>
      <c r="O107" s="4" t="s">
        <v>129</v>
      </c>
      <c r="P107" s="3" t="s">
        <v>31</v>
      </c>
      <c r="Q107" s="11">
        <v>11</v>
      </c>
      <c r="R107" s="2" t="s">
        <v>31</v>
      </c>
      <c r="S107" s="10" t="s">
        <v>63</v>
      </c>
      <c r="T107" s="4" t="str">
        <f>IF(OR(Tabela1[[#This Row],[Grau de Risco]]="Médio",Tabela1[[#This Row],[Grau de Risco]]="Baixo"),"Não","Sim")</f>
        <v>Não</v>
      </c>
    </row>
    <row r="108" spans="1:20" hidden="1">
      <c r="A108" s="5" t="s">
        <v>2</v>
      </c>
      <c r="B108" s="6" t="s">
        <v>1793</v>
      </c>
      <c r="C108" s="4" t="s">
        <v>81</v>
      </c>
      <c r="D108" s="38" t="s">
        <v>1393</v>
      </c>
      <c r="E108" s="3">
        <v>18</v>
      </c>
      <c r="F108" s="3">
        <v>7</v>
      </c>
      <c r="G108" s="3">
        <v>2023</v>
      </c>
      <c r="H108" s="4" t="s">
        <v>27</v>
      </c>
      <c r="I108" s="7" t="s">
        <v>433</v>
      </c>
      <c r="J108" s="4" t="s">
        <v>76</v>
      </c>
      <c r="K108" s="3">
        <v>7</v>
      </c>
      <c r="L108" s="3">
        <v>0</v>
      </c>
      <c r="M108" s="4" t="s">
        <v>30</v>
      </c>
      <c r="N108" s="4">
        <v>5</v>
      </c>
      <c r="O108" s="4" t="s">
        <v>70</v>
      </c>
      <c r="P108" s="3" t="s">
        <v>31</v>
      </c>
      <c r="Q108" s="3">
        <v>13</v>
      </c>
      <c r="R108" s="2" t="s">
        <v>31</v>
      </c>
      <c r="S108" s="5" t="s">
        <v>56</v>
      </c>
      <c r="T108" s="4" t="str">
        <f>IF(OR(Tabela1[[#This Row],[Grau de Risco]]="Médio",Tabela1[[#This Row],[Grau de Risco]]="Baixo"),"Não","Sim")</f>
        <v>Não</v>
      </c>
    </row>
    <row r="109" spans="1:20" hidden="1">
      <c r="A109" s="4" t="s">
        <v>8</v>
      </c>
      <c r="B109" s="10" t="s">
        <v>1800</v>
      </c>
      <c r="C109" s="4" t="s">
        <v>252</v>
      </c>
      <c r="D109" s="38" t="s">
        <v>1320</v>
      </c>
      <c r="E109" s="3">
        <v>2</v>
      </c>
      <c r="F109" s="3">
        <v>3</v>
      </c>
      <c r="G109" s="3">
        <v>2024</v>
      </c>
      <c r="H109" s="5" t="s">
        <v>71</v>
      </c>
      <c r="I109" s="7" t="s">
        <v>865</v>
      </c>
      <c r="J109" s="4" t="s">
        <v>61</v>
      </c>
      <c r="K109" s="3">
        <v>5</v>
      </c>
      <c r="L109" s="3">
        <v>0</v>
      </c>
      <c r="M109" s="4" t="s">
        <v>25</v>
      </c>
      <c r="N109" s="4">
        <v>0</v>
      </c>
      <c r="O109" s="4" t="s">
        <v>419</v>
      </c>
      <c r="P109" s="3" t="s">
        <v>52</v>
      </c>
      <c r="Q109" s="11">
        <v>10</v>
      </c>
      <c r="R109" s="3" t="s">
        <v>31</v>
      </c>
      <c r="S109" s="10" t="s">
        <v>4</v>
      </c>
      <c r="T109" s="4" t="str">
        <f>IF(OR(Tabela1[[#This Row],[Grau de Risco]]="Médio",Tabela1[[#This Row],[Grau de Risco]]="Baixo"),"Não","Sim")</f>
        <v>Não</v>
      </c>
    </row>
    <row r="110" spans="1:20" hidden="1">
      <c r="A110" s="4" t="s">
        <v>7</v>
      </c>
      <c r="B110" s="10" t="s">
        <v>1797</v>
      </c>
      <c r="C110" s="4" t="s">
        <v>81</v>
      </c>
      <c r="D110" s="38" t="s">
        <v>1320</v>
      </c>
      <c r="E110" s="3">
        <v>8</v>
      </c>
      <c r="F110" s="3">
        <v>4</v>
      </c>
      <c r="G110" s="3">
        <v>2024</v>
      </c>
      <c r="H110" s="4" t="s">
        <v>86</v>
      </c>
      <c r="I110" s="7" t="s">
        <v>926</v>
      </c>
      <c r="J110" s="4" t="s">
        <v>111</v>
      </c>
      <c r="K110" s="3" t="s">
        <v>62</v>
      </c>
      <c r="L110" s="3"/>
      <c r="M110" s="4"/>
      <c r="N110" s="4"/>
      <c r="O110" s="4" t="s">
        <v>88</v>
      </c>
      <c r="P110" s="3" t="s">
        <v>52</v>
      </c>
      <c r="Q110" s="11">
        <v>15</v>
      </c>
      <c r="R110" s="3" t="s">
        <v>52</v>
      </c>
      <c r="S110" s="10" t="s">
        <v>4</v>
      </c>
      <c r="T110" s="4" t="str">
        <f>IF(OR(Tabela1[[#This Row],[Grau de Risco]]="Médio",Tabela1[[#This Row],[Grau de Risco]]="Baixo"),"Não","Sim")</f>
        <v>Não</v>
      </c>
    </row>
    <row r="111" spans="1:20" hidden="1">
      <c r="A111" s="4" t="s">
        <v>7</v>
      </c>
      <c r="B111" s="10" t="s">
        <v>1797</v>
      </c>
      <c r="C111" s="4" t="s">
        <v>932</v>
      </c>
      <c r="D111" s="38" t="s">
        <v>1393</v>
      </c>
      <c r="E111" s="3">
        <v>10</v>
      </c>
      <c r="F111" s="3">
        <v>9</v>
      </c>
      <c r="G111" s="3">
        <v>2024</v>
      </c>
      <c r="H111" s="36" t="s">
        <v>112</v>
      </c>
      <c r="I111" s="7" t="s">
        <v>933</v>
      </c>
      <c r="J111" s="4" t="s">
        <v>111</v>
      </c>
      <c r="K111" s="3"/>
      <c r="L111" s="3"/>
      <c r="M111" s="4"/>
      <c r="N111" s="4"/>
      <c r="O111" s="4" t="s">
        <v>101</v>
      </c>
      <c r="P111" s="3"/>
      <c r="Q111" s="11">
        <v>15</v>
      </c>
      <c r="R111" s="3" t="s">
        <v>52</v>
      </c>
      <c r="S111" s="10" t="s">
        <v>63</v>
      </c>
      <c r="T111" s="4" t="str">
        <f>IF(OR(Tabela1[[#This Row],[Grau de Risco]]="Médio",Tabela1[[#This Row],[Grau de Risco]]="Baixo"),"Não","Sim")</f>
        <v>Não</v>
      </c>
    </row>
    <row r="112" spans="1:20" hidden="1">
      <c r="A112" s="5" t="s">
        <v>7</v>
      </c>
      <c r="B112" s="10" t="s">
        <v>1800</v>
      </c>
      <c r="C112" s="4" t="s">
        <v>41</v>
      </c>
      <c r="D112" s="58" t="s">
        <v>1409</v>
      </c>
      <c r="E112" s="3">
        <v>30</v>
      </c>
      <c r="F112" s="3">
        <v>5</v>
      </c>
      <c r="G112" s="3">
        <v>2024</v>
      </c>
      <c r="H112" s="5" t="s">
        <v>71</v>
      </c>
      <c r="I112" s="7" t="s">
        <v>1107</v>
      </c>
      <c r="J112" s="4" t="s">
        <v>43</v>
      </c>
      <c r="K112" s="3" t="s">
        <v>44</v>
      </c>
      <c r="L112" s="3" t="s">
        <v>80</v>
      </c>
      <c r="M112" s="4" t="s">
        <v>30</v>
      </c>
      <c r="N112" s="4" t="s">
        <v>80</v>
      </c>
      <c r="O112" s="4" t="s">
        <v>70</v>
      </c>
      <c r="P112" s="3" t="s">
        <v>52</v>
      </c>
      <c r="Q112" s="11">
        <v>15</v>
      </c>
      <c r="R112" s="3" t="s">
        <v>52</v>
      </c>
      <c r="S112" s="10" t="s">
        <v>4</v>
      </c>
      <c r="T112" s="4" t="str">
        <f>IF(OR(Tabela1[[#This Row],[Grau de Risco]]="Médio",Tabela1[[#This Row],[Grau de Risco]]="Baixo"),"Não","Sim")</f>
        <v>Não</v>
      </c>
    </row>
    <row r="113" spans="1:20">
      <c r="A113" s="4" t="s">
        <v>2</v>
      </c>
      <c r="B113" s="10" t="s">
        <v>1809</v>
      </c>
      <c r="C113" s="4" t="s">
        <v>81</v>
      </c>
      <c r="D113" s="38" t="s">
        <v>1393</v>
      </c>
      <c r="E113" s="3">
        <v>4</v>
      </c>
      <c r="F113" s="3">
        <v>2</v>
      </c>
      <c r="G113" s="3">
        <v>2025</v>
      </c>
      <c r="H113" s="4" t="s">
        <v>86</v>
      </c>
      <c r="I113" s="7" t="s">
        <v>1145</v>
      </c>
      <c r="J113" s="4" t="s">
        <v>43</v>
      </c>
      <c r="K113" s="3">
        <v>2</v>
      </c>
      <c r="L113" s="3">
        <v>0</v>
      </c>
      <c r="M113" s="4" t="s">
        <v>30</v>
      </c>
      <c r="N113" s="4"/>
      <c r="O113" s="4" t="s">
        <v>74</v>
      </c>
      <c r="P113" s="3" t="s">
        <v>31</v>
      </c>
      <c r="Q113" s="11">
        <v>11</v>
      </c>
      <c r="R113" s="3" t="s">
        <v>31</v>
      </c>
      <c r="S113" s="5" t="s">
        <v>56</v>
      </c>
      <c r="T113" s="4" t="str">
        <f>IF(OR(Tabela1[[#This Row],[Grau de Risco]]="Médio",Tabela1[[#This Row],[Grau de Risco]]="Baixo"),"Não","Sim")</f>
        <v>Não</v>
      </c>
    </row>
    <row r="114" spans="1:20" hidden="1">
      <c r="A114" s="4" t="s">
        <v>7</v>
      </c>
      <c r="B114" s="10" t="s">
        <v>1805</v>
      </c>
      <c r="C114" s="4" t="s">
        <v>252</v>
      </c>
      <c r="D114" s="38" t="s">
        <v>1320</v>
      </c>
      <c r="E114" s="3">
        <v>19</v>
      </c>
      <c r="F114" s="3">
        <v>5</v>
      </c>
      <c r="G114" s="3">
        <v>2025</v>
      </c>
      <c r="H114" s="36" t="s">
        <v>112</v>
      </c>
      <c r="I114" s="7" t="s">
        <v>1585</v>
      </c>
      <c r="J114" s="4" t="s">
        <v>93</v>
      </c>
      <c r="K114" s="3"/>
      <c r="L114" s="3"/>
      <c r="M114" s="4"/>
      <c r="N114" s="4"/>
      <c r="O114" s="4"/>
      <c r="P114" s="3" t="s">
        <v>52</v>
      </c>
      <c r="Q114" s="11">
        <v>15</v>
      </c>
      <c r="R114" s="3" t="s">
        <v>52</v>
      </c>
      <c r="S114" s="10" t="s">
        <v>63</v>
      </c>
      <c r="T114" s="4" t="str">
        <f>IF(OR(Tabela1[[#This Row],[Grau de Risco]]="Médio",Tabela1[[#This Row],[Grau de Risco]]="Baixo"),"Não","Sim")</f>
        <v>Não</v>
      </c>
    </row>
    <row r="115" spans="1:20" hidden="1">
      <c r="A115" s="28" t="s">
        <v>2</v>
      </c>
      <c r="B115" s="33" t="s">
        <v>1797</v>
      </c>
      <c r="C115" s="28" t="s">
        <v>81</v>
      </c>
      <c r="D115" s="38" t="s">
        <v>1320</v>
      </c>
      <c r="E115" s="32">
        <v>16</v>
      </c>
      <c r="F115" s="32">
        <v>6</v>
      </c>
      <c r="G115" s="32">
        <v>2025</v>
      </c>
      <c r="H115" s="36" t="s">
        <v>82</v>
      </c>
      <c r="I115" s="29" t="s">
        <v>1340</v>
      </c>
      <c r="J115" s="28" t="s">
        <v>229</v>
      </c>
      <c r="K115" s="32">
        <v>2</v>
      </c>
      <c r="L115" s="32"/>
      <c r="M115" s="28"/>
      <c r="N115" s="28"/>
      <c r="O115" s="28" t="s">
        <v>51</v>
      </c>
      <c r="P115" s="32" t="s">
        <v>52</v>
      </c>
      <c r="Q115" s="35">
        <v>14</v>
      </c>
      <c r="R115" s="32" t="s">
        <v>52</v>
      </c>
      <c r="S115" s="10" t="s">
        <v>4</v>
      </c>
      <c r="T115" s="4" t="str">
        <f>IF(OR(Tabela1[[#This Row],[Grau de Risco]]="Médio",Tabela1[[#This Row],[Grau de Risco]]="Baixo"),"Não","Sim")</f>
        <v>Não</v>
      </c>
    </row>
    <row r="116" spans="1:20" hidden="1">
      <c r="A116" s="28" t="s">
        <v>7</v>
      </c>
      <c r="B116" s="33" t="s">
        <v>1800</v>
      </c>
      <c r="C116" s="28" t="s">
        <v>81</v>
      </c>
      <c r="D116" s="38" t="s">
        <v>1409</v>
      </c>
      <c r="E116" s="32">
        <v>21</v>
      </c>
      <c r="F116" s="32">
        <v>8</v>
      </c>
      <c r="G116" s="32">
        <v>2025</v>
      </c>
      <c r="H116" s="38" t="s">
        <v>112</v>
      </c>
      <c r="I116" s="7" t="s">
        <v>1404</v>
      </c>
      <c r="J116" s="28" t="s">
        <v>835</v>
      </c>
      <c r="K116" s="32" t="s">
        <v>80</v>
      </c>
      <c r="L116" s="32" t="s">
        <v>80</v>
      </c>
      <c r="M116" s="28" t="s">
        <v>30</v>
      </c>
      <c r="N116" s="28" t="s">
        <v>80</v>
      </c>
      <c r="O116" s="4" t="s">
        <v>77</v>
      </c>
      <c r="P116" s="32" t="s">
        <v>44</v>
      </c>
      <c r="Q116" s="35">
        <v>11</v>
      </c>
      <c r="R116" s="32" t="s">
        <v>31</v>
      </c>
      <c r="S116" s="33" t="s">
        <v>63</v>
      </c>
      <c r="T116" s="4" t="str">
        <f>IF(OR(Tabela1[[#This Row],[Grau de Risco]]="Médio",Tabela1[[#This Row],[Grau de Risco]]="Baixo"),"Não","Sim")</f>
        <v>Não</v>
      </c>
    </row>
    <row r="117" spans="1:20" hidden="1">
      <c r="A117" s="28" t="s">
        <v>2</v>
      </c>
      <c r="B117" s="33" t="s">
        <v>1797</v>
      </c>
      <c r="C117" s="28" t="s">
        <v>81</v>
      </c>
      <c r="D117" s="28" t="s">
        <v>1409</v>
      </c>
      <c r="E117" s="32">
        <v>11</v>
      </c>
      <c r="F117" s="32">
        <v>9</v>
      </c>
      <c r="G117" s="32">
        <v>2025</v>
      </c>
      <c r="H117" s="34" t="s">
        <v>71</v>
      </c>
      <c r="I117" s="29" t="s">
        <v>1463</v>
      </c>
      <c r="J117" s="28" t="s">
        <v>69</v>
      </c>
      <c r="K117" s="32">
        <v>59</v>
      </c>
      <c r="L117" s="32">
        <v>0</v>
      </c>
      <c r="M117" s="28" t="s">
        <v>30</v>
      </c>
      <c r="N117" s="28"/>
      <c r="O117" s="28" t="s">
        <v>45</v>
      </c>
      <c r="P117" s="32" t="s">
        <v>31</v>
      </c>
      <c r="Q117" s="35">
        <v>5</v>
      </c>
      <c r="R117" s="3" t="s">
        <v>102</v>
      </c>
      <c r="S117" s="33" t="s">
        <v>144</v>
      </c>
      <c r="T117" s="4" t="str">
        <f>IF(OR(Tabela1[[#This Row],[Grau de Risco]]="Médio",Tabela1[[#This Row],[Grau de Risco]]="Baixo"),"Não","Sim")</f>
        <v>Sim</v>
      </c>
    </row>
    <row r="118" spans="1:20">
      <c r="A118" s="28" t="s">
        <v>2</v>
      </c>
      <c r="B118" s="10" t="s">
        <v>1809</v>
      </c>
      <c r="C118" s="4" t="s">
        <v>81</v>
      </c>
      <c r="D118" s="4" t="s">
        <v>148</v>
      </c>
      <c r="E118" s="3">
        <v>21</v>
      </c>
      <c r="F118" s="3">
        <v>9</v>
      </c>
      <c r="G118" s="3">
        <v>2025</v>
      </c>
      <c r="H118" s="21" t="s">
        <v>86</v>
      </c>
      <c r="I118" s="7" t="s">
        <v>1465</v>
      </c>
      <c r="J118" s="4" t="s">
        <v>35</v>
      </c>
      <c r="K118" s="3">
        <v>1</v>
      </c>
      <c r="L118" s="3"/>
      <c r="M118" s="4"/>
      <c r="N118" s="4"/>
      <c r="O118" s="4" t="s">
        <v>70</v>
      </c>
      <c r="P118" s="3" t="s">
        <v>31</v>
      </c>
      <c r="Q118" s="11">
        <v>11</v>
      </c>
      <c r="R118" s="3" t="str">
        <f>IF(Q118="","",IF(Q118&lt;4,"Crítico",IF(Q118&lt;9,"Alto",IF(Q118&lt;14,"Médio","Baixo"))))</f>
        <v>Médio</v>
      </c>
      <c r="S118" s="10" t="s">
        <v>56</v>
      </c>
      <c r="T118" s="4" t="str">
        <f>IF(OR(Tabela1[[#This Row],[Grau de Risco]]="Médio",Tabela1[[#This Row],[Grau de Risco]]="Baixo"),"Não","Sim")</f>
        <v>Não</v>
      </c>
    </row>
    <row r="119" spans="1:20">
      <c r="A119" s="5" t="s">
        <v>8</v>
      </c>
      <c r="B119" s="10" t="s">
        <v>1809</v>
      </c>
      <c r="C119" s="5" t="s">
        <v>46</v>
      </c>
      <c r="D119" s="38" t="s">
        <v>1320</v>
      </c>
      <c r="E119" s="2">
        <v>21</v>
      </c>
      <c r="F119" s="2">
        <v>11</v>
      </c>
      <c r="G119" s="2">
        <v>2022</v>
      </c>
      <c r="H119" s="36" t="s">
        <v>66</v>
      </c>
      <c r="I119" s="5" t="s">
        <v>303</v>
      </c>
      <c r="J119" s="5" t="s">
        <v>38</v>
      </c>
      <c r="K119" s="2">
        <v>0</v>
      </c>
      <c r="L119" s="2">
        <v>0</v>
      </c>
      <c r="M119" s="5" t="s">
        <v>30</v>
      </c>
      <c r="N119" s="5">
        <v>0</v>
      </c>
      <c r="O119" s="5" t="s">
        <v>4</v>
      </c>
      <c r="P119" s="2" t="s">
        <v>31</v>
      </c>
      <c r="Q119" s="2">
        <v>13</v>
      </c>
      <c r="R119" s="2" t="s">
        <v>31</v>
      </c>
      <c r="S119" s="5" t="s">
        <v>141</v>
      </c>
      <c r="T119" s="4" t="str">
        <f>IF(OR(Tabela1[[#This Row],[Grau de Risco]]="Médio",Tabela1[[#This Row],[Grau de Risco]]="Baixo"),"Não","Sim")</f>
        <v>Não</v>
      </c>
    </row>
    <row r="120" spans="1:20" hidden="1">
      <c r="A120" s="4" t="s">
        <v>2</v>
      </c>
      <c r="B120" s="10" t="s">
        <v>1800</v>
      </c>
      <c r="C120" s="4" t="s">
        <v>81</v>
      </c>
      <c r="D120" s="38" t="s">
        <v>1382</v>
      </c>
      <c r="E120" s="3">
        <v>10</v>
      </c>
      <c r="F120" s="3">
        <v>5</v>
      </c>
      <c r="G120" s="3">
        <v>2023</v>
      </c>
      <c r="H120" s="36" t="s">
        <v>82</v>
      </c>
      <c r="I120" s="7" t="s">
        <v>407</v>
      </c>
      <c r="J120" s="4" t="s">
        <v>35</v>
      </c>
      <c r="K120" s="3">
        <v>6</v>
      </c>
      <c r="L120" s="3">
        <v>0</v>
      </c>
      <c r="M120" s="4" t="s">
        <v>30</v>
      </c>
      <c r="N120" s="4">
        <v>0</v>
      </c>
      <c r="O120" s="4" t="s">
        <v>167</v>
      </c>
      <c r="P120" s="3" t="s">
        <v>31</v>
      </c>
      <c r="Q120" s="11">
        <v>10</v>
      </c>
      <c r="R120" s="2" t="s">
        <v>31</v>
      </c>
      <c r="S120" s="5" t="s">
        <v>56</v>
      </c>
      <c r="T120" s="4" t="str">
        <f>IF(OR(Tabela1[[#This Row],[Grau de Risco]]="Médio",Tabela1[[#This Row],[Grau de Risco]]="Baixo"),"Não","Sim")</f>
        <v>Não</v>
      </c>
    </row>
    <row r="121" spans="1:20" hidden="1">
      <c r="A121" s="4" t="s">
        <v>9</v>
      </c>
      <c r="B121" s="10" t="s">
        <v>1805</v>
      </c>
      <c r="C121" s="4" t="s">
        <v>41</v>
      </c>
      <c r="D121" s="38" t="s">
        <v>47</v>
      </c>
      <c r="E121" s="3">
        <v>28</v>
      </c>
      <c r="F121" s="3">
        <v>7</v>
      </c>
      <c r="G121" s="3">
        <v>2023</v>
      </c>
      <c r="H121" s="5" t="s">
        <v>103</v>
      </c>
      <c r="I121" s="7" t="s">
        <v>439</v>
      </c>
      <c r="J121" s="4" t="s">
        <v>54</v>
      </c>
      <c r="K121" s="3">
        <v>15</v>
      </c>
      <c r="L121" s="3"/>
      <c r="M121" s="4"/>
      <c r="N121" s="4"/>
      <c r="O121" s="4" t="s">
        <v>74</v>
      </c>
      <c r="P121" s="3" t="s">
        <v>31</v>
      </c>
      <c r="Q121" s="11">
        <v>9</v>
      </c>
      <c r="R121" s="2" t="s">
        <v>31</v>
      </c>
      <c r="S121" s="5" t="s">
        <v>56</v>
      </c>
      <c r="T121" s="4" t="str">
        <f>IF(OR(Tabela1[[#This Row],[Grau de Risco]]="Médio",Tabela1[[#This Row],[Grau de Risco]]="Baixo"),"Não","Sim")</f>
        <v>Não</v>
      </c>
    </row>
    <row r="122" spans="1:20" hidden="1">
      <c r="A122" s="4" t="s">
        <v>8</v>
      </c>
      <c r="B122" s="10" t="s">
        <v>1805</v>
      </c>
      <c r="C122" s="4" t="s">
        <v>125</v>
      </c>
      <c r="D122" s="5" t="s">
        <v>148</v>
      </c>
      <c r="E122" s="3">
        <v>30</v>
      </c>
      <c r="F122" s="3">
        <v>7</v>
      </c>
      <c r="G122" s="3">
        <v>2023</v>
      </c>
      <c r="H122" s="5" t="s">
        <v>48</v>
      </c>
      <c r="I122" s="7" t="s">
        <v>440</v>
      </c>
      <c r="J122" s="4" t="s">
        <v>54</v>
      </c>
      <c r="K122" s="3">
        <v>0</v>
      </c>
      <c r="L122" s="3"/>
      <c r="M122" s="4"/>
      <c r="N122" s="4"/>
      <c r="O122" s="4" t="s">
        <v>248</v>
      </c>
      <c r="P122" s="3" t="s">
        <v>31</v>
      </c>
      <c r="Q122" s="11">
        <v>4</v>
      </c>
      <c r="R122" s="3" t="s">
        <v>102</v>
      </c>
      <c r="S122" s="10" t="s">
        <v>180</v>
      </c>
      <c r="T122" s="4" t="str">
        <f>IF(OR(Tabela1[[#This Row],[Grau de Risco]]="Médio",Tabela1[[#This Row],[Grau de Risco]]="Baixo"),"Não","Sim")</f>
        <v>Sim</v>
      </c>
    </row>
    <row r="123" spans="1:20">
      <c r="A123" s="4" t="s">
        <v>2</v>
      </c>
      <c r="B123" s="10" t="s">
        <v>1809</v>
      </c>
      <c r="C123" s="4"/>
      <c r="D123" s="38" t="s">
        <v>1382</v>
      </c>
      <c r="E123" s="3">
        <v>24</v>
      </c>
      <c r="F123" s="3">
        <v>5</v>
      </c>
      <c r="G123" s="3">
        <v>2023</v>
      </c>
      <c r="H123" s="34" t="s">
        <v>59</v>
      </c>
      <c r="I123" s="7" t="s">
        <v>521</v>
      </c>
      <c r="J123" s="4" t="s">
        <v>229</v>
      </c>
      <c r="K123" s="3">
        <v>15</v>
      </c>
      <c r="L123" s="3">
        <v>0</v>
      </c>
      <c r="M123" s="4" t="s">
        <v>30</v>
      </c>
      <c r="N123" s="4"/>
      <c r="O123" s="4" t="s">
        <v>85</v>
      </c>
      <c r="P123" s="3" t="s">
        <v>31</v>
      </c>
      <c r="Q123" s="11">
        <v>7</v>
      </c>
      <c r="R123" s="3" t="str">
        <f>IF(Q123="","",IF(Q123&lt;4,"Crítico",IF(Q123&lt;9,"Alto",IF(Q123&lt;14,"Médio","Baixo"))))</f>
        <v>Alto</v>
      </c>
      <c r="S123" s="5" t="s">
        <v>40</v>
      </c>
      <c r="T123" s="4" t="str">
        <f>IF(OR(Tabela1[[#This Row],[Grau de Risco]]="Médio",Tabela1[[#This Row],[Grau de Risco]]="Baixo"),"Não","Sim")</f>
        <v>Sim</v>
      </c>
    </row>
    <row r="124" spans="1:20" hidden="1">
      <c r="A124" s="4" t="s">
        <v>8</v>
      </c>
      <c r="B124" s="10" t="s">
        <v>1805</v>
      </c>
      <c r="C124" s="4" t="s">
        <v>41</v>
      </c>
      <c r="D124" s="38" t="s">
        <v>1320</v>
      </c>
      <c r="E124" s="3">
        <v>21</v>
      </c>
      <c r="F124" s="3">
        <v>8</v>
      </c>
      <c r="G124" s="3">
        <v>2023</v>
      </c>
      <c r="H124" s="5" t="s">
        <v>48</v>
      </c>
      <c r="I124" s="7" t="s">
        <v>526</v>
      </c>
      <c r="J124" s="4" t="s">
        <v>61</v>
      </c>
      <c r="K124" s="3">
        <v>10</v>
      </c>
      <c r="L124" s="3">
        <v>0</v>
      </c>
      <c r="M124" s="4" t="s">
        <v>25</v>
      </c>
      <c r="N124" s="4">
        <v>0</v>
      </c>
      <c r="O124" s="4" t="s">
        <v>527</v>
      </c>
      <c r="P124" s="3" t="s">
        <v>52</v>
      </c>
      <c r="Q124" s="11">
        <v>15</v>
      </c>
      <c r="R124" s="3" t="str">
        <f>IF(Q124="","",IF(Q124&lt;4,"Crítico",IF(Q124&lt;9,"Alto",IF(Q124&lt;14,"Médio","Baixo"))))</f>
        <v>Baixo</v>
      </c>
      <c r="S124" s="5" t="s">
        <v>56</v>
      </c>
      <c r="T124" s="4" t="str">
        <f>IF(OR(Tabela1[[#This Row],[Grau de Risco]]="Médio",Tabela1[[#This Row],[Grau de Risco]]="Baixo"),"Não","Sim")</f>
        <v>Não</v>
      </c>
    </row>
    <row r="125" spans="1:20">
      <c r="A125" s="4" t="s">
        <v>2</v>
      </c>
      <c r="B125" s="10" t="s">
        <v>1809</v>
      </c>
      <c r="C125" s="4" t="s">
        <v>81</v>
      </c>
      <c r="D125" s="5" t="s">
        <v>36</v>
      </c>
      <c r="E125" s="3">
        <v>14</v>
      </c>
      <c r="F125" s="3">
        <v>1</v>
      </c>
      <c r="G125" s="3">
        <v>2023</v>
      </c>
      <c r="H125" s="36" t="s">
        <v>107</v>
      </c>
      <c r="I125" s="7" t="s">
        <v>538</v>
      </c>
      <c r="J125" s="4" t="s">
        <v>192</v>
      </c>
      <c r="K125" s="3">
        <v>2</v>
      </c>
      <c r="L125" s="3">
        <v>0</v>
      </c>
      <c r="M125" s="4" t="s">
        <v>30</v>
      </c>
      <c r="N125" s="4"/>
      <c r="O125" s="4" t="s">
        <v>85</v>
      </c>
      <c r="P125" s="3" t="s">
        <v>31</v>
      </c>
      <c r="Q125" s="11">
        <v>7</v>
      </c>
      <c r="R125" s="3" t="str">
        <f>IF(Q125="","",IF(Q125&lt;4,"Crítico",IF(Q125&lt;9,"Alto",IF(Q125&lt;14,"Médio","Baixo"))))</f>
        <v>Alto</v>
      </c>
      <c r="S125" s="5" t="s">
        <v>40</v>
      </c>
      <c r="T125" s="4" t="str">
        <f>IF(OR(Tabela1[[#This Row],[Grau de Risco]]="Médio",Tabela1[[#This Row],[Grau de Risco]]="Baixo"),"Não","Sim")</f>
        <v>Sim</v>
      </c>
    </row>
    <row r="126" spans="1:20" hidden="1">
      <c r="A126" s="4" t="s">
        <v>7</v>
      </c>
      <c r="B126" s="10" t="s">
        <v>1797</v>
      </c>
      <c r="C126" s="4" t="s">
        <v>252</v>
      </c>
      <c r="D126" s="38" t="s">
        <v>1320</v>
      </c>
      <c r="E126" s="3">
        <v>25</v>
      </c>
      <c r="F126" s="3">
        <v>11</v>
      </c>
      <c r="G126" s="3">
        <v>2024</v>
      </c>
      <c r="H126" s="5" t="s">
        <v>71</v>
      </c>
      <c r="I126" s="7" t="s">
        <v>707</v>
      </c>
      <c r="J126" s="4" t="s">
        <v>111</v>
      </c>
      <c r="K126" s="3"/>
      <c r="L126" s="3"/>
      <c r="M126" s="4"/>
      <c r="N126" s="4"/>
      <c r="O126" s="4" t="s">
        <v>4</v>
      </c>
      <c r="P126" s="3"/>
      <c r="Q126" s="11">
        <v>15</v>
      </c>
      <c r="R126" s="3" t="s">
        <v>52</v>
      </c>
      <c r="S126" s="5" t="s">
        <v>56</v>
      </c>
      <c r="T126" s="4" t="str">
        <f>IF(OR(Tabela1[[#This Row],[Grau de Risco]]="Médio",Tabela1[[#This Row],[Grau de Risco]]="Baixo"),"Não","Sim")</f>
        <v>Não</v>
      </c>
    </row>
    <row r="127" spans="1:20" hidden="1">
      <c r="A127" s="4" t="s">
        <v>7</v>
      </c>
      <c r="B127" s="10" t="s">
        <v>1797</v>
      </c>
      <c r="C127" s="4" t="s">
        <v>252</v>
      </c>
      <c r="D127" s="5" t="s">
        <v>148</v>
      </c>
      <c r="E127" s="3">
        <v>17</v>
      </c>
      <c r="F127" s="3">
        <v>3</v>
      </c>
      <c r="G127" s="3">
        <v>2024</v>
      </c>
      <c r="H127" s="4" t="s">
        <v>86</v>
      </c>
      <c r="I127" s="7" t="s">
        <v>724</v>
      </c>
      <c r="J127" s="4" t="s">
        <v>93</v>
      </c>
      <c r="K127" s="3">
        <v>0</v>
      </c>
      <c r="L127" s="3">
        <v>0</v>
      </c>
      <c r="M127" s="4" t="s">
        <v>30</v>
      </c>
      <c r="N127" s="4">
        <v>0</v>
      </c>
      <c r="O127" s="4" t="s">
        <v>77</v>
      </c>
      <c r="P127" s="3" t="s">
        <v>52</v>
      </c>
      <c r="Q127" s="11">
        <v>15</v>
      </c>
      <c r="R127" s="3" t="s">
        <v>52</v>
      </c>
      <c r="S127" s="10" t="s">
        <v>63</v>
      </c>
      <c r="T127" s="4" t="str">
        <f>IF(OR(Tabela1[[#This Row],[Grau de Risco]]="Médio",Tabela1[[#This Row],[Grau de Risco]]="Baixo"),"Não","Sim")</f>
        <v>Não</v>
      </c>
    </row>
    <row r="128" spans="1:20" hidden="1">
      <c r="A128" s="4" t="s">
        <v>7</v>
      </c>
      <c r="B128" s="10" t="s">
        <v>1797</v>
      </c>
      <c r="C128" s="4" t="s">
        <v>252</v>
      </c>
      <c r="D128" s="38" t="s">
        <v>1320</v>
      </c>
      <c r="E128" s="3">
        <v>2</v>
      </c>
      <c r="F128" s="3">
        <v>9</v>
      </c>
      <c r="G128" s="3">
        <v>2024</v>
      </c>
      <c r="H128" s="4" t="s">
        <v>27</v>
      </c>
      <c r="I128" s="7" t="s">
        <v>732</v>
      </c>
      <c r="J128" s="4" t="s">
        <v>61</v>
      </c>
      <c r="K128" s="3"/>
      <c r="L128" s="3"/>
      <c r="M128" s="4"/>
      <c r="N128" s="4"/>
      <c r="O128" s="4" t="s">
        <v>396</v>
      </c>
      <c r="P128" s="3"/>
      <c r="Q128" s="11">
        <v>15</v>
      </c>
      <c r="R128" s="3" t="s">
        <v>52</v>
      </c>
      <c r="S128" s="10" t="s">
        <v>4</v>
      </c>
      <c r="T128" s="4" t="str">
        <f>IF(OR(Tabela1[[#This Row],[Grau de Risco]]="Médio",Tabela1[[#This Row],[Grau de Risco]]="Baixo"),"Não","Sim")</f>
        <v>Não</v>
      </c>
    </row>
    <row r="129" spans="1:20">
      <c r="A129" s="4" t="s">
        <v>8</v>
      </c>
      <c r="B129" s="10" t="s">
        <v>1809</v>
      </c>
      <c r="C129" s="4" t="s">
        <v>41</v>
      </c>
      <c r="D129" s="5" t="s">
        <v>148</v>
      </c>
      <c r="E129" s="3">
        <v>3</v>
      </c>
      <c r="F129" s="3">
        <v>3</v>
      </c>
      <c r="G129" s="3">
        <v>2024</v>
      </c>
      <c r="H129" s="36" t="s">
        <v>82</v>
      </c>
      <c r="I129" s="7" t="s">
        <v>772</v>
      </c>
      <c r="J129" s="4" t="s">
        <v>61</v>
      </c>
      <c r="K129" s="3">
        <v>7</v>
      </c>
      <c r="L129" s="3">
        <v>0</v>
      </c>
      <c r="M129" s="4" t="s">
        <v>25</v>
      </c>
      <c r="N129" s="4">
        <v>0</v>
      </c>
      <c r="O129" s="4" t="s">
        <v>70</v>
      </c>
      <c r="P129" s="3" t="s">
        <v>52</v>
      </c>
      <c r="Q129" s="11">
        <v>11</v>
      </c>
      <c r="R129" s="3" t="s">
        <v>31</v>
      </c>
      <c r="S129" s="5" t="s">
        <v>40</v>
      </c>
      <c r="T129" s="4" t="str">
        <f>IF(OR(Tabela1[[#This Row],[Grau de Risco]]="Médio",Tabela1[[#This Row],[Grau de Risco]]="Baixo"),"Não","Sim")</f>
        <v>Não</v>
      </c>
    </row>
    <row r="130" spans="1:20">
      <c r="A130" s="4" t="s">
        <v>7</v>
      </c>
      <c r="B130" s="10" t="s">
        <v>1809</v>
      </c>
      <c r="C130" s="4" t="s">
        <v>252</v>
      </c>
      <c r="D130" s="38" t="s">
        <v>1393</v>
      </c>
      <c r="E130" s="3">
        <v>11</v>
      </c>
      <c r="F130" s="3">
        <v>6</v>
      </c>
      <c r="G130" s="3">
        <v>2024</v>
      </c>
      <c r="H130" s="4" t="s">
        <v>27</v>
      </c>
      <c r="I130" s="7" t="s">
        <v>795</v>
      </c>
      <c r="J130" s="4" t="s">
        <v>73</v>
      </c>
      <c r="K130" s="3" t="s">
        <v>62</v>
      </c>
      <c r="L130" s="3"/>
      <c r="M130" s="4"/>
      <c r="N130" s="4"/>
      <c r="O130" s="4" t="s">
        <v>51</v>
      </c>
      <c r="P130" s="3"/>
      <c r="Q130" s="11">
        <v>15</v>
      </c>
      <c r="R130" s="3" t="s">
        <v>52</v>
      </c>
      <c r="S130" s="10" t="s">
        <v>4</v>
      </c>
      <c r="T130" s="4" t="str">
        <f>IF(OR(Tabela1[[#This Row],[Grau de Risco]]="Médio",Tabela1[[#This Row],[Grau de Risco]]="Baixo"),"Não","Sim")</f>
        <v>Não</v>
      </c>
    </row>
    <row r="131" spans="1:20">
      <c r="A131" s="4" t="s">
        <v>8</v>
      </c>
      <c r="B131" s="10" t="s">
        <v>1809</v>
      </c>
      <c r="C131" s="4" t="s">
        <v>81</v>
      </c>
      <c r="D131" s="58" t="s">
        <v>1409</v>
      </c>
      <c r="E131" s="3">
        <v>16</v>
      </c>
      <c r="F131" s="3">
        <v>5</v>
      </c>
      <c r="G131" s="3">
        <v>2024</v>
      </c>
      <c r="H131" s="5" t="s">
        <v>123</v>
      </c>
      <c r="I131" s="7" t="s">
        <v>1812</v>
      </c>
      <c r="J131" s="4" t="s">
        <v>61</v>
      </c>
      <c r="K131" s="3">
        <v>5</v>
      </c>
      <c r="L131" s="3">
        <v>0</v>
      </c>
      <c r="M131" s="4" t="s">
        <v>25</v>
      </c>
      <c r="N131" s="4">
        <v>0</v>
      </c>
      <c r="O131" s="4" t="s">
        <v>301</v>
      </c>
      <c r="P131" s="3" t="s">
        <v>31</v>
      </c>
      <c r="Q131" s="11">
        <v>7</v>
      </c>
      <c r="R131" s="3" t="s">
        <v>102</v>
      </c>
      <c r="S131" s="10" t="s">
        <v>63</v>
      </c>
      <c r="T131" s="4" t="str">
        <f>IF(OR(Tabela1[[#This Row],[Grau de Risco]]="Médio",Tabela1[[#This Row],[Grau de Risco]]="Baixo"),"Não","Sim")</f>
        <v>Sim</v>
      </c>
    </row>
    <row r="132" spans="1:20">
      <c r="A132" s="4" t="s">
        <v>7</v>
      </c>
      <c r="B132" s="10" t="s">
        <v>1809</v>
      </c>
      <c r="C132" s="4" t="s">
        <v>41</v>
      </c>
      <c r="D132" s="5" t="s">
        <v>148</v>
      </c>
      <c r="E132" s="3">
        <v>7</v>
      </c>
      <c r="F132" s="3">
        <v>4</v>
      </c>
      <c r="G132" s="3">
        <v>2024</v>
      </c>
      <c r="H132" s="36" t="s">
        <v>66</v>
      </c>
      <c r="I132" s="7" t="s">
        <v>814</v>
      </c>
      <c r="J132" s="4" t="s">
        <v>61</v>
      </c>
      <c r="K132" s="3" t="s">
        <v>62</v>
      </c>
      <c r="L132" s="3"/>
      <c r="M132" s="4"/>
      <c r="N132" s="4"/>
      <c r="O132" s="4" t="s">
        <v>4</v>
      </c>
      <c r="P132" s="3"/>
      <c r="Q132" s="11">
        <v>4</v>
      </c>
      <c r="R132" s="3" t="s">
        <v>102</v>
      </c>
      <c r="S132" s="10" t="s">
        <v>141</v>
      </c>
      <c r="T132" s="4" t="str">
        <f>IF(OR(Tabela1[[#This Row],[Grau de Risco]]="Médio",Tabela1[[#This Row],[Grau de Risco]]="Baixo"),"Não","Sim")</f>
        <v>Sim</v>
      </c>
    </row>
    <row r="133" spans="1:20">
      <c r="A133" s="4" t="s">
        <v>2</v>
      </c>
      <c r="B133" s="10" t="s">
        <v>1809</v>
      </c>
      <c r="C133" s="4" t="s">
        <v>41</v>
      </c>
      <c r="D133" s="38" t="s">
        <v>1393</v>
      </c>
      <c r="E133" s="3">
        <v>10</v>
      </c>
      <c r="F133" s="3">
        <v>9</v>
      </c>
      <c r="G133" s="3">
        <v>2024</v>
      </c>
      <c r="H133" s="36" t="s">
        <v>107</v>
      </c>
      <c r="I133" s="7" t="s">
        <v>973</v>
      </c>
      <c r="J133" s="4" t="s">
        <v>154</v>
      </c>
      <c r="K133" s="3">
        <v>4</v>
      </c>
      <c r="L133" s="3">
        <v>0</v>
      </c>
      <c r="M133" s="4" t="s">
        <v>30</v>
      </c>
      <c r="N133" s="4"/>
      <c r="O133" s="4" t="s">
        <v>45</v>
      </c>
      <c r="P133" s="3" t="s">
        <v>31</v>
      </c>
      <c r="Q133" s="11">
        <v>11</v>
      </c>
      <c r="R133" s="3" t="s">
        <v>31</v>
      </c>
      <c r="S133" s="5" t="s">
        <v>56</v>
      </c>
      <c r="T133" s="4" t="str">
        <f>IF(OR(Tabela1[[#This Row],[Grau de Risco]]="Médio",Tabela1[[#This Row],[Grau de Risco]]="Baixo"),"Não","Sim")</f>
        <v>Não</v>
      </c>
    </row>
    <row r="134" spans="1:20" hidden="1">
      <c r="A134" s="4" t="s">
        <v>10</v>
      </c>
      <c r="B134" s="10" t="s">
        <v>1802</v>
      </c>
      <c r="C134" s="4" t="s">
        <v>41</v>
      </c>
      <c r="D134" s="58" t="s">
        <v>1409</v>
      </c>
      <c r="E134" s="3">
        <v>28</v>
      </c>
      <c r="F134" s="3">
        <v>8</v>
      </c>
      <c r="G134" s="3">
        <v>2024</v>
      </c>
      <c r="H134" s="36" t="s">
        <v>66</v>
      </c>
      <c r="I134" s="7" t="s">
        <v>1075</v>
      </c>
      <c r="J134" s="4" t="s">
        <v>115</v>
      </c>
      <c r="K134" s="3"/>
      <c r="L134" s="3"/>
      <c r="M134" s="4"/>
      <c r="N134" s="4"/>
      <c r="O134" s="4" t="s">
        <v>386</v>
      </c>
      <c r="P134" s="3" t="s">
        <v>31</v>
      </c>
      <c r="Q134" s="11">
        <v>5</v>
      </c>
      <c r="R134" s="3" t="s">
        <v>102</v>
      </c>
      <c r="S134" s="10" t="s">
        <v>63</v>
      </c>
      <c r="T134" s="4" t="str">
        <f>IF(OR(Tabela1[[#This Row],[Grau de Risco]]="Médio",Tabela1[[#This Row],[Grau de Risco]]="Baixo"),"Não","Sim")</f>
        <v>Sim</v>
      </c>
    </row>
    <row r="135" spans="1:20" hidden="1">
      <c r="A135" s="4" t="s">
        <v>8</v>
      </c>
      <c r="B135" s="10" t="s">
        <v>1805</v>
      </c>
      <c r="C135" s="4" t="s">
        <v>81</v>
      </c>
      <c r="D135" s="38" t="s">
        <v>1382</v>
      </c>
      <c r="E135" s="3">
        <v>22</v>
      </c>
      <c r="F135" s="3">
        <v>5</v>
      </c>
      <c r="G135" s="3">
        <v>2024</v>
      </c>
      <c r="H135" s="36" t="s">
        <v>107</v>
      </c>
      <c r="I135" s="7" t="s">
        <v>1083</v>
      </c>
      <c r="J135" s="4" t="s">
        <v>93</v>
      </c>
      <c r="K135" s="3"/>
      <c r="L135" s="3"/>
      <c r="M135" s="4"/>
      <c r="N135" s="4"/>
      <c r="O135" s="4" t="s">
        <v>45</v>
      </c>
      <c r="P135" s="3" t="s">
        <v>52</v>
      </c>
      <c r="Q135" s="11">
        <v>15</v>
      </c>
      <c r="R135" s="3" t="s">
        <v>52</v>
      </c>
      <c r="S135" s="5" t="s">
        <v>56</v>
      </c>
      <c r="T135" s="4" t="str">
        <f>IF(OR(Tabela1[[#This Row],[Grau de Risco]]="Médio",Tabela1[[#This Row],[Grau de Risco]]="Baixo"),"Não","Sim")</f>
        <v>Não</v>
      </c>
    </row>
    <row r="136" spans="1:20">
      <c r="A136" s="4" t="s">
        <v>10</v>
      </c>
      <c r="B136" s="10" t="s">
        <v>1809</v>
      </c>
      <c r="C136" s="4" t="s">
        <v>41</v>
      </c>
      <c r="D136" s="58" t="s">
        <v>1409</v>
      </c>
      <c r="E136" s="3">
        <v>11</v>
      </c>
      <c r="F136" s="3">
        <v>4</v>
      </c>
      <c r="G136" s="3">
        <v>2024</v>
      </c>
      <c r="H136" s="36" t="s">
        <v>112</v>
      </c>
      <c r="I136" s="7" t="s">
        <v>1100</v>
      </c>
      <c r="J136" s="4" t="s">
        <v>38</v>
      </c>
      <c r="K136" s="3">
        <v>0</v>
      </c>
      <c r="L136" s="3" t="s">
        <v>44</v>
      </c>
      <c r="M136" s="4" t="s">
        <v>30</v>
      </c>
      <c r="N136" s="4" t="s">
        <v>44</v>
      </c>
      <c r="O136" s="4" t="s">
        <v>101</v>
      </c>
      <c r="P136" s="3" t="s">
        <v>31</v>
      </c>
      <c r="Q136" s="11">
        <v>11</v>
      </c>
      <c r="R136" s="3" t="s">
        <v>31</v>
      </c>
      <c r="S136" s="10" t="s">
        <v>63</v>
      </c>
      <c r="T136" s="4" t="str">
        <f>IF(OR(Tabela1[[#This Row],[Grau de Risco]]="Médio",Tabela1[[#This Row],[Grau de Risco]]="Baixo"),"Não","Sim")</f>
        <v>Não</v>
      </c>
    </row>
    <row r="137" spans="1:20" hidden="1">
      <c r="A137" s="4" t="s">
        <v>9</v>
      </c>
      <c r="B137" s="10" t="s">
        <v>1797</v>
      </c>
      <c r="C137" s="4" t="s">
        <v>41</v>
      </c>
      <c r="D137" s="58" t="s">
        <v>1409</v>
      </c>
      <c r="E137" s="3">
        <v>20</v>
      </c>
      <c r="F137" s="3">
        <v>2</v>
      </c>
      <c r="G137" s="3">
        <v>2025</v>
      </c>
      <c r="H137" s="36" t="s">
        <v>375</v>
      </c>
      <c r="I137" s="7" t="s">
        <v>1170</v>
      </c>
      <c r="J137" s="4" t="s">
        <v>290</v>
      </c>
      <c r="K137" s="3">
        <v>1</v>
      </c>
      <c r="L137" s="3">
        <v>0</v>
      </c>
      <c r="M137" s="4" t="s">
        <v>30</v>
      </c>
      <c r="N137" s="4">
        <v>0</v>
      </c>
      <c r="O137" s="4" t="s">
        <v>51</v>
      </c>
      <c r="P137" s="3" t="s">
        <v>31</v>
      </c>
      <c r="Q137" s="11">
        <v>10</v>
      </c>
      <c r="R137" s="3" t="s">
        <v>31</v>
      </c>
      <c r="S137" s="10" t="s">
        <v>63</v>
      </c>
      <c r="T137" s="4" t="str">
        <f>IF(OR(Tabela1[[#This Row],[Grau de Risco]]="Médio",Tabela1[[#This Row],[Grau de Risco]]="Baixo"),"Não","Sim")</f>
        <v>Não</v>
      </c>
    </row>
    <row r="138" spans="1:20">
      <c r="A138" s="28" t="s">
        <v>2</v>
      </c>
      <c r="B138" s="10" t="s">
        <v>1809</v>
      </c>
      <c r="C138" s="28" t="s">
        <v>252</v>
      </c>
      <c r="D138" s="38" t="s">
        <v>1393</v>
      </c>
      <c r="E138" s="32">
        <v>1</v>
      </c>
      <c r="F138" s="32">
        <v>4</v>
      </c>
      <c r="G138" s="32">
        <v>2025</v>
      </c>
      <c r="H138" s="5" t="s">
        <v>71</v>
      </c>
      <c r="I138" s="29" t="s">
        <v>1214</v>
      </c>
      <c r="J138" s="28" t="s">
        <v>229</v>
      </c>
      <c r="K138" s="32">
        <v>12</v>
      </c>
      <c r="L138" s="32"/>
      <c r="M138" s="28"/>
      <c r="N138" s="28"/>
      <c r="O138" s="28" t="s">
        <v>85</v>
      </c>
      <c r="P138" s="32" t="s">
        <v>31</v>
      </c>
      <c r="Q138" s="35">
        <v>4</v>
      </c>
      <c r="R138" s="32" t="s">
        <v>102</v>
      </c>
      <c r="S138" s="5" t="s">
        <v>40</v>
      </c>
      <c r="T138" s="4" t="str">
        <f>IF(OR(Tabela1[[#This Row],[Grau de Risco]]="Médio",Tabela1[[#This Row],[Grau de Risco]]="Baixo"),"Não","Sim")</f>
        <v>Sim</v>
      </c>
    </row>
    <row r="139" spans="1:20" hidden="1">
      <c r="A139" s="28" t="s">
        <v>7</v>
      </c>
      <c r="B139" s="33" t="s">
        <v>1805</v>
      </c>
      <c r="C139" s="28" t="s">
        <v>41</v>
      </c>
      <c r="D139" s="38" t="s">
        <v>47</v>
      </c>
      <c r="E139" s="32">
        <v>4</v>
      </c>
      <c r="F139" s="32">
        <v>4</v>
      </c>
      <c r="G139" s="32">
        <v>2025</v>
      </c>
      <c r="H139" s="5" t="s">
        <v>71</v>
      </c>
      <c r="I139" s="29" t="s">
        <v>1219</v>
      </c>
      <c r="J139" s="28" t="s">
        <v>111</v>
      </c>
      <c r="K139" s="32"/>
      <c r="L139" s="32"/>
      <c r="M139" s="28"/>
      <c r="N139" s="28"/>
      <c r="O139" s="28" t="s">
        <v>55</v>
      </c>
      <c r="P139" s="32"/>
      <c r="Q139" s="11">
        <v>15</v>
      </c>
      <c r="R139" s="3" t="s">
        <v>52</v>
      </c>
      <c r="S139" s="10" t="s">
        <v>56</v>
      </c>
      <c r="T139" s="4" t="str">
        <f>IF(OR(Tabela1[[#This Row],[Grau de Risco]]="Médio",Tabela1[[#This Row],[Grau de Risco]]="Baixo"),"Não","Sim")</f>
        <v>Não</v>
      </c>
    </row>
    <row r="140" spans="1:20" hidden="1">
      <c r="A140" s="28" t="s">
        <v>9</v>
      </c>
      <c r="B140" s="56" t="s">
        <v>1797</v>
      </c>
      <c r="C140" s="28" t="s">
        <v>252</v>
      </c>
      <c r="D140" s="58" t="s">
        <v>1409</v>
      </c>
      <c r="E140" s="32">
        <v>10</v>
      </c>
      <c r="F140" s="32">
        <v>4</v>
      </c>
      <c r="G140" s="32">
        <v>2025</v>
      </c>
      <c r="H140" s="4" t="s">
        <v>86</v>
      </c>
      <c r="I140" s="29" t="s">
        <v>1225</v>
      </c>
      <c r="J140" s="28" t="s">
        <v>61</v>
      </c>
      <c r="K140" s="32">
        <v>2</v>
      </c>
      <c r="L140" s="32"/>
      <c r="M140" s="28"/>
      <c r="N140" s="28"/>
      <c r="O140" s="28" t="s">
        <v>101</v>
      </c>
      <c r="P140" s="32" t="s">
        <v>31</v>
      </c>
      <c r="Q140" s="11">
        <v>10</v>
      </c>
      <c r="R140" s="32" t="s">
        <v>31</v>
      </c>
      <c r="S140" s="33" t="s">
        <v>63</v>
      </c>
      <c r="T140" s="4" t="str">
        <f>IF(OR(Tabela1[[#This Row],[Grau de Risco]]="Médio",Tabela1[[#This Row],[Grau de Risco]]="Baixo"),"Não","Sim")</f>
        <v>Não</v>
      </c>
    </row>
    <row r="141" spans="1:20" hidden="1">
      <c r="A141" s="28" t="s">
        <v>2</v>
      </c>
      <c r="B141" s="33" t="s">
        <v>1797</v>
      </c>
      <c r="C141" s="28" t="s">
        <v>81</v>
      </c>
      <c r="D141" s="58" t="s">
        <v>1409</v>
      </c>
      <c r="E141" s="32">
        <v>24</v>
      </c>
      <c r="F141" s="32">
        <v>4</v>
      </c>
      <c r="G141" s="32">
        <v>2025</v>
      </c>
      <c r="H141" s="36" t="s">
        <v>82</v>
      </c>
      <c r="I141" s="29" t="s">
        <v>1233</v>
      </c>
      <c r="J141" s="28" t="s">
        <v>111</v>
      </c>
      <c r="K141" s="32">
        <v>15</v>
      </c>
      <c r="L141" s="32"/>
      <c r="M141" s="28"/>
      <c r="N141" s="28"/>
      <c r="O141" s="28" t="s">
        <v>4</v>
      </c>
      <c r="P141" s="32" t="s">
        <v>31</v>
      </c>
      <c r="Q141" s="11">
        <v>11</v>
      </c>
      <c r="R141" s="32" t="s">
        <v>31</v>
      </c>
      <c r="S141" s="5" t="s">
        <v>56</v>
      </c>
      <c r="T141" s="4" t="str">
        <f>IF(OR(Tabela1[[#This Row],[Grau de Risco]]="Médio",Tabela1[[#This Row],[Grau de Risco]]="Baixo"),"Não","Sim")</f>
        <v>Não</v>
      </c>
    </row>
    <row r="142" spans="1:20" hidden="1">
      <c r="A142" s="4" t="s">
        <v>8</v>
      </c>
      <c r="B142" s="10" t="s">
        <v>1797</v>
      </c>
      <c r="C142" s="4" t="s">
        <v>125</v>
      </c>
      <c r="D142" s="38" t="s">
        <v>1320</v>
      </c>
      <c r="E142" s="3">
        <v>5</v>
      </c>
      <c r="F142" s="3">
        <v>5</v>
      </c>
      <c r="G142" s="3">
        <v>2025</v>
      </c>
      <c r="H142" s="36" t="s">
        <v>66</v>
      </c>
      <c r="I142" s="7" t="s">
        <v>1245</v>
      </c>
      <c r="J142" s="4" t="s">
        <v>76</v>
      </c>
      <c r="K142" s="3" t="s">
        <v>44</v>
      </c>
      <c r="L142" s="3" t="s">
        <v>44</v>
      </c>
      <c r="M142" s="4"/>
      <c r="N142" s="4" t="s">
        <v>44</v>
      </c>
      <c r="O142" s="4" t="s">
        <v>45</v>
      </c>
      <c r="P142" s="3" t="s">
        <v>52</v>
      </c>
      <c r="Q142" s="11">
        <v>11</v>
      </c>
      <c r="R142" s="3" t="s">
        <v>31</v>
      </c>
      <c r="S142" s="5" t="s">
        <v>56</v>
      </c>
      <c r="T142" s="4" t="str">
        <f>IF(OR(Tabela1[[#This Row],[Grau de Risco]]="Médio",Tabela1[[#This Row],[Grau de Risco]]="Baixo"),"Não","Sim")</f>
        <v>Não</v>
      </c>
    </row>
    <row r="143" spans="1:20">
      <c r="A143" s="4" t="s">
        <v>9</v>
      </c>
      <c r="B143" s="10" t="s">
        <v>1809</v>
      </c>
      <c r="C143" s="4" t="s">
        <v>81</v>
      </c>
      <c r="D143" s="5" t="s">
        <v>148</v>
      </c>
      <c r="E143" s="3">
        <v>7</v>
      </c>
      <c r="F143" s="3">
        <v>5</v>
      </c>
      <c r="G143" s="3">
        <v>2025</v>
      </c>
      <c r="H143" s="5" t="s">
        <v>71</v>
      </c>
      <c r="I143" s="7" t="s">
        <v>1253</v>
      </c>
      <c r="J143" s="4" t="s">
        <v>79</v>
      </c>
      <c r="K143" s="3">
        <v>60</v>
      </c>
      <c r="L143" s="3">
        <v>25</v>
      </c>
      <c r="M143" s="4" t="s">
        <v>30</v>
      </c>
      <c r="N143" s="4">
        <v>0</v>
      </c>
      <c r="O143" s="4" t="s">
        <v>1254</v>
      </c>
      <c r="P143" s="3" t="s">
        <v>31</v>
      </c>
      <c r="Q143" s="11">
        <v>5</v>
      </c>
      <c r="R143" s="3" t="s">
        <v>102</v>
      </c>
      <c r="S143" s="10" t="s">
        <v>63</v>
      </c>
      <c r="T143" s="4" t="str">
        <f>IF(OR(Tabela1[[#This Row],[Grau de Risco]]="Médio",Tabela1[[#This Row],[Grau de Risco]]="Baixo"),"Não","Sim")</f>
        <v>Sim</v>
      </c>
    </row>
    <row r="144" spans="1:20" hidden="1">
      <c r="A144" s="47" t="s">
        <v>6</v>
      </c>
      <c r="B144" s="10" t="s">
        <v>1805</v>
      </c>
      <c r="C144" s="4" t="s">
        <v>252</v>
      </c>
      <c r="D144" s="38" t="s">
        <v>47</v>
      </c>
      <c r="E144" s="3">
        <v>31</v>
      </c>
      <c r="F144" s="3">
        <v>1</v>
      </c>
      <c r="G144" s="3">
        <v>2025</v>
      </c>
      <c r="H144" s="5" t="s">
        <v>48</v>
      </c>
      <c r="I144" s="7" t="s">
        <v>1140</v>
      </c>
      <c r="J144" s="4" t="s">
        <v>69</v>
      </c>
      <c r="K144" s="3" t="s">
        <v>44</v>
      </c>
      <c r="L144" s="3" t="s">
        <v>44</v>
      </c>
      <c r="M144" s="4"/>
      <c r="N144" s="4" t="s">
        <v>44</v>
      </c>
      <c r="O144" s="4"/>
      <c r="P144" s="3"/>
      <c r="Q144" s="11">
        <v>16</v>
      </c>
      <c r="R144" s="3" t="s">
        <v>52</v>
      </c>
      <c r="S144" s="33" t="s">
        <v>63</v>
      </c>
      <c r="T144" s="4" t="str">
        <f>IF(OR(Tabela1[[#This Row],[Grau de Risco]]="Médio",Tabela1[[#This Row],[Grau de Risco]]="Baixo"),"Não","Sim")</f>
        <v>Não</v>
      </c>
    </row>
    <row r="145" spans="1:20">
      <c r="A145" s="28" t="s">
        <v>7</v>
      </c>
      <c r="B145" s="10" t="s">
        <v>1809</v>
      </c>
      <c r="C145" s="28" t="s">
        <v>252</v>
      </c>
      <c r="D145" s="36" t="s">
        <v>36</v>
      </c>
      <c r="E145" s="32">
        <v>6</v>
      </c>
      <c r="F145" s="32">
        <v>9</v>
      </c>
      <c r="G145" s="32">
        <v>2025</v>
      </c>
      <c r="H145" s="36" t="s">
        <v>112</v>
      </c>
      <c r="I145" s="29" t="s">
        <v>1419</v>
      </c>
      <c r="J145" s="28" t="s">
        <v>54</v>
      </c>
      <c r="K145" s="32" t="s">
        <v>44</v>
      </c>
      <c r="L145" s="32" t="s">
        <v>44</v>
      </c>
      <c r="M145" s="28" t="s">
        <v>30</v>
      </c>
      <c r="N145" s="28" t="s">
        <v>44</v>
      </c>
      <c r="O145" s="28" t="s">
        <v>44</v>
      </c>
      <c r="P145" s="32"/>
      <c r="Q145" s="35">
        <v>11</v>
      </c>
      <c r="R145" s="32" t="s">
        <v>31</v>
      </c>
      <c r="S145" s="33" t="s">
        <v>63</v>
      </c>
      <c r="T145" s="4" t="str">
        <f>IF(OR(Tabela1[[#This Row],[Grau de Risco]]="Médio",Tabela1[[#This Row],[Grau de Risco]]="Baixo"),"Não","Sim")</f>
        <v>Não</v>
      </c>
    </row>
    <row r="146" spans="1:20" hidden="1">
      <c r="A146" s="28" t="s">
        <v>7</v>
      </c>
      <c r="B146" s="33" t="s">
        <v>1797</v>
      </c>
      <c r="C146" s="28" t="s">
        <v>81</v>
      </c>
      <c r="D146" s="28" t="s">
        <v>47</v>
      </c>
      <c r="E146" s="32">
        <v>26</v>
      </c>
      <c r="F146" s="32">
        <v>9</v>
      </c>
      <c r="G146" s="32">
        <v>2025</v>
      </c>
      <c r="H146" s="34" t="s">
        <v>107</v>
      </c>
      <c r="I146" s="7" t="s">
        <v>1452</v>
      </c>
      <c r="J146" s="28" t="s">
        <v>290</v>
      </c>
      <c r="K146" s="32">
        <v>0</v>
      </c>
      <c r="L146" s="32">
        <v>0</v>
      </c>
      <c r="M146" s="4" t="s">
        <v>30</v>
      </c>
      <c r="N146" s="4">
        <v>0</v>
      </c>
      <c r="O146" s="28"/>
      <c r="P146" s="32"/>
      <c r="Q146" s="35">
        <v>11</v>
      </c>
      <c r="R146" s="32" t="s">
        <v>31</v>
      </c>
      <c r="S146" s="33" t="s">
        <v>180</v>
      </c>
      <c r="T146" s="4" t="str">
        <f>IF(OR(Tabela1[[#This Row],[Grau de Risco]]="Médio",Tabela1[[#This Row],[Grau de Risco]]="Baixo"),"Não","Sim")</f>
        <v>Não</v>
      </c>
    </row>
    <row r="147" spans="1:20" hidden="1">
      <c r="A147" s="28" t="s">
        <v>2</v>
      </c>
      <c r="B147" s="33" t="s">
        <v>1797</v>
      </c>
      <c r="C147" s="28" t="s">
        <v>81</v>
      </c>
      <c r="D147" s="28" t="s">
        <v>1393</v>
      </c>
      <c r="E147" s="32">
        <v>23</v>
      </c>
      <c r="F147" s="32">
        <v>9</v>
      </c>
      <c r="G147" s="32">
        <v>2025</v>
      </c>
      <c r="H147" s="34" t="s">
        <v>71</v>
      </c>
      <c r="I147" s="29" t="s">
        <v>1586</v>
      </c>
      <c r="J147" s="28" t="s">
        <v>76</v>
      </c>
      <c r="K147" s="32">
        <v>4</v>
      </c>
      <c r="L147" s="32">
        <v>0</v>
      </c>
      <c r="M147" s="28" t="s">
        <v>30</v>
      </c>
      <c r="N147" s="28"/>
      <c r="O147" s="28"/>
      <c r="P147" s="32" t="s">
        <v>31</v>
      </c>
      <c r="Q147" s="35">
        <v>5</v>
      </c>
      <c r="R147" s="3" t="s">
        <v>102</v>
      </c>
      <c r="S147" s="33" t="s">
        <v>141</v>
      </c>
      <c r="T147" s="4" t="str">
        <f>IF(OR(Tabela1[[#This Row],[Grau de Risco]]="Médio",Tabela1[[#This Row],[Grau de Risco]]="Baixo"),"Não","Sim")</f>
        <v>Sim</v>
      </c>
    </row>
    <row r="148" spans="1:20" hidden="1">
      <c r="A148" s="28" t="s">
        <v>8</v>
      </c>
      <c r="B148" s="33" t="s">
        <v>1797</v>
      </c>
      <c r="C148" s="28" t="s">
        <v>81</v>
      </c>
      <c r="D148" s="36" t="s">
        <v>47</v>
      </c>
      <c r="E148" s="32">
        <v>3</v>
      </c>
      <c r="F148" s="32">
        <v>10</v>
      </c>
      <c r="G148" s="32">
        <v>2025</v>
      </c>
      <c r="H148" s="36" t="s">
        <v>27</v>
      </c>
      <c r="I148" s="29" t="s">
        <v>1470</v>
      </c>
      <c r="J148" s="28" t="s">
        <v>84</v>
      </c>
      <c r="K148" s="32" t="s">
        <v>1581</v>
      </c>
      <c r="L148" s="32" t="s">
        <v>44</v>
      </c>
      <c r="M148" s="28" t="s">
        <v>30</v>
      </c>
      <c r="N148" s="28" t="s">
        <v>44</v>
      </c>
      <c r="O148" s="28" t="s">
        <v>1471</v>
      </c>
      <c r="P148" s="32" t="s">
        <v>52</v>
      </c>
      <c r="Q148" s="35">
        <v>15</v>
      </c>
      <c r="R148" s="3" t="s">
        <v>52</v>
      </c>
      <c r="S148" s="33" t="s">
        <v>32</v>
      </c>
      <c r="T148" s="4" t="str">
        <f>IF(OR(Tabela1[[#This Row],[Grau de Risco]]="Médio",Tabela1[[#This Row],[Grau de Risco]]="Baixo"),"Não","Sim")</f>
        <v>Não</v>
      </c>
    </row>
    <row r="149" spans="1:20" hidden="1">
      <c r="A149" s="28" t="s">
        <v>9</v>
      </c>
      <c r="B149" s="33" t="s">
        <v>1797</v>
      </c>
      <c r="C149" s="28" t="s">
        <v>81</v>
      </c>
      <c r="D149" s="28" t="s">
        <v>1382</v>
      </c>
      <c r="E149" s="32">
        <v>8</v>
      </c>
      <c r="F149" s="32">
        <v>10</v>
      </c>
      <c r="G149" s="32">
        <v>2025</v>
      </c>
      <c r="H149" s="34" t="s">
        <v>112</v>
      </c>
      <c r="I149" s="7" t="s">
        <v>1798</v>
      </c>
      <c r="J149" s="28" t="s">
        <v>93</v>
      </c>
      <c r="K149" s="32"/>
      <c r="L149" s="32"/>
      <c r="M149" s="28"/>
      <c r="N149" s="28"/>
      <c r="O149" s="28"/>
      <c r="P149" s="32" t="s">
        <v>31</v>
      </c>
      <c r="Q149" s="35">
        <v>10</v>
      </c>
      <c r="R149" s="32" t="s">
        <v>31</v>
      </c>
      <c r="S149" s="33" t="s">
        <v>63</v>
      </c>
      <c r="T149" s="4" t="str">
        <f>IF(OR(Tabela1[[#This Row],[Grau de Risco]]="Médio",Tabela1[[#This Row],[Grau de Risco]]="Baixo"),"Não","Sim")</f>
        <v>Não</v>
      </c>
    </row>
    <row r="150" spans="1:20" hidden="1">
      <c r="A150" s="28" t="s">
        <v>7</v>
      </c>
      <c r="B150" s="33" t="s">
        <v>1800</v>
      </c>
      <c r="C150" s="28" t="s">
        <v>41</v>
      </c>
      <c r="D150" s="38" t="s">
        <v>1393</v>
      </c>
      <c r="E150" s="32">
        <v>1</v>
      </c>
      <c r="F150" s="32">
        <v>10</v>
      </c>
      <c r="G150" s="32">
        <v>2025</v>
      </c>
      <c r="H150" s="38" t="s">
        <v>375</v>
      </c>
      <c r="I150" s="7" t="s">
        <v>1492</v>
      </c>
      <c r="J150" s="28" t="s">
        <v>76</v>
      </c>
      <c r="K150" s="32" t="s">
        <v>80</v>
      </c>
      <c r="L150" s="32" t="s">
        <v>80</v>
      </c>
      <c r="M150" s="28" t="s">
        <v>30</v>
      </c>
      <c r="N150" s="28" t="s">
        <v>80</v>
      </c>
      <c r="O150" s="4" t="s">
        <v>77</v>
      </c>
      <c r="P150" s="32" t="s">
        <v>44</v>
      </c>
      <c r="Q150" s="35">
        <v>14</v>
      </c>
      <c r="R150" s="3" t="s">
        <v>52</v>
      </c>
      <c r="S150" s="33" t="s">
        <v>63</v>
      </c>
      <c r="T150" s="4" t="str">
        <f>IF(OR(Tabela1[[#This Row],[Grau de Risco]]="Médio",Tabela1[[#This Row],[Grau de Risco]]="Baixo"),"Não","Sim")</f>
        <v>Não</v>
      </c>
    </row>
    <row r="151" spans="1:20" hidden="1">
      <c r="A151" s="28" t="s">
        <v>7</v>
      </c>
      <c r="B151" s="33" t="s">
        <v>1800</v>
      </c>
      <c r="C151" s="28" t="s">
        <v>41</v>
      </c>
      <c r="D151" s="38" t="s">
        <v>47</v>
      </c>
      <c r="E151" s="32">
        <v>10</v>
      </c>
      <c r="F151" s="32">
        <v>10</v>
      </c>
      <c r="G151" s="32">
        <v>2025</v>
      </c>
      <c r="H151" s="38" t="s">
        <v>33</v>
      </c>
      <c r="I151" s="7" t="s">
        <v>1497</v>
      </c>
      <c r="J151" s="28" t="s">
        <v>69</v>
      </c>
      <c r="K151" s="32" t="s">
        <v>80</v>
      </c>
      <c r="L151" s="32" t="s">
        <v>80</v>
      </c>
      <c r="M151" s="28" t="s">
        <v>30</v>
      </c>
      <c r="N151" s="28" t="s">
        <v>80</v>
      </c>
      <c r="O151" s="4" t="s">
        <v>70</v>
      </c>
      <c r="P151" s="32" t="s">
        <v>52</v>
      </c>
      <c r="Q151" s="35">
        <v>7</v>
      </c>
      <c r="R151" s="3" t="s">
        <v>102</v>
      </c>
      <c r="S151" s="33" t="s">
        <v>56</v>
      </c>
      <c r="T151" s="4" t="str">
        <f>IF(OR(Tabela1[[#This Row],[Grau de Risco]]="Médio",Tabela1[[#This Row],[Grau de Risco]]="Baixo"),"Não","Sim")</f>
        <v>Sim</v>
      </c>
    </row>
    <row r="152" spans="1:20" hidden="1">
      <c r="A152" s="4" t="s">
        <v>7</v>
      </c>
      <c r="B152" s="10" t="s">
        <v>1805</v>
      </c>
      <c r="C152" s="4" t="s">
        <v>81</v>
      </c>
      <c r="D152" s="5" t="s">
        <v>148</v>
      </c>
      <c r="E152" s="3">
        <v>26</v>
      </c>
      <c r="F152" s="3">
        <v>9</v>
      </c>
      <c r="G152" s="3">
        <v>2025</v>
      </c>
      <c r="H152" s="5" t="s">
        <v>27</v>
      </c>
      <c r="I152" s="7" t="s">
        <v>1531</v>
      </c>
      <c r="J152" s="4" t="s">
        <v>69</v>
      </c>
      <c r="K152" s="3" t="s">
        <v>44</v>
      </c>
      <c r="L152" s="3" t="s">
        <v>44</v>
      </c>
      <c r="M152" s="4"/>
      <c r="N152" s="4" t="s">
        <v>44</v>
      </c>
      <c r="O152" s="4"/>
      <c r="P152" s="3"/>
      <c r="Q152" s="11">
        <v>14</v>
      </c>
      <c r="R152" s="3" t="s">
        <v>52</v>
      </c>
      <c r="S152" s="10" t="s">
        <v>56</v>
      </c>
      <c r="T152" s="4" t="str">
        <f>IF(OR(Tabela1[[#This Row],[Grau de Risco]]="Médio",Tabela1[[#This Row],[Grau de Risco]]="Baixo"),"Não","Sim")</f>
        <v>Não</v>
      </c>
    </row>
    <row r="153" spans="1:20">
      <c r="A153" s="5" t="s">
        <v>2</v>
      </c>
      <c r="B153" s="10" t="s">
        <v>1809</v>
      </c>
      <c r="C153" s="5" t="s">
        <v>81</v>
      </c>
      <c r="D153" s="5" t="s">
        <v>36</v>
      </c>
      <c r="E153" s="2">
        <v>1</v>
      </c>
      <c r="F153" s="2">
        <v>2</v>
      </c>
      <c r="G153" s="2">
        <v>2020</v>
      </c>
      <c r="H153" s="36" t="s">
        <v>82</v>
      </c>
      <c r="I153" s="5" t="s">
        <v>83</v>
      </c>
      <c r="J153" s="5" t="s">
        <v>84</v>
      </c>
      <c r="K153" s="2">
        <v>0</v>
      </c>
      <c r="L153" s="2">
        <v>0</v>
      </c>
      <c r="M153" s="5" t="s">
        <v>30</v>
      </c>
      <c r="N153" s="5">
        <v>0</v>
      </c>
      <c r="O153" s="5" t="s">
        <v>85</v>
      </c>
      <c r="P153" s="2" t="s">
        <v>31</v>
      </c>
      <c r="Q153" s="2">
        <v>14</v>
      </c>
      <c r="R153" s="2" t="s">
        <v>31</v>
      </c>
      <c r="S153" s="5" t="s">
        <v>40</v>
      </c>
      <c r="T153" s="4" t="str">
        <f>IF(OR(Tabela1[[#This Row],[Grau de Risco]]="Médio",Tabela1[[#This Row],[Grau de Risco]]="Baixo"),"Não","Sim")</f>
        <v>Não</v>
      </c>
    </row>
    <row r="154" spans="1:20">
      <c r="A154" s="4" t="s">
        <v>2</v>
      </c>
      <c r="B154" s="10" t="s">
        <v>1809</v>
      </c>
      <c r="C154" s="4" t="s">
        <v>46</v>
      </c>
      <c r="D154" s="58" t="s">
        <v>1409</v>
      </c>
      <c r="E154" s="3">
        <v>1</v>
      </c>
      <c r="F154" s="3">
        <v>4</v>
      </c>
      <c r="G154" s="3">
        <v>2021</v>
      </c>
      <c r="H154" s="36" t="s">
        <v>33</v>
      </c>
      <c r="I154" s="7" t="s">
        <v>196</v>
      </c>
      <c r="J154" s="4" t="s">
        <v>111</v>
      </c>
      <c r="K154" s="3">
        <v>14</v>
      </c>
      <c r="L154" s="3">
        <v>0</v>
      </c>
      <c r="M154" s="4" t="s">
        <v>30</v>
      </c>
      <c r="N154" s="4"/>
      <c r="O154" s="4" t="s">
        <v>99</v>
      </c>
      <c r="P154" s="3" t="s">
        <v>31</v>
      </c>
      <c r="Q154" s="11">
        <v>13</v>
      </c>
      <c r="R154" s="3" t="str">
        <f>IF(Q154="","",IF(Q154&lt;4,"Crítico",IF(Q154&lt;9,"Alto",IF(Q154&lt;14,"Médio","Baixo"))))</f>
        <v>Médio</v>
      </c>
      <c r="S154" s="10" t="s">
        <v>63</v>
      </c>
      <c r="T154" s="4" t="str">
        <f>IF(OR(Tabela1[[#This Row],[Grau de Risco]]="Médio",Tabela1[[#This Row],[Grau de Risco]]="Baixo"),"Não","Sim")</f>
        <v>Não</v>
      </c>
    </row>
    <row r="155" spans="1:20">
      <c r="A155" s="4" t="s">
        <v>2</v>
      </c>
      <c r="B155" s="10" t="s">
        <v>1809</v>
      </c>
      <c r="C155" s="4"/>
      <c r="D155" s="58" t="s">
        <v>1409</v>
      </c>
      <c r="E155" s="3">
        <v>17</v>
      </c>
      <c r="F155" s="3">
        <v>11</v>
      </c>
      <c r="G155" s="3">
        <v>2022</v>
      </c>
      <c r="H155" s="5" t="s">
        <v>123</v>
      </c>
      <c r="I155" s="7" t="s">
        <v>298</v>
      </c>
      <c r="J155" s="4" t="s">
        <v>61</v>
      </c>
      <c r="K155" s="3">
        <v>2</v>
      </c>
      <c r="L155" s="3">
        <v>0</v>
      </c>
      <c r="M155" s="4" t="s">
        <v>30</v>
      </c>
      <c r="N155" s="4"/>
      <c r="O155" s="4" t="s">
        <v>129</v>
      </c>
      <c r="P155" s="3" t="s">
        <v>52</v>
      </c>
      <c r="Q155" s="11">
        <v>13</v>
      </c>
      <c r="R155" s="3" t="str">
        <f>IF(Q155="","",IF(Q155&lt;4,"Crítico",IF(Q155&lt;9,"Alto",IF(Q155&lt;14,"Médio","Baixo"))))</f>
        <v>Médio</v>
      </c>
      <c r="S155" s="10" t="s">
        <v>63</v>
      </c>
      <c r="T155" s="4" t="str">
        <f>IF(OR(Tabela1[[#This Row],[Grau de Risco]]="Médio",Tabela1[[#This Row],[Grau de Risco]]="Baixo"),"Não","Sim")</f>
        <v>Não</v>
      </c>
    </row>
    <row r="156" spans="1:20">
      <c r="A156" s="4" t="s">
        <v>7</v>
      </c>
      <c r="B156" s="10" t="s">
        <v>1809</v>
      </c>
      <c r="C156" s="4" t="s">
        <v>81</v>
      </c>
      <c r="D156" s="5" t="s">
        <v>36</v>
      </c>
      <c r="E156" s="3">
        <v>11</v>
      </c>
      <c r="F156" s="3">
        <v>11</v>
      </c>
      <c r="G156" s="3">
        <v>2023</v>
      </c>
      <c r="H156" s="36" t="s">
        <v>107</v>
      </c>
      <c r="I156" s="7" t="s">
        <v>499</v>
      </c>
      <c r="J156" s="4" t="s">
        <v>229</v>
      </c>
      <c r="K156" s="3" t="s">
        <v>62</v>
      </c>
      <c r="L156" s="3">
        <v>0</v>
      </c>
      <c r="M156" s="4" t="s">
        <v>30</v>
      </c>
      <c r="N156" s="4">
        <v>0</v>
      </c>
      <c r="O156" s="4" t="s">
        <v>85</v>
      </c>
      <c r="P156" s="3" t="s">
        <v>52</v>
      </c>
      <c r="Q156" s="11">
        <v>14</v>
      </c>
      <c r="R156" s="3" t="str">
        <f>IF(Q156="","",IF(Q156&lt;4,"Crítico",IF(Q156&lt;9,"Alto",IF(Q156&lt;14,"Médio","Baixo"))))</f>
        <v>Baixo</v>
      </c>
      <c r="S156" s="5" t="s">
        <v>40</v>
      </c>
      <c r="T156" s="4" t="str">
        <f>IF(OR(Tabela1[[#This Row],[Grau de Risco]]="Médio",Tabela1[[#This Row],[Grau de Risco]]="Baixo"),"Não","Sim")</f>
        <v>Não</v>
      </c>
    </row>
    <row r="157" spans="1:20" hidden="1">
      <c r="A157" s="4" t="s">
        <v>2</v>
      </c>
      <c r="B157" s="10" t="s">
        <v>1805</v>
      </c>
      <c r="C157" s="65" t="s">
        <v>81</v>
      </c>
      <c r="D157" s="38" t="s">
        <v>1382</v>
      </c>
      <c r="E157" s="3">
        <v>28</v>
      </c>
      <c r="F157" s="3">
        <v>6</v>
      </c>
      <c r="G157" s="3">
        <v>2023</v>
      </c>
      <c r="H157" s="4" t="s">
        <v>86</v>
      </c>
      <c r="I157" s="7" t="s">
        <v>563</v>
      </c>
      <c r="J157" s="4" t="s">
        <v>150</v>
      </c>
      <c r="K157" s="3">
        <v>3</v>
      </c>
      <c r="L157" s="3">
        <v>0</v>
      </c>
      <c r="M157" s="4" t="s">
        <v>30</v>
      </c>
      <c r="N157" s="4">
        <v>0</v>
      </c>
      <c r="O157" s="4" t="s">
        <v>45</v>
      </c>
      <c r="P157" s="3" t="s">
        <v>52</v>
      </c>
      <c r="Q157" s="11">
        <v>14</v>
      </c>
      <c r="R157" s="3" t="s">
        <v>52</v>
      </c>
      <c r="S157" s="5" t="s">
        <v>56</v>
      </c>
      <c r="T157" s="4" t="str">
        <f>IF(OR(Tabela1[[#This Row],[Grau de Risco]]="Médio",Tabela1[[#This Row],[Grau de Risco]]="Baixo"),"Não","Sim")</f>
        <v>Não</v>
      </c>
    </row>
    <row r="158" spans="1:20" hidden="1">
      <c r="A158" s="4" t="s">
        <v>2</v>
      </c>
      <c r="B158" s="10" t="s">
        <v>1805</v>
      </c>
      <c r="C158" s="4" t="s">
        <v>252</v>
      </c>
      <c r="D158" s="38" t="s">
        <v>1320</v>
      </c>
      <c r="E158" s="3">
        <v>24</v>
      </c>
      <c r="F158" s="3">
        <v>4</v>
      </c>
      <c r="G158" s="3">
        <v>2023</v>
      </c>
      <c r="H158" s="4" t="s">
        <v>27</v>
      </c>
      <c r="I158" s="7" t="s">
        <v>611</v>
      </c>
      <c r="J158" s="4" t="s">
        <v>54</v>
      </c>
      <c r="K158" s="3">
        <v>98</v>
      </c>
      <c r="L158" s="3">
        <v>0</v>
      </c>
      <c r="M158" s="4"/>
      <c r="N158" s="4">
        <v>98</v>
      </c>
      <c r="O158" s="4" t="s">
        <v>55</v>
      </c>
      <c r="P158" s="3" t="s">
        <v>31</v>
      </c>
      <c r="Q158" s="11">
        <v>13</v>
      </c>
      <c r="R158" s="2" t="s">
        <v>31</v>
      </c>
      <c r="S158" s="10" t="s">
        <v>32</v>
      </c>
      <c r="T158" s="4" t="str">
        <f>IF(OR(Tabela1[[#This Row],[Grau de Risco]]="Médio",Tabela1[[#This Row],[Grau de Risco]]="Baixo"),"Não","Sim")</f>
        <v>Não</v>
      </c>
    </row>
    <row r="159" spans="1:20" hidden="1">
      <c r="A159" s="4" t="s">
        <v>8</v>
      </c>
      <c r="B159" s="10" t="s">
        <v>1805</v>
      </c>
      <c r="C159" s="4" t="s">
        <v>41</v>
      </c>
      <c r="D159" s="38" t="s">
        <v>1382</v>
      </c>
      <c r="E159" s="3">
        <v>2</v>
      </c>
      <c r="F159" s="3">
        <v>8</v>
      </c>
      <c r="G159" s="3">
        <v>2023</v>
      </c>
      <c r="H159" s="36" t="s">
        <v>112</v>
      </c>
      <c r="I159" s="7" t="s">
        <v>613</v>
      </c>
      <c r="J159" s="4" t="s">
        <v>54</v>
      </c>
      <c r="K159" s="3">
        <v>0</v>
      </c>
      <c r="L159" s="3"/>
      <c r="M159" s="4"/>
      <c r="N159" s="4"/>
      <c r="O159" s="4" t="s">
        <v>88</v>
      </c>
      <c r="P159" s="3" t="s">
        <v>52</v>
      </c>
      <c r="Q159" s="11">
        <v>15</v>
      </c>
      <c r="R159" s="3" t="s">
        <v>52</v>
      </c>
      <c r="S159" s="5" t="s">
        <v>56</v>
      </c>
      <c r="T159" s="4" t="str">
        <f>IF(OR(Tabela1[[#This Row],[Grau de Risco]]="Médio",Tabela1[[#This Row],[Grau de Risco]]="Baixo"),"Não","Sim")</f>
        <v>Não</v>
      </c>
    </row>
    <row r="160" spans="1:20" hidden="1">
      <c r="A160" s="5" t="s">
        <v>7</v>
      </c>
      <c r="B160" s="10" t="s">
        <v>1800</v>
      </c>
      <c r="C160" s="4" t="s">
        <v>81</v>
      </c>
      <c r="D160" s="38" t="s">
        <v>1382</v>
      </c>
      <c r="E160" s="3">
        <v>6</v>
      </c>
      <c r="F160" s="3">
        <v>9</v>
      </c>
      <c r="G160" s="3">
        <v>2023</v>
      </c>
      <c r="H160" s="36" t="s">
        <v>33</v>
      </c>
      <c r="I160" s="7" t="s">
        <v>623</v>
      </c>
      <c r="J160" s="4" t="s">
        <v>54</v>
      </c>
      <c r="K160" s="3" t="s">
        <v>44</v>
      </c>
      <c r="L160" s="3" t="s">
        <v>80</v>
      </c>
      <c r="M160" s="4" t="s">
        <v>30</v>
      </c>
      <c r="N160" s="4"/>
      <c r="O160" s="4" t="s">
        <v>88</v>
      </c>
      <c r="P160" s="3"/>
      <c r="Q160" s="11">
        <v>15</v>
      </c>
      <c r="R160" s="3" t="s">
        <v>52</v>
      </c>
      <c r="S160" s="5" t="s">
        <v>56</v>
      </c>
      <c r="T160" s="4" t="str">
        <f>IF(OR(Tabela1[[#This Row],[Grau de Risco]]="Médio",Tabela1[[#This Row],[Grau de Risco]]="Baixo"),"Não","Sim")</f>
        <v>Não</v>
      </c>
    </row>
    <row r="161" spans="1:20" hidden="1">
      <c r="A161" s="5" t="s">
        <v>7</v>
      </c>
      <c r="B161" s="10" t="s">
        <v>1800</v>
      </c>
      <c r="C161" s="4" t="s">
        <v>41</v>
      </c>
      <c r="D161" s="38" t="s">
        <v>1393</v>
      </c>
      <c r="E161" s="3">
        <v>17</v>
      </c>
      <c r="F161" s="3">
        <v>10</v>
      </c>
      <c r="G161" s="3">
        <v>2023</v>
      </c>
      <c r="H161" s="36" t="s">
        <v>112</v>
      </c>
      <c r="I161" s="7" t="s">
        <v>637</v>
      </c>
      <c r="J161" s="4" t="s">
        <v>54</v>
      </c>
      <c r="K161" s="3" t="s">
        <v>44</v>
      </c>
      <c r="L161" s="3"/>
      <c r="M161" s="4"/>
      <c r="N161" s="4"/>
      <c r="O161" s="4" t="s">
        <v>4</v>
      </c>
      <c r="P161" s="3"/>
      <c r="Q161" s="11">
        <v>11</v>
      </c>
      <c r="R161" s="3" t="s">
        <v>31</v>
      </c>
      <c r="S161" s="10" t="s">
        <v>63</v>
      </c>
      <c r="T161" s="4" t="str">
        <f>IF(OR(Tabela1[[#This Row],[Grau de Risco]]="Médio",Tabela1[[#This Row],[Grau de Risco]]="Baixo"),"Não","Sim")</f>
        <v>Não</v>
      </c>
    </row>
    <row r="162" spans="1:20" hidden="1">
      <c r="A162" s="4" t="s">
        <v>2</v>
      </c>
      <c r="B162" s="10" t="s">
        <v>1805</v>
      </c>
      <c r="C162" s="4" t="s">
        <v>41</v>
      </c>
      <c r="D162" s="38" t="s">
        <v>1393</v>
      </c>
      <c r="E162" s="3">
        <v>12</v>
      </c>
      <c r="F162" s="3">
        <v>12</v>
      </c>
      <c r="G162" s="3">
        <v>2023</v>
      </c>
      <c r="H162" s="34" t="s">
        <v>59</v>
      </c>
      <c r="I162" s="7" t="s">
        <v>674</v>
      </c>
      <c r="J162" s="4" t="s">
        <v>61</v>
      </c>
      <c r="K162" s="3">
        <v>1</v>
      </c>
      <c r="L162" s="3">
        <v>0</v>
      </c>
      <c r="M162" s="4" t="s">
        <v>30</v>
      </c>
      <c r="N162" s="4">
        <v>0</v>
      </c>
      <c r="O162" s="4" t="s">
        <v>4</v>
      </c>
      <c r="P162" s="3" t="s">
        <v>52</v>
      </c>
      <c r="Q162" s="11">
        <v>14</v>
      </c>
      <c r="R162" s="3" t="str">
        <f>IF(Q162="","",IF(Q162&lt;4,"Crítico",IF(Q162&lt;9,"Alto",IF(Q162&lt;14,"Médio","Baixo"))))</f>
        <v>Baixo</v>
      </c>
      <c r="S162" s="10" t="s">
        <v>32</v>
      </c>
      <c r="T162" s="4" t="str">
        <f>IF(OR(Tabela1[[#This Row],[Grau de Risco]]="Médio",Tabela1[[#This Row],[Grau de Risco]]="Baixo"),"Não","Sim")</f>
        <v>Não</v>
      </c>
    </row>
    <row r="163" spans="1:20" hidden="1">
      <c r="A163" s="4" t="s">
        <v>8</v>
      </c>
      <c r="B163" s="10" t="s">
        <v>1797</v>
      </c>
      <c r="C163" s="4" t="s">
        <v>81</v>
      </c>
      <c r="D163" s="58" t="s">
        <v>1409</v>
      </c>
      <c r="E163" s="3">
        <v>17</v>
      </c>
      <c r="F163" s="3">
        <v>7</v>
      </c>
      <c r="G163" s="3">
        <v>2024</v>
      </c>
      <c r="H163" s="5" t="s">
        <v>123</v>
      </c>
      <c r="I163" s="7" t="s">
        <v>728</v>
      </c>
      <c r="J163" s="4" t="s">
        <v>93</v>
      </c>
      <c r="K163" s="3"/>
      <c r="L163" s="3"/>
      <c r="M163" s="4"/>
      <c r="N163" s="4"/>
      <c r="O163" s="4" t="s">
        <v>88</v>
      </c>
      <c r="P163" s="3" t="s">
        <v>52</v>
      </c>
      <c r="Q163" s="11">
        <v>11</v>
      </c>
      <c r="R163" s="3" t="s">
        <v>31</v>
      </c>
      <c r="S163" s="5" t="s">
        <v>56</v>
      </c>
      <c r="T163" s="4" t="str">
        <f>IF(OR(Tabela1[[#This Row],[Grau de Risco]]="Médio",Tabela1[[#This Row],[Grau de Risco]]="Baixo"),"Não","Sim")</f>
        <v>Não</v>
      </c>
    </row>
    <row r="164" spans="1:20">
      <c r="A164" s="4" t="s">
        <v>2</v>
      </c>
      <c r="B164" s="10" t="s">
        <v>1809</v>
      </c>
      <c r="C164" s="4" t="s">
        <v>81</v>
      </c>
      <c r="D164" s="38" t="s">
        <v>1320</v>
      </c>
      <c r="E164" s="3">
        <v>29</v>
      </c>
      <c r="F164" s="3">
        <v>1</v>
      </c>
      <c r="G164" s="3">
        <v>2024</v>
      </c>
      <c r="H164" s="5" t="s">
        <v>71</v>
      </c>
      <c r="I164" s="7" t="s">
        <v>895</v>
      </c>
      <c r="J164" s="4" t="s">
        <v>69</v>
      </c>
      <c r="K164" s="3">
        <v>1</v>
      </c>
      <c r="L164" s="3">
        <v>0</v>
      </c>
      <c r="M164" s="4" t="s">
        <v>30</v>
      </c>
      <c r="N164" s="4"/>
      <c r="O164" s="4" t="s">
        <v>51</v>
      </c>
      <c r="P164" s="3" t="s">
        <v>31</v>
      </c>
      <c r="Q164" s="11">
        <v>10</v>
      </c>
      <c r="R164" s="3" t="s">
        <v>31</v>
      </c>
      <c r="S164" s="10" t="s">
        <v>32</v>
      </c>
      <c r="T164" s="4" t="str">
        <f>IF(OR(Tabela1[[#This Row],[Grau de Risco]]="Médio",Tabela1[[#This Row],[Grau de Risco]]="Baixo"),"Não","Sim")</f>
        <v>Não</v>
      </c>
    </row>
    <row r="165" spans="1:20" hidden="1">
      <c r="A165" s="4" t="s">
        <v>2</v>
      </c>
      <c r="B165" s="10" t="s">
        <v>1805</v>
      </c>
      <c r="C165" s="4" t="s">
        <v>81</v>
      </c>
      <c r="D165" s="58" t="s">
        <v>1409</v>
      </c>
      <c r="E165" s="3">
        <v>15</v>
      </c>
      <c r="F165" s="3">
        <v>2</v>
      </c>
      <c r="G165" s="3">
        <v>2024</v>
      </c>
      <c r="H165" s="36" t="s">
        <v>33</v>
      </c>
      <c r="I165" s="7" t="s">
        <v>921</v>
      </c>
      <c r="J165" s="4" t="s">
        <v>150</v>
      </c>
      <c r="K165" s="3">
        <v>2</v>
      </c>
      <c r="L165" s="3">
        <v>0</v>
      </c>
      <c r="M165" s="4" t="s">
        <v>30</v>
      </c>
      <c r="N165" s="4">
        <v>0</v>
      </c>
      <c r="O165" s="4" t="s">
        <v>51</v>
      </c>
      <c r="P165" s="3" t="s">
        <v>31</v>
      </c>
      <c r="Q165" s="11">
        <v>11</v>
      </c>
      <c r="R165" s="3" t="s">
        <v>31</v>
      </c>
      <c r="S165" s="5" t="s">
        <v>56</v>
      </c>
      <c r="T165" s="4" t="str">
        <f>IF(OR(Tabela1[[#This Row],[Grau de Risco]]="Médio",Tabela1[[#This Row],[Grau de Risco]]="Baixo"),"Não","Sim")</f>
        <v>Não</v>
      </c>
    </row>
    <row r="166" spans="1:20" hidden="1">
      <c r="A166" s="4" t="s">
        <v>8</v>
      </c>
      <c r="B166" s="10" t="s">
        <v>1800</v>
      </c>
      <c r="C166" s="4" t="s">
        <v>81</v>
      </c>
      <c r="D166" s="38" t="s">
        <v>1320</v>
      </c>
      <c r="E166" s="3">
        <v>5</v>
      </c>
      <c r="F166" s="3">
        <v>2</v>
      </c>
      <c r="G166" s="3">
        <v>2024</v>
      </c>
      <c r="H166" s="5" t="s">
        <v>71</v>
      </c>
      <c r="I166" s="7" t="s">
        <v>988</v>
      </c>
      <c r="J166" s="4" t="s">
        <v>54</v>
      </c>
      <c r="K166" s="3">
        <v>0</v>
      </c>
      <c r="L166" s="3" t="s">
        <v>44</v>
      </c>
      <c r="M166" s="4" t="s">
        <v>30</v>
      </c>
      <c r="N166" s="4" t="s">
        <v>44</v>
      </c>
      <c r="O166" s="4" t="s">
        <v>4</v>
      </c>
      <c r="P166" s="3" t="s">
        <v>52</v>
      </c>
      <c r="Q166" s="11">
        <v>15</v>
      </c>
      <c r="R166" s="3" t="s">
        <v>52</v>
      </c>
      <c r="S166" s="5" t="s">
        <v>56</v>
      </c>
      <c r="T166" s="4" t="str">
        <f>IF(OR(Tabela1[[#This Row],[Grau de Risco]]="Médio",Tabela1[[#This Row],[Grau de Risco]]="Baixo"),"Não","Sim")</f>
        <v>Não</v>
      </c>
    </row>
    <row r="167" spans="1:20" hidden="1">
      <c r="A167" s="4" t="s">
        <v>2</v>
      </c>
      <c r="B167" s="10" t="s">
        <v>1800</v>
      </c>
      <c r="C167" s="4" t="s">
        <v>41</v>
      </c>
      <c r="D167" s="58" t="s">
        <v>1409</v>
      </c>
      <c r="E167" s="3">
        <v>25</v>
      </c>
      <c r="F167" s="3">
        <v>3</v>
      </c>
      <c r="G167" s="3">
        <v>2024</v>
      </c>
      <c r="H167" s="5" t="s">
        <v>209</v>
      </c>
      <c r="I167" s="7" t="s">
        <v>993</v>
      </c>
      <c r="J167" s="4" t="s">
        <v>54</v>
      </c>
      <c r="K167" s="3">
        <v>6</v>
      </c>
      <c r="L167" s="3" t="s">
        <v>30</v>
      </c>
      <c r="M167" s="4" t="s">
        <v>30</v>
      </c>
      <c r="N167" s="4" t="s">
        <v>44</v>
      </c>
      <c r="O167" s="4" t="s">
        <v>99</v>
      </c>
      <c r="P167" s="3" t="s">
        <v>31</v>
      </c>
      <c r="Q167" s="11">
        <v>11</v>
      </c>
      <c r="R167" s="3" t="s">
        <v>31</v>
      </c>
      <c r="S167" s="5" t="s">
        <v>56</v>
      </c>
      <c r="T167" s="4" t="str">
        <f>IF(OR(Tabela1[[#This Row],[Grau de Risco]]="Médio",Tabela1[[#This Row],[Grau de Risco]]="Baixo"),"Não","Sim")</f>
        <v>Não</v>
      </c>
    </row>
    <row r="168" spans="1:20" hidden="1">
      <c r="A168" s="4" t="s">
        <v>8</v>
      </c>
      <c r="B168" s="10" t="s">
        <v>1800</v>
      </c>
      <c r="C168" s="4" t="s">
        <v>41</v>
      </c>
      <c r="D168" s="38" t="s">
        <v>47</v>
      </c>
      <c r="E168" s="3">
        <v>18</v>
      </c>
      <c r="F168" s="3">
        <v>10</v>
      </c>
      <c r="G168" s="3">
        <v>2024</v>
      </c>
      <c r="H168" s="36" t="s">
        <v>112</v>
      </c>
      <c r="I168" s="7" t="s">
        <v>1013</v>
      </c>
      <c r="J168" s="4" t="s">
        <v>54</v>
      </c>
      <c r="K168" s="3" t="s">
        <v>80</v>
      </c>
      <c r="L168" s="3" t="s">
        <v>80</v>
      </c>
      <c r="M168" s="4" t="s">
        <v>30</v>
      </c>
      <c r="N168" s="4" t="s">
        <v>80</v>
      </c>
      <c r="O168" s="4" t="s">
        <v>88</v>
      </c>
      <c r="P168" s="3" t="s">
        <v>52</v>
      </c>
      <c r="Q168" s="11">
        <v>10</v>
      </c>
      <c r="R168" s="3" t="s">
        <v>31</v>
      </c>
      <c r="S168" s="10" t="s">
        <v>178</v>
      </c>
      <c r="T168" s="4" t="str">
        <f>IF(OR(Tabela1[[#This Row],[Grau de Risco]]="Médio",Tabela1[[#This Row],[Grau de Risco]]="Baixo"),"Não","Sim")</f>
        <v>Não</v>
      </c>
    </row>
    <row r="169" spans="1:20" hidden="1">
      <c r="A169" s="5" t="s">
        <v>7</v>
      </c>
      <c r="B169" s="33" t="s">
        <v>1800</v>
      </c>
      <c r="C169" s="28" t="s">
        <v>252</v>
      </c>
      <c r="D169" s="38" t="s">
        <v>47</v>
      </c>
      <c r="E169" s="44">
        <v>1</v>
      </c>
      <c r="F169" s="32">
        <v>11</v>
      </c>
      <c r="G169" s="32">
        <v>2024</v>
      </c>
      <c r="H169" s="36" t="s">
        <v>107</v>
      </c>
      <c r="I169" s="29" t="s">
        <v>1014</v>
      </c>
      <c r="J169" s="28" t="s">
        <v>54</v>
      </c>
      <c r="K169" s="32" t="s">
        <v>80</v>
      </c>
      <c r="L169" s="32" t="s">
        <v>80</v>
      </c>
      <c r="M169" s="28" t="s">
        <v>30</v>
      </c>
      <c r="N169" s="28" t="s">
        <v>80</v>
      </c>
      <c r="O169" s="28" t="s">
        <v>88</v>
      </c>
      <c r="P169" s="32" t="s">
        <v>52</v>
      </c>
      <c r="Q169" s="35">
        <v>11</v>
      </c>
      <c r="R169" s="3" t="s">
        <v>31</v>
      </c>
      <c r="S169" s="33" t="s">
        <v>178</v>
      </c>
      <c r="T169" s="4" t="str">
        <f>IF(OR(Tabela1[[#This Row],[Grau de Risco]]="Médio",Tabela1[[#This Row],[Grau de Risco]]="Baixo"),"Não","Sim")</f>
        <v>Não</v>
      </c>
    </row>
    <row r="170" spans="1:20" hidden="1">
      <c r="A170" s="5" t="s">
        <v>7</v>
      </c>
      <c r="B170" s="10" t="s">
        <v>1800</v>
      </c>
      <c r="C170" s="4" t="s">
        <v>81</v>
      </c>
      <c r="D170" s="38" t="s">
        <v>1382</v>
      </c>
      <c r="E170" s="3">
        <v>6</v>
      </c>
      <c r="F170" s="3">
        <v>3</v>
      </c>
      <c r="G170" s="3">
        <v>2024</v>
      </c>
      <c r="H170" s="5" t="s">
        <v>209</v>
      </c>
      <c r="I170" s="7" t="s">
        <v>1022</v>
      </c>
      <c r="J170" s="4" t="s">
        <v>54</v>
      </c>
      <c r="K170" s="3" t="s">
        <v>44</v>
      </c>
      <c r="L170" s="3" t="s">
        <v>30</v>
      </c>
      <c r="M170" s="4" t="s">
        <v>30</v>
      </c>
      <c r="N170" s="4" t="s">
        <v>44</v>
      </c>
      <c r="O170" s="4" t="s">
        <v>44</v>
      </c>
      <c r="P170" s="3"/>
      <c r="Q170" s="11">
        <v>15</v>
      </c>
      <c r="R170" s="3" t="s">
        <v>52</v>
      </c>
      <c r="S170" s="10" t="s">
        <v>32</v>
      </c>
      <c r="T170" s="4" t="str">
        <f>IF(OR(Tabela1[[#This Row],[Grau de Risco]]="Médio",Tabela1[[#This Row],[Grau de Risco]]="Baixo"),"Não","Sim")</f>
        <v>Não</v>
      </c>
    </row>
    <row r="171" spans="1:20">
      <c r="A171" s="5" t="s">
        <v>7</v>
      </c>
      <c r="B171" s="10" t="s">
        <v>1809</v>
      </c>
      <c r="C171" s="28" t="s">
        <v>41</v>
      </c>
      <c r="D171" s="38" t="s">
        <v>47</v>
      </c>
      <c r="E171" s="32">
        <v>29</v>
      </c>
      <c r="F171" s="32">
        <v>11</v>
      </c>
      <c r="G171" s="32">
        <v>2024</v>
      </c>
      <c r="H171" s="36" t="s">
        <v>107</v>
      </c>
      <c r="I171" s="29" t="s">
        <v>1101</v>
      </c>
      <c r="J171" s="28" t="s">
        <v>38</v>
      </c>
      <c r="K171" s="32" t="s">
        <v>44</v>
      </c>
      <c r="L171" s="32" t="s">
        <v>44</v>
      </c>
      <c r="M171" s="28" t="s">
        <v>44</v>
      </c>
      <c r="N171" s="28" t="s">
        <v>44</v>
      </c>
      <c r="O171" s="28" t="s">
        <v>44</v>
      </c>
      <c r="P171" s="32" t="s">
        <v>31</v>
      </c>
      <c r="Q171" s="35">
        <v>10</v>
      </c>
      <c r="R171" s="3" t="s">
        <v>31</v>
      </c>
      <c r="S171" s="33" t="s">
        <v>63</v>
      </c>
      <c r="T171" s="4" t="str">
        <f>IF(OR(Tabela1[[#This Row],[Grau de Risco]]="Médio",Tabela1[[#This Row],[Grau de Risco]]="Baixo"),"Não","Sim")</f>
        <v>Não</v>
      </c>
    </row>
    <row r="172" spans="1:20">
      <c r="A172" s="4" t="s">
        <v>8</v>
      </c>
      <c r="B172" s="10" t="s">
        <v>1809</v>
      </c>
      <c r="C172" s="4" t="s">
        <v>41</v>
      </c>
      <c r="D172" s="38" t="s">
        <v>1393</v>
      </c>
      <c r="E172" s="3">
        <v>21</v>
      </c>
      <c r="F172" s="3">
        <v>1</v>
      </c>
      <c r="G172" s="3">
        <v>2025</v>
      </c>
      <c r="H172" s="5" t="s">
        <v>123</v>
      </c>
      <c r="I172" s="7" t="s">
        <v>1124</v>
      </c>
      <c r="J172" s="4" t="s">
        <v>575</v>
      </c>
      <c r="K172" s="3">
        <v>0</v>
      </c>
      <c r="L172" s="3">
        <v>0</v>
      </c>
      <c r="M172" s="4" t="s">
        <v>30</v>
      </c>
      <c r="N172" s="4">
        <v>0</v>
      </c>
      <c r="O172" s="4" t="s">
        <v>70</v>
      </c>
      <c r="P172" s="3" t="s">
        <v>52</v>
      </c>
      <c r="Q172" s="11">
        <v>15</v>
      </c>
      <c r="R172" s="3" t="s">
        <v>52</v>
      </c>
      <c r="S172" s="5" t="s">
        <v>56</v>
      </c>
      <c r="T172" s="4" t="str">
        <f>IF(OR(Tabela1[[#This Row],[Grau de Risco]]="Médio",Tabela1[[#This Row],[Grau de Risco]]="Baixo"),"Não","Sim")</f>
        <v>Não</v>
      </c>
    </row>
    <row r="173" spans="1:20" hidden="1">
      <c r="A173" s="4" t="s">
        <v>8</v>
      </c>
      <c r="B173" s="10" t="s">
        <v>1797</v>
      </c>
      <c r="C173" s="4" t="s">
        <v>252</v>
      </c>
      <c r="D173" s="38" t="s">
        <v>1393</v>
      </c>
      <c r="E173" s="3">
        <v>21</v>
      </c>
      <c r="F173" s="3">
        <v>1</v>
      </c>
      <c r="G173" s="3">
        <v>2025</v>
      </c>
      <c r="H173" s="34" t="s">
        <v>59</v>
      </c>
      <c r="I173" s="7" t="s">
        <v>1125</v>
      </c>
      <c r="J173" s="4" t="s">
        <v>575</v>
      </c>
      <c r="K173" s="3">
        <v>0</v>
      </c>
      <c r="L173" s="3">
        <v>0</v>
      </c>
      <c r="M173" s="4" t="s">
        <v>30</v>
      </c>
      <c r="N173" s="4">
        <v>0</v>
      </c>
      <c r="O173" s="4" t="s">
        <v>70</v>
      </c>
      <c r="P173" s="3" t="s">
        <v>52</v>
      </c>
      <c r="Q173" s="11">
        <v>13</v>
      </c>
      <c r="R173" s="3" t="s">
        <v>31</v>
      </c>
      <c r="S173" s="5" t="s">
        <v>56</v>
      </c>
      <c r="T173" s="4" t="str">
        <f>IF(OR(Tabela1[[#This Row],[Grau de Risco]]="Médio",Tabela1[[#This Row],[Grau de Risco]]="Baixo"),"Não","Sim")</f>
        <v>Não</v>
      </c>
    </row>
    <row r="174" spans="1:20" hidden="1">
      <c r="A174" s="4" t="s">
        <v>7</v>
      </c>
      <c r="B174" s="10" t="s">
        <v>1805</v>
      </c>
      <c r="C174" s="4" t="s">
        <v>81</v>
      </c>
      <c r="D174" s="38" t="s">
        <v>1320</v>
      </c>
      <c r="E174" s="3">
        <v>24</v>
      </c>
      <c r="F174" s="3">
        <v>2</v>
      </c>
      <c r="G174" s="3">
        <v>2025</v>
      </c>
      <c r="H174" s="36" t="s">
        <v>112</v>
      </c>
      <c r="I174" s="7" t="s">
        <v>1177</v>
      </c>
      <c r="J174" s="4" t="s">
        <v>93</v>
      </c>
      <c r="K174" s="3">
        <v>0</v>
      </c>
      <c r="L174" s="3">
        <v>0</v>
      </c>
      <c r="M174" s="4"/>
      <c r="N174" s="4"/>
      <c r="O174" s="4" t="s">
        <v>101</v>
      </c>
      <c r="P174" s="3"/>
      <c r="Q174" s="11">
        <v>10</v>
      </c>
      <c r="R174" s="3" t="s">
        <v>31</v>
      </c>
      <c r="S174" s="10" t="s">
        <v>63</v>
      </c>
      <c r="T174" s="4" t="str">
        <f>IF(OR(Tabela1[[#This Row],[Grau de Risco]]="Médio",Tabela1[[#This Row],[Grau de Risco]]="Baixo"),"Não","Sim")</f>
        <v>Não</v>
      </c>
    </row>
    <row r="175" spans="1:20" hidden="1">
      <c r="A175" s="28" t="s">
        <v>8</v>
      </c>
      <c r="B175" s="33" t="s">
        <v>1800</v>
      </c>
      <c r="C175" s="4" t="s">
        <v>41</v>
      </c>
      <c r="D175" s="38" t="s">
        <v>1409</v>
      </c>
      <c r="E175" s="32">
        <v>27</v>
      </c>
      <c r="F175" s="32">
        <v>2</v>
      </c>
      <c r="G175" s="32">
        <v>2025</v>
      </c>
      <c r="H175" s="38" t="s">
        <v>1132</v>
      </c>
      <c r="I175" s="29" t="s">
        <v>1587</v>
      </c>
      <c r="J175" s="28" t="s">
        <v>76</v>
      </c>
      <c r="K175" s="32" t="s">
        <v>80</v>
      </c>
      <c r="L175" s="32" t="s">
        <v>80</v>
      </c>
      <c r="M175" s="28" t="s">
        <v>30</v>
      </c>
      <c r="N175" s="28" t="s">
        <v>80</v>
      </c>
      <c r="O175" s="28"/>
      <c r="P175" s="32" t="s">
        <v>52</v>
      </c>
      <c r="Q175" s="35">
        <v>14</v>
      </c>
      <c r="R175" s="32" t="s">
        <v>52</v>
      </c>
      <c r="S175" s="33" t="s">
        <v>56</v>
      </c>
      <c r="T175" s="4" t="str">
        <f>IF(OR(Tabela1[[#This Row],[Grau de Risco]]="Médio",Tabela1[[#This Row],[Grau de Risco]]="Baixo"),"Não","Sim")</f>
        <v>Não</v>
      </c>
    </row>
    <row r="176" spans="1:20" hidden="1">
      <c r="A176" s="4" t="s">
        <v>2</v>
      </c>
      <c r="B176" s="10" t="s">
        <v>1805</v>
      </c>
      <c r="C176" s="4" t="s">
        <v>81</v>
      </c>
      <c r="D176" s="58" t="s">
        <v>1409</v>
      </c>
      <c r="E176" s="3">
        <v>3</v>
      </c>
      <c r="F176" s="3">
        <v>4</v>
      </c>
      <c r="G176" s="3">
        <v>2025</v>
      </c>
      <c r="H176" s="4" t="s">
        <v>27</v>
      </c>
      <c r="I176" s="7" t="s">
        <v>1218</v>
      </c>
      <c r="J176" s="4" t="s">
        <v>69</v>
      </c>
      <c r="K176" s="3">
        <v>7</v>
      </c>
      <c r="L176" s="3">
        <v>0</v>
      </c>
      <c r="M176" s="4" t="s">
        <v>30</v>
      </c>
      <c r="N176" s="4"/>
      <c r="O176" s="4" t="s">
        <v>70</v>
      </c>
      <c r="P176" s="3" t="s">
        <v>52</v>
      </c>
      <c r="Q176" s="11">
        <v>11</v>
      </c>
      <c r="R176" s="3" t="s">
        <v>31</v>
      </c>
      <c r="S176" s="5" t="s">
        <v>56</v>
      </c>
      <c r="T176" s="4" t="str">
        <f>IF(OR(Tabela1[[#This Row],[Grau de Risco]]="Médio",Tabela1[[#This Row],[Grau de Risco]]="Baixo"),"Não","Sim")</f>
        <v>Não</v>
      </c>
    </row>
    <row r="177" spans="1:20">
      <c r="A177" s="28" t="s">
        <v>9</v>
      </c>
      <c r="B177" s="10" t="s">
        <v>1809</v>
      </c>
      <c r="C177" s="28" t="s">
        <v>41</v>
      </c>
      <c r="D177" s="38" t="s">
        <v>47</v>
      </c>
      <c r="E177" s="32">
        <v>2</v>
      </c>
      <c r="F177" s="32">
        <v>5</v>
      </c>
      <c r="G177" s="32">
        <v>2025</v>
      </c>
      <c r="H177" s="5" t="s">
        <v>123</v>
      </c>
      <c r="I177" s="29" t="s">
        <v>1244</v>
      </c>
      <c r="J177" s="28" t="s">
        <v>111</v>
      </c>
      <c r="K177" s="32">
        <v>10</v>
      </c>
      <c r="L177" s="32"/>
      <c r="M177" s="28"/>
      <c r="N177" s="28"/>
      <c r="O177" s="28" t="s">
        <v>74</v>
      </c>
      <c r="P177" s="32" t="s">
        <v>31</v>
      </c>
      <c r="Q177" s="11">
        <v>11</v>
      </c>
      <c r="R177" s="3" t="s">
        <v>31</v>
      </c>
      <c r="S177" s="10" t="s">
        <v>63</v>
      </c>
      <c r="T177" s="4" t="str">
        <f>IF(OR(Tabela1[[#This Row],[Grau de Risco]]="Médio",Tabela1[[#This Row],[Grau de Risco]]="Baixo"),"Não","Sim")</f>
        <v>Não</v>
      </c>
    </row>
    <row r="178" spans="1:20">
      <c r="A178" s="28" t="s">
        <v>2</v>
      </c>
      <c r="B178" s="10" t="s">
        <v>1809</v>
      </c>
      <c r="C178" s="28" t="s">
        <v>41</v>
      </c>
      <c r="D178" s="38" t="s">
        <v>1393</v>
      </c>
      <c r="E178" s="32">
        <v>13</v>
      </c>
      <c r="F178" s="32">
        <v>5</v>
      </c>
      <c r="G178" s="32">
        <v>2025</v>
      </c>
      <c r="H178" s="4" t="s">
        <v>27</v>
      </c>
      <c r="I178" s="29" t="s">
        <v>1257</v>
      </c>
      <c r="J178" s="28" t="s">
        <v>111</v>
      </c>
      <c r="K178" s="32">
        <v>10</v>
      </c>
      <c r="L178" s="32"/>
      <c r="M178" s="28"/>
      <c r="N178" s="28"/>
      <c r="O178" s="28" t="s">
        <v>45</v>
      </c>
      <c r="P178" s="32" t="s">
        <v>52</v>
      </c>
      <c r="Q178" s="35">
        <v>14</v>
      </c>
      <c r="R178" s="32" t="s">
        <v>52</v>
      </c>
      <c r="S178" s="10" t="s">
        <v>63</v>
      </c>
      <c r="T178" s="4" t="str">
        <f>IF(OR(Tabela1[[#This Row],[Grau de Risco]]="Médio",Tabela1[[#This Row],[Grau de Risco]]="Baixo"),"Não","Sim")</f>
        <v>Não</v>
      </c>
    </row>
    <row r="179" spans="1:20" hidden="1">
      <c r="A179" s="28" t="s">
        <v>8</v>
      </c>
      <c r="B179" s="33" t="s">
        <v>1797</v>
      </c>
      <c r="C179" s="28" t="s">
        <v>81</v>
      </c>
      <c r="D179" s="38" t="s">
        <v>1382</v>
      </c>
      <c r="E179" s="32">
        <v>11</v>
      </c>
      <c r="F179" s="32">
        <v>6</v>
      </c>
      <c r="G179" s="32">
        <v>2025</v>
      </c>
      <c r="H179" s="36" t="s">
        <v>33</v>
      </c>
      <c r="I179" s="29" t="s">
        <v>1294</v>
      </c>
      <c r="J179" s="28" t="s">
        <v>84</v>
      </c>
      <c r="K179" s="32"/>
      <c r="L179" s="32" t="s">
        <v>44</v>
      </c>
      <c r="M179" s="28" t="s">
        <v>30</v>
      </c>
      <c r="N179" s="28" t="s">
        <v>44</v>
      </c>
      <c r="O179" s="28" t="s">
        <v>1295</v>
      </c>
      <c r="P179" s="32" t="s">
        <v>52</v>
      </c>
      <c r="Q179" s="35">
        <v>11</v>
      </c>
      <c r="R179" s="32" t="s">
        <v>31</v>
      </c>
      <c r="S179" s="57" t="s">
        <v>1261</v>
      </c>
      <c r="T179" s="4" t="str">
        <f>IF(OR(Tabela1[[#This Row],[Grau de Risco]]="Médio",Tabela1[[#This Row],[Grau de Risco]]="Baixo"),"Não","Sim")</f>
        <v>Não</v>
      </c>
    </row>
    <row r="180" spans="1:20">
      <c r="A180" s="4" t="s">
        <v>9</v>
      </c>
      <c r="B180" s="10" t="s">
        <v>1809</v>
      </c>
      <c r="C180" s="4" t="s">
        <v>252</v>
      </c>
      <c r="D180" s="38" t="s">
        <v>47</v>
      </c>
      <c r="E180" s="3">
        <v>20</v>
      </c>
      <c r="F180" s="3">
        <v>6</v>
      </c>
      <c r="G180" s="3">
        <v>2025</v>
      </c>
      <c r="H180" s="36" t="s">
        <v>112</v>
      </c>
      <c r="I180" s="7" t="s">
        <v>1313</v>
      </c>
      <c r="J180" s="4" t="s">
        <v>154</v>
      </c>
      <c r="K180" s="3">
        <v>5</v>
      </c>
      <c r="L180" s="3">
        <v>0</v>
      </c>
      <c r="M180" s="4" t="s">
        <v>30</v>
      </c>
      <c r="N180" s="4"/>
      <c r="O180" s="4" t="s">
        <v>312</v>
      </c>
      <c r="P180" s="3" t="s">
        <v>52</v>
      </c>
      <c r="Q180" s="11">
        <v>4</v>
      </c>
      <c r="R180" s="3" t="s">
        <v>102</v>
      </c>
      <c r="S180" s="10" t="s">
        <v>63</v>
      </c>
      <c r="T180" s="4" t="str">
        <f>IF(OR(Tabela1[[#This Row],[Grau de Risco]]="Médio",Tabela1[[#This Row],[Grau de Risco]]="Baixo"),"Não","Sim")</f>
        <v>Sim</v>
      </c>
    </row>
    <row r="181" spans="1:20" hidden="1">
      <c r="A181" s="28" t="s">
        <v>7</v>
      </c>
      <c r="B181" s="33" t="s">
        <v>1797</v>
      </c>
      <c r="C181" s="28" t="s">
        <v>252</v>
      </c>
      <c r="D181" s="28" t="s">
        <v>148</v>
      </c>
      <c r="E181" s="32">
        <v>3</v>
      </c>
      <c r="F181" s="32">
        <v>8</v>
      </c>
      <c r="G181" s="32">
        <v>2025</v>
      </c>
      <c r="H181" s="34" t="s">
        <v>112</v>
      </c>
      <c r="I181" s="29" t="s">
        <v>1376</v>
      </c>
      <c r="J181" s="28" t="s">
        <v>135</v>
      </c>
      <c r="K181" s="32"/>
      <c r="L181" s="32"/>
      <c r="M181" s="28"/>
      <c r="N181" s="28"/>
      <c r="O181" s="28" t="s">
        <v>77</v>
      </c>
      <c r="P181" s="32"/>
      <c r="Q181" s="35">
        <v>13</v>
      </c>
      <c r="R181" s="32" t="s">
        <v>31</v>
      </c>
      <c r="S181" s="33" t="s">
        <v>63</v>
      </c>
      <c r="T181" s="4" t="str">
        <f>IF(OR(Tabela1[[#This Row],[Grau de Risco]]="Médio",Tabela1[[#This Row],[Grau de Risco]]="Baixo"),"Não","Sim")</f>
        <v>Não</v>
      </c>
    </row>
    <row r="182" spans="1:20" hidden="1">
      <c r="A182" s="28" t="s">
        <v>2</v>
      </c>
      <c r="B182" s="33" t="s">
        <v>1797</v>
      </c>
      <c r="C182" s="28" t="s">
        <v>81</v>
      </c>
      <c r="D182" s="28" t="s">
        <v>1320</v>
      </c>
      <c r="E182" s="32">
        <v>8</v>
      </c>
      <c r="F182" s="32">
        <v>9</v>
      </c>
      <c r="G182" s="32">
        <v>2025</v>
      </c>
      <c r="H182" s="34" t="s">
        <v>59</v>
      </c>
      <c r="I182" s="29" t="s">
        <v>1431</v>
      </c>
      <c r="J182" s="28" t="s">
        <v>111</v>
      </c>
      <c r="K182" s="32">
        <v>3</v>
      </c>
      <c r="L182" s="32"/>
      <c r="M182" s="28"/>
      <c r="N182" s="28"/>
      <c r="O182" s="28" t="s">
        <v>55</v>
      </c>
      <c r="P182" s="32" t="s">
        <v>31</v>
      </c>
      <c r="Q182" s="35">
        <v>10</v>
      </c>
      <c r="R182" s="32" t="s">
        <v>31</v>
      </c>
      <c r="S182" s="10" t="s">
        <v>56</v>
      </c>
      <c r="T182" s="4" t="str">
        <f>IF(OR(Tabela1[[#This Row],[Grau de Risco]]="Médio",Tabela1[[#This Row],[Grau de Risco]]="Baixo"),"Não","Sim")</f>
        <v>Não</v>
      </c>
    </row>
    <row r="183" spans="1:20" hidden="1">
      <c r="A183" s="28" t="s">
        <v>2</v>
      </c>
      <c r="B183" s="33" t="s">
        <v>1797</v>
      </c>
      <c r="C183" s="28" t="s">
        <v>81</v>
      </c>
      <c r="D183" s="28" t="s">
        <v>1320</v>
      </c>
      <c r="E183" s="32">
        <v>22</v>
      </c>
      <c r="F183" s="32">
        <v>10</v>
      </c>
      <c r="G183" s="32">
        <v>2025</v>
      </c>
      <c r="H183" s="34" t="s">
        <v>59</v>
      </c>
      <c r="I183" s="29" t="s">
        <v>1481</v>
      </c>
      <c r="J183" s="28" t="s">
        <v>111</v>
      </c>
      <c r="K183" s="32">
        <v>2</v>
      </c>
      <c r="L183" s="32"/>
      <c r="M183" s="28"/>
      <c r="N183" s="28"/>
      <c r="O183" s="28" t="s">
        <v>4</v>
      </c>
      <c r="P183" s="3" t="s">
        <v>31</v>
      </c>
      <c r="Q183" s="35">
        <v>10</v>
      </c>
      <c r="R183" s="32" t="s">
        <v>31</v>
      </c>
      <c r="S183" s="10" t="s">
        <v>56</v>
      </c>
      <c r="T183" s="4" t="str">
        <f>IF(OR(Tabela1[[#This Row],[Grau de Risco]]="Médio",Tabela1[[#This Row],[Grau de Risco]]="Baixo"),"Não","Sim")</f>
        <v>Não</v>
      </c>
    </row>
    <row r="184" spans="1:20">
      <c r="A184" s="4" t="s">
        <v>2</v>
      </c>
      <c r="B184" s="10" t="s">
        <v>1809</v>
      </c>
      <c r="C184" s="4" t="s">
        <v>81</v>
      </c>
      <c r="D184" s="78" t="s">
        <v>1409</v>
      </c>
      <c r="E184" s="3">
        <v>13</v>
      </c>
      <c r="F184" s="3">
        <v>11</v>
      </c>
      <c r="G184" s="3">
        <v>2025</v>
      </c>
      <c r="H184" s="78" t="s">
        <v>33</v>
      </c>
      <c r="I184" s="7" t="s">
        <v>1567</v>
      </c>
      <c r="J184" s="4" t="s">
        <v>38</v>
      </c>
      <c r="K184" s="3">
        <v>3</v>
      </c>
      <c r="L184" s="3" t="s">
        <v>44</v>
      </c>
      <c r="M184" s="4" t="s">
        <v>30</v>
      </c>
      <c r="N184" s="4" t="s">
        <v>44</v>
      </c>
      <c r="O184" s="4" t="s">
        <v>1568</v>
      </c>
      <c r="P184" s="3" t="s">
        <v>31</v>
      </c>
      <c r="Q184" s="11">
        <v>11</v>
      </c>
      <c r="R184" s="3" t="s">
        <v>31</v>
      </c>
      <c r="S184" s="10" t="s">
        <v>178</v>
      </c>
      <c r="T184" s="4" t="str">
        <f>IF(OR(Tabela1[[#This Row],[Grau de Risco]]="Médio",Tabela1[[#This Row],[Grau de Risco]]="Baixo"),"Não","Sim")</f>
        <v>Não</v>
      </c>
    </row>
    <row r="185" spans="1:20">
      <c r="A185" s="4" t="s">
        <v>2</v>
      </c>
      <c r="B185" s="10" t="s">
        <v>1809</v>
      </c>
      <c r="C185" s="4" t="s">
        <v>46</v>
      </c>
      <c r="D185" s="38" t="s">
        <v>1320</v>
      </c>
      <c r="E185" s="3">
        <v>17</v>
      </c>
      <c r="F185" s="3">
        <v>8</v>
      </c>
      <c r="G185" s="3">
        <v>2020</v>
      </c>
      <c r="H185" s="5" t="s">
        <v>123</v>
      </c>
      <c r="I185" s="7" t="s">
        <v>132</v>
      </c>
      <c r="J185" s="4" t="s">
        <v>61</v>
      </c>
      <c r="K185" s="3">
        <v>1</v>
      </c>
      <c r="L185" s="3">
        <v>0</v>
      </c>
      <c r="M185" s="4" t="s">
        <v>30</v>
      </c>
      <c r="N185" s="4"/>
      <c r="O185" s="4" t="s">
        <v>77</v>
      </c>
      <c r="P185" s="3" t="s">
        <v>31</v>
      </c>
      <c r="Q185" s="11">
        <v>4</v>
      </c>
      <c r="R185" s="3" t="str">
        <f>IF(Q185="","",IF(Q185&lt;4,"Crítico",IF(Q185&lt;9,"Alto",IF(Q185&lt;14,"Médio","Baixo"))))</f>
        <v>Alto</v>
      </c>
      <c r="S185" s="10" t="s">
        <v>63</v>
      </c>
      <c r="T185" s="4" t="str">
        <f>IF(OR(Tabela1[[#This Row],[Grau de Risco]]="Médio",Tabela1[[#This Row],[Grau de Risco]]="Baixo"),"Não","Sim")</f>
        <v>Sim</v>
      </c>
    </row>
    <row r="186" spans="1:20" hidden="1">
      <c r="A186" s="5" t="s">
        <v>2</v>
      </c>
      <c r="B186" s="6" t="s">
        <v>1800</v>
      </c>
      <c r="C186" s="5" t="s">
        <v>81</v>
      </c>
      <c r="D186" s="58" t="s">
        <v>1409</v>
      </c>
      <c r="E186" s="2">
        <v>18</v>
      </c>
      <c r="F186" s="2">
        <v>2</v>
      </c>
      <c r="G186" s="2">
        <v>2021</v>
      </c>
      <c r="H186" s="5" t="s">
        <v>71</v>
      </c>
      <c r="I186" s="5" t="s">
        <v>147</v>
      </c>
      <c r="J186" s="5" t="s">
        <v>84</v>
      </c>
      <c r="K186" s="2">
        <v>30</v>
      </c>
      <c r="L186" s="2">
        <v>0</v>
      </c>
      <c r="M186" s="5" t="s">
        <v>30</v>
      </c>
      <c r="N186" s="5">
        <v>0</v>
      </c>
      <c r="O186" s="5" t="s">
        <v>101</v>
      </c>
      <c r="P186" s="2" t="s">
        <v>31</v>
      </c>
      <c r="Q186" s="2">
        <v>13</v>
      </c>
      <c r="R186" s="2" t="s">
        <v>31</v>
      </c>
      <c r="S186" s="5" t="s">
        <v>63</v>
      </c>
      <c r="T186" s="4" t="str">
        <f>IF(OR(Tabela1[[#This Row],[Grau de Risco]]="Médio",Tabela1[[#This Row],[Grau de Risco]]="Baixo"),"Não","Sim")</f>
        <v>Não</v>
      </c>
    </row>
    <row r="187" spans="1:20" hidden="1">
      <c r="A187" s="4" t="s">
        <v>2</v>
      </c>
      <c r="B187" s="10" t="s">
        <v>1805</v>
      </c>
      <c r="C187" s="4" t="s">
        <v>81</v>
      </c>
      <c r="D187" s="38" t="s">
        <v>47</v>
      </c>
      <c r="E187" s="3">
        <v>10</v>
      </c>
      <c r="F187" s="3">
        <v>3</v>
      </c>
      <c r="G187" s="3">
        <v>2023</v>
      </c>
      <c r="H187" s="4" t="s">
        <v>27</v>
      </c>
      <c r="I187" s="7" t="s">
        <v>445</v>
      </c>
      <c r="J187" s="4" t="s">
        <v>54</v>
      </c>
      <c r="K187" s="3">
        <v>3</v>
      </c>
      <c r="L187" s="3">
        <v>0</v>
      </c>
      <c r="M187" s="4" t="s">
        <v>30</v>
      </c>
      <c r="N187" s="4">
        <v>0</v>
      </c>
      <c r="O187" s="4" t="s">
        <v>77</v>
      </c>
      <c r="P187" s="3" t="s">
        <v>31</v>
      </c>
      <c r="Q187" s="11">
        <v>11</v>
      </c>
      <c r="R187" s="2" t="s">
        <v>31</v>
      </c>
      <c r="S187" s="10" t="s">
        <v>63</v>
      </c>
      <c r="T187" s="4" t="str">
        <f>IF(OR(Tabela1[[#This Row],[Grau de Risco]]="Médio",Tabela1[[#This Row],[Grau de Risco]]="Baixo"),"Não","Sim")</f>
        <v>Não</v>
      </c>
    </row>
    <row r="188" spans="1:20" hidden="1">
      <c r="A188" s="4" t="s">
        <v>9</v>
      </c>
      <c r="B188" s="10" t="s">
        <v>1793</v>
      </c>
      <c r="C188" s="4" t="s">
        <v>252</v>
      </c>
      <c r="D188" s="38" t="s">
        <v>1393</v>
      </c>
      <c r="E188" s="3">
        <v>22</v>
      </c>
      <c r="F188" s="3">
        <v>8</v>
      </c>
      <c r="G188" s="3">
        <v>2023</v>
      </c>
      <c r="H188" s="5" t="s">
        <v>209</v>
      </c>
      <c r="I188" s="7" t="s">
        <v>479</v>
      </c>
      <c r="J188" s="4" t="s">
        <v>50</v>
      </c>
      <c r="K188" s="3">
        <v>4</v>
      </c>
      <c r="L188" s="3">
        <v>0</v>
      </c>
      <c r="M188" s="4" t="s">
        <v>30</v>
      </c>
      <c r="N188" s="4">
        <v>0</v>
      </c>
      <c r="O188" s="4" t="s">
        <v>101</v>
      </c>
      <c r="P188" s="3" t="s">
        <v>52</v>
      </c>
      <c r="Q188" s="11">
        <v>11</v>
      </c>
      <c r="R188" s="3" t="s">
        <v>31</v>
      </c>
      <c r="S188" s="10" t="s">
        <v>63</v>
      </c>
      <c r="T188" s="4" t="str">
        <f>IF(OR(Tabela1[[#This Row],[Grau de Risco]]="Médio",Tabela1[[#This Row],[Grau de Risco]]="Baixo"),"Não","Sim")</f>
        <v>Não</v>
      </c>
    </row>
    <row r="189" spans="1:20" hidden="1">
      <c r="A189" s="4" t="s">
        <v>9</v>
      </c>
      <c r="B189" s="10" t="s">
        <v>1797</v>
      </c>
      <c r="C189" s="4" t="s">
        <v>41</v>
      </c>
      <c r="D189" s="38" t="s">
        <v>1393</v>
      </c>
      <c r="E189" s="3">
        <v>25</v>
      </c>
      <c r="F189" s="3">
        <v>4</v>
      </c>
      <c r="G189" s="3">
        <v>2023</v>
      </c>
      <c r="H189" s="36" t="s">
        <v>107</v>
      </c>
      <c r="I189" s="7" t="s">
        <v>552</v>
      </c>
      <c r="J189" s="4" t="s">
        <v>290</v>
      </c>
      <c r="K189" s="3">
        <v>6</v>
      </c>
      <c r="L189" s="3">
        <v>0</v>
      </c>
      <c r="M189" s="4" t="s">
        <v>30</v>
      </c>
      <c r="N189" s="4">
        <v>0</v>
      </c>
      <c r="O189" s="4" t="s">
        <v>77</v>
      </c>
      <c r="P189" s="3" t="s">
        <v>31</v>
      </c>
      <c r="Q189" s="11">
        <v>14</v>
      </c>
      <c r="R189" s="3" t="s">
        <v>52</v>
      </c>
      <c r="S189" s="10" t="s">
        <v>63</v>
      </c>
      <c r="T189" s="4" t="str">
        <f>IF(OR(Tabela1[[#This Row],[Grau de Risco]]="Médio",Tabela1[[#This Row],[Grau de Risco]]="Baixo"),"Não","Sim")</f>
        <v>Não</v>
      </c>
    </row>
    <row r="190" spans="1:20" hidden="1">
      <c r="A190" s="4" t="s">
        <v>9</v>
      </c>
      <c r="B190" s="10" t="s">
        <v>1797</v>
      </c>
      <c r="C190" s="4" t="s">
        <v>41</v>
      </c>
      <c r="D190" s="38" t="s">
        <v>1393</v>
      </c>
      <c r="E190" s="3">
        <v>25</v>
      </c>
      <c r="F190" s="3">
        <v>4</v>
      </c>
      <c r="G190" s="3">
        <v>2023</v>
      </c>
      <c r="H190" s="36" t="s">
        <v>107</v>
      </c>
      <c r="I190" s="7" t="s">
        <v>552</v>
      </c>
      <c r="J190" s="4" t="s">
        <v>290</v>
      </c>
      <c r="K190" s="3">
        <v>4</v>
      </c>
      <c r="L190" s="3">
        <v>0</v>
      </c>
      <c r="M190" s="4" t="s">
        <v>30</v>
      </c>
      <c r="N190" s="4">
        <v>0</v>
      </c>
      <c r="O190" s="4" t="s">
        <v>77</v>
      </c>
      <c r="P190" s="3" t="s">
        <v>31</v>
      </c>
      <c r="Q190" s="11">
        <v>14</v>
      </c>
      <c r="R190" s="3" t="s">
        <v>52</v>
      </c>
      <c r="S190" s="10" t="s">
        <v>63</v>
      </c>
      <c r="T190" s="4" t="str">
        <f>IF(OR(Tabela1[[#This Row],[Grau de Risco]]="Médio",Tabela1[[#This Row],[Grau de Risco]]="Baixo"),"Não","Sim")</f>
        <v>Não</v>
      </c>
    </row>
    <row r="191" spans="1:20" hidden="1">
      <c r="A191" s="5" t="s">
        <v>7</v>
      </c>
      <c r="B191" s="10" t="s">
        <v>1800</v>
      </c>
      <c r="C191" s="4" t="s">
        <v>81</v>
      </c>
      <c r="D191" s="58" t="s">
        <v>1409</v>
      </c>
      <c r="E191" s="3">
        <v>26</v>
      </c>
      <c r="F191" s="3">
        <v>10</v>
      </c>
      <c r="G191" s="3">
        <v>2023</v>
      </c>
      <c r="H191" s="5" t="s">
        <v>71</v>
      </c>
      <c r="I191" s="7" t="s">
        <v>606</v>
      </c>
      <c r="J191" s="4" t="s">
        <v>54</v>
      </c>
      <c r="K191" s="3" t="s">
        <v>44</v>
      </c>
      <c r="L191" s="3"/>
      <c r="M191" s="4"/>
      <c r="N191" s="4"/>
      <c r="O191" s="4" t="s">
        <v>45</v>
      </c>
      <c r="P191" s="3" t="s">
        <v>52</v>
      </c>
      <c r="Q191" s="11">
        <v>15</v>
      </c>
      <c r="R191" s="3" t="s">
        <v>52</v>
      </c>
      <c r="S191" s="10" t="s">
        <v>63</v>
      </c>
      <c r="T191" s="4" t="str">
        <f>IF(OR(Tabela1[[#This Row],[Grau de Risco]]="Médio",Tabela1[[#This Row],[Grau de Risco]]="Baixo"),"Não","Sim")</f>
        <v>Não</v>
      </c>
    </row>
    <row r="192" spans="1:20" hidden="1">
      <c r="A192" s="4" t="s">
        <v>2</v>
      </c>
      <c r="B192" s="10" t="s">
        <v>1800</v>
      </c>
      <c r="C192" s="4" t="s">
        <v>81</v>
      </c>
      <c r="D192" s="38" t="s">
        <v>1382</v>
      </c>
      <c r="E192" s="3">
        <v>6</v>
      </c>
      <c r="F192" s="3">
        <v>12</v>
      </c>
      <c r="G192" s="3">
        <v>2023</v>
      </c>
      <c r="H192" s="36" t="s">
        <v>66</v>
      </c>
      <c r="I192" s="7" t="s">
        <v>677</v>
      </c>
      <c r="J192" s="4" t="s">
        <v>229</v>
      </c>
      <c r="K192" s="3">
        <v>7</v>
      </c>
      <c r="L192" s="3">
        <v>0</v>
      </c>
      <c r="M192" s="4" t="s">
        <v>30</v>
      </c>
      <c r="N192" s="4">
        <v>0</v>
      </c>
      <c r="O192" s="4" t="s">
        <v>88</v>
      </c>
      <c r="P192" s="3" t="s">
        <v>31</v>
      </c>
      <c r="Q192" s="11">
        <v>11</v>
      </c>
      <c r="R192" s="3" t="str">
        <f>IF(Q192="","",IF(Q192&lt;4,"Crítico",IF(Q192&lt;9,"Alto",IF(Q192&lt;14,"Médio","Baixo"))))</f>
        <v>Médio</v>
      </c>
      <c r="S192" s="5" t="s">
        <v>56</v>
      </c>
      <c r="T192" s="4" t="str">
        <f>IF(OR(Tabela1[[#This Row],[Grau de Risco]]="Médio",Tabela1[[#This Row],[Grau de Risco]]="Baixo"),"Não","Sim")</f>
        <v>Não</v>
      </c>
    </row>
    <row r="193" spans="1:20" hidden="1">
      <c r="A193" s="4" t="s">
        <v>7</v>
      </c>
      <c r="B193" s="10" t="s">
        <v>1802</v>
      </c>
      <c r="C193" s="4" t="s">
        <v>252</v>
      </c>
      <c r="D193" s="38" t="s">
        <v>1382</v>
      </c>
      <c r="E193" s="3">
        <v>18</v>
      </c>
      <c r="F193" s="3">
        <v>9</v>
      </c>
      <c r="G193" s="3">
        <v>2024</v>
      </c>
      <c r="H193" s="36" t="s">
        <v>107</v>
      </c>
      <c r="I193" s="7" t="s">
        <v>706</v>
      </c>
      <c r="J193" s="4" t="s">
        <v>111</v>
      </c>
      <c r="K193" s="3"/>
      <c r="L193" s="3"/>
      <c r="M193" s="4"/>
      <c r="N193" s="4"/>
      <c r="O193" s="4" t="s">
        <v>419</v>
      </c>
      <c r="P193" s="3"/>
      <c r="Q193" s="11">
        <v>15</v>
      </c>
      <c r="R193" s="3" t="s">
        <v>52</v>
      </c>
      <c r="S193" s="10" t="s">
        <v>4</v>
      </c>
      <c r="T193" s="4" t="str">
        <f>IF(OR(Tabela1[[#This Row],[Grau de Risco]]="Médio",Tabela1[[#This Row],[Grau de Risco]]="Baixo"),"Não","Sim")</f>
        <v>Não</v>
      </c>
    </row>
    <row r="194" spans="1:20">
      <c r="A194" s="4" t="s">
        <v>8</v>
      </c>
      <c r="B194" s="10" t="s">
        <v>1809</v>
      </c>
      <c r="C194" s="4" t="s">
        <v>41</v>
      </c>
      <c r="D194" s="38" t="s">
        <v>1320</v>
      </c>
      <c r="E194" s="3">
        <v>19</v>
      </c>
      <c r="F194" s="3">
        <v>8</v>
      </c>
      <c r="G194" s="3">
        <v>2024</v>
      </c>
      <c r="H194" s="36" t="s">
        <v>107</v>
      </c>
      <c r="I194" s="7" t="s">
        <v>710</v>
      </c>
      <c r="J194" s="4" t="s">
        <v>154</v>
      </c>
      <c r="K194" s="3" t="s">
        <v>44</v>
      </c>
      <c r="L194" s="3" t="s">
        <v>44</v>
      </c>
      <c r="M194" s="4" t="s">
        <v>30</v>
      </c>
      <c r="N194" s="4" t="s">
        <v>44</v>
      </c>
      <c r="O194" s="4" t="s">
        <v>51</v>
      </c>
      <c r="P194" s="3" t="s">
        <v>52</v>
      </c>
      <c r="Q194" s="11">
        <v>11</v>
      </c>
      <c r="R194" s="3" t="s">
        <v>31</v>
      </c>
      <c r="S194" s="5" t="s">
        <v>56</v>
      </c>
      <c r="T194" s="4" t="str">
        <f>IF(OR(Tabela1[[#This Row],[Grau de Risco]]="Médio",Tabela1[[#This Row],[Grau de Risco]]="Baixo"),"Não","Sim")</f>
        <v>Não</v>
      </c>
    </row>
    <row r="195" spans="1:20" hidden="1">
      <c r="A195" s="4" t="s">
        <v>8</v>
      </c>
      <c r="B195" s="10" t="s">
        <v>1797</v>
      </c>
      <c r="C195" s="4" t="s">
        <v>81</v>
      </c>
      <c r="D195" s="38" t="s">
        <v>47</v>
      </c>
      <c r="E195" s="3">
        <v>2</v>
      </c>
      <c r="F195" s="3">
        <v>8</v>
      </c>
      <c r="G195" s="3">
        <v>2024</v>
      </c>
      <c r="H195" s="4" t="s">
        <v>27</v>
      </c>
      <c r="I195" s="7" t="s">
        <v>730</v>
      </c>
      <c r="J195" s="4" t="s">
        <v>93</v>
      </c>
      <c r="K195" s="3"/>
      <c r="L195" s="3"/>
      <c r="M195" s="4"/>
      <c r="N195" s="4"/>
      <c r="O195" s="4" t="s">
        <v>51</v>
      </c>
      <c r="P195" s="3" t="s">
        <v>52</v>
      </c>
      <c r="Q195" s="11">
        <v>11</v>
      </c>
      <c r="R195" s="3" t="s">
        <v>31</v>
      </c>
      <c r="S195" s="5" t="s">
        <v>56</v>
      </c>
      <c r="T195" s="4" t="str">
        <f>IF(OR(Tabela1[[#This Row],[Grau de Risco]]="Médio",Tabela1[[#This Row],[Grau de Risco]]="Baixo"),"Não","Sim")</f>
        <v>Não</v>
      </c>
    </row>
    <row r="196" spans="1:20">
      <c r="A196" s="4" t="s">
        <v>8</v>
      </c>
      <c r="B196" s="10" t="s">
        <v>1809</v>
      </c>
      <c r="C196" s="4" t="s">
        <v>81</v>
      </c>
      <c r="D196" s="38" t="s">
        <v>1320</v>
      </c>
      <c r="E196" s="3">
        <v>29</v>
      </c>
      <c r="F196" s="3">
        <v>1</v>
      </c>
      <c r="G196" s="3">
        <v>2024</v>
      </c>
      <c r="H196" s="36" t="s">
        <v>33</v>
      </c>
      <c r="I196" s="7" t="s">
        <v>764</v>
      </c>
      <c r="J196" s="4" t="s">
        <v>54</v>
      </c>
      <c r="K196" s="3">
        <v>0</v>
      </c>
      <c r="L196" s="3" t="s">
        <v>30</v>
      </c>
      <c r="M196" s="4" t="s">
        <v>30</v>
      </c>
      <c r="N196" s="4" t="s">
        <v>44</v>
      </c>
      <c r="O196" s="4" t="s">
        <v>1788</v>
      </c>
      <c r="P196" s="3" t="s">
        <v>52</v>
      </c>
      <c r="Q196" s="11">
        <v>11</v>
      </c>
      <c r="R196" s="3" t="s">
        <v>31</v>
      </c>
      <c r="S196" s="5" t="s">
        <v>56</v>
      </c>
      <c r="T196" s="4" t="str">
        <f>IF(OR(Tabela1[[#This Row],[Grau de Risco]]="Médio",Tabela1[[#This Row],[Grau de Risco]]="Baixo"),"Não","Sim")</f>
        <v>Não</v>
      </c>
    </row>
    <row r="197" spans="1:20" hidden="1">
      <c r="A197" s="4" t="s">
        <v>9</v>
      </c>
      <c r="B197" s="10" t="s">
        <v>1800</v>
      </c>
      <c r="C197" s="4" t="s">
        <v>81</v>
      </c>
      <c r="D197" s="38" t="s">
        <v>1382</v>
      </c>
      <c r="E197" s="3">
        <v>4</v>
      </c>
      <c r="F197" s="3">
        <v>6</v>
      </c>
      <c r="G197" s="3">
        <v>2024</v>
      </c>
      <c r="H197" s="36" t="s">
        <v>66</v>
      </c>
      <c r="I197" s="7" t="s">
        <v>878</v>
      </c>
      <c r="J197" s="4" t="s">
        <v>76</v>
      </c>
      <c r="K197" s="3">
        <v>30</v>
      </c>
      <c r="L197" s="3" t="s">
        <v>80</v>
      </c>
      <c r="M197" s="4" t="s">
        <v>30</v>
      </c>
      <c r="N197" s="4"/>
      <c r="O197" s="4" t="s">
        <v>101</v>
      </c>
      <c r="P197" s="3" t="s">
        <v>31</v>
      </c>
      <c r="Q197" s="11">
        <v>7</v>
      </c>
      <c r="R197" s="3" t="s">
        <v>102</v>
      </c>
      <c r="S197" s="10" t="s">
        <v>63</v>
      </c>
      <c r="T197" s="4" t="str">
        <f>IF(OR(Tabela1[[#This Row],[Grau de Risco]]="Médio",Tabela1[[#This Row],[Grau de Risco]]="Baixo"),"Não","Sim")</f>
        <v>Sim</v>
      </c>
    </row>
    <row r="198" spans="1:20">
      <c r="A198" s="4" t="s">
        <v>2</v>
      </c>
      <c r="B198" s="10" t="s">
        <v>1809</v>
      </c>
      <c r="C198" s="4" t="s">
        <v>41</v>
      </c>
      <c r="D198" s="5" t="s">
        <v>148</v>
      </c>
      <c r="E198" s="3">
        <v>25</v>
      </c>
      <c r="F198" s="3">
        <v>2</v>
      </c>
      <c r="G198" s="3">
        <v>2024</v>
      </c>
      <c r="H198" s="36" t="s">
        <v>82</v>
      </c>
      <c r="I198" s="7" t="s">
        <v>945</v>
      </c>
      <c r="J198" s="4" t="s">
        <v>61</v>
      </c>
      <c r="K198" s="3">
        <v>2</v>
      </c>
      <c r="L198" s="3">
        <v>0</v>
      </c>
      <c r="M198" s="4" t="s">
        <v>30</v>
      </c>
      <c r="N198" s="4">
        <v>0</v>
      </c>
      <c r="O198" s="4" t="s">
        <v>45</v>
      </c>
      <c r="P198" s="3" t="s">
        <v>31</v>
      </c>
      <c r="Q198" s="11">
        <v>7</v>
      </c>
      <c r="R198" s="3" t="s">
        <v>102</v>
      </c>
      <c r="S198" s="10" t="s">
        <v>141</v>
      </c>
      <c r="T198" s="4" t="str">
        <f>IF(OR(Tabela1[[#This Row],[Grau de Risco]]="Médio",Tabela1[[#This Row],[Grau de Risco]]="Baixo"),"Não","Sim")</f>
        <v>Sim</v>
      </c>
    </row>
    <row r="199" spans="1:20" hidden="1">
      <c r="A199" s="4" t="s">
        <v>10</v>
      </c>
      <c r="B199" s="10" t="s">
        <v>1797</v>
      </c>
      <c r="C199" s="4" t="s">
        <v>125</v>
      </c>
      <c r="D199" s="38" t="s">
        <v>1382</v>
      </c>
      <c r="E199" s="3">
        <v>26</v>
      </c>
      <c r="F199" s="3">
        <v>6</v>
      </c>
      <c r="G199" s="3">
        <v>2024</v>
      </c>
      <c r="H199" s="36" t="s">
        <v>375</v>
      </c>
      <c r="I199" s="7" t="s">
        <v>963</v>
      </c>
      <c r="J199" s="4" t="s">
        <v>50</v>
      </c>
      <c r="K199" s="3">
        <v>0</v>
      </c>
      <c r="L199" s="3">
        <v>0</v>
      </c>
      <c r="M199" s="4" t="s">
        <v>30</v>
      </c>
      <c r="N199" s="4">
        <v>0</v>
      </c>
      <c r="O199" s="4" t="s">
        <v>386</v>
      </c>
      <c r="P199" s="3" t="s">
        <v>31</v>
      </c>
      <c r="Q199" s="11">
        <v>14</v>
      </c>
      <c r="R199" s="3" t="s">
        <v>52</v>
      </c>
      <c r="S199" s="10" t="s">
        <v>63</v>
      </c>
      <c r="T199" s="4" t="str">
        <f>IF(OR(Tabela1[[#This Row],[Grau de Risco]]="Médio",Tabela1[[#This Row],[Grau de Risco]]="Baixo"),"Não","Sim")</f>
        <v>Não</v>
      </c>
    </row>
    <row r="200" spans="1:20" hidden="1">
      <c r="A200" s="4" t="s">
        <v>8</v>
      </c>
      <c r="B200" s="10" t="s">
        <v>1800</v>
      </c>
      <c r="C200" s="4" t="s">
        <v>252</v>
      </c>
      <c r="D200" s="38" t="s">
        <v>1393</v>
      </c>
      <c r="E200" s="3">
        <v>18</v>
      </c>
      <c r="F200" s="3">
        <v>6</v>
      </c>
      <c r="G200" s="3">
        <v>2024</v>
      </c>
      <c r="H200" s="36" t="s">
        <v>66</v>
      </c>
      <c r="I200" s="7" t="s">
        <v>1000</v>
      </c>
      <c r="J200" s="4" t="s">
        <v>54</v>
      </c>
      <c r="K200" s="3">
        <v>0</v>
      </c>
      <c r="L200" s="3" t="s">
        <v>80</v>
      </c>
      <c r="M200" s="4" t="s">
        <v>30</v>
      </c>
      <c r="N200" s="4" t="s">
        <v>80</v>
      </c>
      <c r="O200" s="4" t="s">
        <v>45</v>
      </c>
      <c r="P200" s="3" t="s">
        <v>52</v>
      </c>
      <c r="Q200" s="11">
        <v>10</v>
      </c>
      <c r="R200" s="3" t="s">
        <v>31</v>
      </c>
      <c r="S200" s="5" t="s">
        <v>56</v>
      </c>
      <c r="T200" s="4" t="str">
        <f>IF(OR(Tabela1[[#This Row],[Grau de Risco]]="Médio",Tabela1[[#This Row],[Grau de Risco]]="Baixo"),"Não","Sim")</f>
        <v>Não</v>
      </c>
    </row>
    <row r="201" spans="1:20" hidden="1">
      <c r="A201" s="5" t="s">
        <v>7</v>
      </c>
      <c r="B201" s="33" t="s">
        <v>1800</v>
      </c>
      <c r="C201" s="28" t="s">
        <v>252</v>
      </c>
      <c r="D201" s="38" t="s">
        <v>1393</v>
      </c>
      <c r="E201" s="44">
        <v>12</v>
      </c>
      <c r="F201" s="32">
        <v>11</v>
      </c>
      <c r="G201" s="32">
        <v>2024</v>
      </c>
      <c r="H201" s="36" t="s">
        <v>107</v>
      </c>
      <c r="I201" s="29" t="s">
        <v>1015</v>
      </c>
      <c r="J201" s="28" t="s">
        <v>54</v>
      </c>
      <c r="K201" s="32" t="s">
        <v>80</v>
      </c>
      <c r="L201" s="32" t="s">
        <v>80</v>
      </c>
      <c r="M201" s="28" t="s">
        <v>30</v>
      </c>
      <c r="N201" s="28" t="s">
        <v>80</v>
      </c>
      <c r="O201" s="28" t="s">
        <v>301</v>
      </c>
      <c r="P201" s="32"/>
      <c r="Q201" s="35">
        <v>5</v>
      </c>
      <c r="R201" s="16" t="s">
        <v>102</v>
      </c>
      <c r="S201" s="33" t="s">
        <v>63</v>
      </c>
      <c r="T201" s="4" t="str">
        <f>IF(OR(Tabela1[[#This Row],[Grau de Risco]]="Médio",Tabela1[[#This Row],[Grau de Risco]]="Baixo"),"Não","Sim")</f>
        <v>Sim</v>
      </c>
    </row>
    <row r="202" spans="1:20" hidden="1">
      <c r="A202" s="5" t="s">
        <v>7</v>
      </c>
      <c r="B202" s="56" t="s">
        <v>1800</v>
      </c>
      <c r="C202" s="28" t="s">
        <v>41</v>
      </c>
      <c r="D202" s="38" t="s">
        <v>1320</v>
      </c>
      <c r="E202" s="32">
        <v>16</v>
      </c>
      <c r="F202" s="32">
        <v>12</v>
      </c>
      <c r="G202" s="32">
        <v>2024</v>
      </c>
      <c r="H202" s="4" t="s">
        <v>86</v>
      </c>
      <c r="I202" s="7" t="s">
        <v>1018</v>
      </c>
      <c r="J202" s="28" t="s">
        <v>54</v>
      </c>
      <c r="K202" s="32" t="s">
        <v>80</v>
      </c>
      <c r="L202" s="32" t="s">
        <v>80</v>
      </c>
      <c r="M202" s="28" t="s">
        <v>30</v>
      </c>
      <c r="N202" s="28" t="s">
        <v>80</v>
      </c>
      <c r="O202" s="28" t="s">
        <v>4</v>
      </c>
      <c r="P202" s="32"/>
      <c r="Q202" s="35">
        <v>16</v>
      </c>
      <c r="R202" s="32" t="s">
        <v>52</v>
      </c>
      <c r="S202" s="33" t="s">
        <v>63</v>
      </c>
      <c r="T202" s="4" t="str">
        <f>IF(OR(Tabela1[[#This Row],[Grau de Risco]]="Médio",Tabela1[[#This Row],[Grau de Risco]]="Baixo"),"Não","Sim")</f>
        <v>Não</v>
      </c>
    </row>
    <row r="203" spans="1:20" hidden="1">
      <c r="A203" s="5" t="s">
        <v>7</v>
      </c>
      <c r="B203" s="10" t="s">
        <v>1800</v>
      </c>
      <c r="C203" s="4" t="s">
        <v>41</v>
      </c>
      <c r="D203" s="38" t="s">
        <v>47</v>
      </c>
      <c r="E203" s="3">
        <v>31</v>
      </c>
      <c r="F203" s="3">
        <v>5</v>
      </c>
      <c r="G203" s="3">
        <v>2024</v>
      </c>
      <c r="H203" s="36" t="s">
        <v>33</v>
      </c>
      <c r="I203" s="7" t="s">
        <v>1028</v>
      </c>
      <c r="J203" s="4" t="s">
        <v>54</v>
      </c>
      <c r="K203" s="3" t="s">
        <v>44</v>
      </c>
      <c r="L203" s="3" t="s">
        <v>80</v>
      </c>
      <c r="M203" s="4" t="s">
        <v>30</v>
      </c>
      <c r="N203" s="4" t="s">
        <v>80</v>
      </c>
      <c r="O203" s="4" t="s">
        <v>39</v>
      </c>
      <c r="P203" s="3" t="s">
        <v>52</v>
      </c>
      <c r="Q203" s="11">
        <v>10</v>
      </c>
      <c r="R203" s="3" t="s">
        <v>31</v>
      </c>
      <c r="S203" s="10" t="s">
        <v>179</v>
      </c>
      <c r="T203" s="4" t="str">
        <f>IF(OR(Tabela1[[#This Row],[Grau de Risco]]="Médio",Tabela1[[#This Row],[Grau de Risco]]="Baixo"),"Não","Sim")</f>
        <v>Não</v>
      </c>
    </row>
    <row r="204" spans="1:20" hidden="1">
      <c r="A204" s="5" t="s">
        <v>7</v>
      </c>
      <c r="B204" s="10" t="s">
        <v>1800</v>
      </c>
      <c r="C204" s="4" t="s">
        <v>81</v>
      </c>
      <c r="D204" s="5" t="s">
        <v>36</v>
      </c>
      <c r="E204" s="3">
        <v>22</v>
      </c>
      <c r="F204" s="3">
        <v>6</v>
      </c>
      <c r="G204" s="3">
        <v>2024</v>
      </c>
      <c r="H204" s="5" t="s">
        <v>71</v>
      </c>
      <c r="I204" s="7" t="s">
        <v>1029</v>
      </c>
      <c r="J204" s="4" t="s">
        <v>54</v>
      </c>
      <c r="K204" s="3" t="s">
        <v>44</v>
      </c>
      <c r="L204" s="3" t="s">
        <v>80</v>
      </c>
      <c r="M204" s="4" t="s">
        <v>30</v>
      </c>
      <c r="N204" s="4" t="s">
        <v>80</v>
      </c>
      <c r="O204" s="4" t="s">
        <v>4</v>
      </c>
      <c r="P204" s="3"/>
      <c r="Q204" s="11">
        <v>10</v>
      </c>
      <c r="R204" s="3" t="s">
        <v>31</v>
      </c>
      <c r="S204" s="5" t="s">
        <v>56</v>
      </c>
      <c r="T204" s="4" t="str">
        <f>IF(OR(Tabela1[[#This Row],[Grau de Risco]]="Médio",Tabela1[[#This Row],[Grau de Risco]]="Baixo"),"Não","Sim")</f>
        <v>Não</v>
      </c>
    </row>
    <row r="205" spans="1:20" hidden="1">
      <c r="A205" s="4" t="s">
        <v>8</v>
      </c>
      <c r="B205" s="10" t="s">
        <v>1800</v>
      </c>
      <c r="C205" s="4" t="s">
        <v>41</v>
      </c>
      <c r="D205" s="38" t="s">
        <v>1393</v>
      </c>
      <c r="E205" s="3">
        <v>16</v>
      </c>
      <c r="F205" s="3">
        <v>1</v>
      </c>
      <c r="G205" s="3">
        <v>2024</v>
      </c>
      <c r="H205" s="36" t="s">
        <v>82</v>
      </c>
      <c r="I205" s="7" t="s">
        <v>1097</v>
      </c>
      <c r="J205" s="4" t="s">
        <v>79</v>
      </c>
      <c r="K205" s="3">
        <v>0</v>
      </c>
      <c r="L205" s="3">
        <v>0</v>
      </c>
      <c r="M205" s="4" t="s">
        <v>30</v>
      </c>
      <c r="N205" s="4">
        <v>0</v>
      </c>
      <c r="O205" s="4" t="s">
        <v>45</v>
      </c>
      <c r="P205" s="3" t="s">
        <v>52</v>
      </c>
      <c r="Q205" s="11">
        <v>11</v>
      </c>
      <c r="R205" s="3" t="s">
        <v>31</v>
      </c>
      <c r="S205" s="5" t="s">
        <v>56</v>
      </c>
      <c r="T205" s="4" t="str">
        <f>IF(OR(Tabela1[[#This Row],[Grau de Risco]]="Médio",Tabela1[[#This Row],[Grau de Risco]]="Baixo"),"Não","Sim")</f>
        <v>Não</v>
      </c>
    </row>
    <row r="206" spans="1:20" hidden="1">
      <c r="A206" s="5" t="s">
        <v>7</v>
      </c>
      <c r="B206" s="10" t="s">
        <v>1800</v>
      </c>
      <c r="C206" s="4" t="s">
        <v>252</v>
      </c>
      <c r="D206" s="5" t="s">
        <v>36</v>
      </c>
      <c r="E206" s="3">
        <v>25</v>
      </c>
      <c r="F206" s="3">
        <v>5</v>
      </c>
      <c r="G206" s="3">
        <v>2024</v>
      </c>
      <c r="H206" s="36" t="s">
        <v>33</v>
      </c>
      <c r="I206" s="7" t="s">
        <v>1106</v>
      </c>
      <c r="J206" s="4" t="s">
        <v>61</v>
      </c>
      <c r="K206" s="3" t="s">
        <v>44</v>
      </c>
      <c r="L206" s="3" t="s">
        <v>80</v>
      </c>
      <c r="M206" s="4" t="s">
        <v>30</v>
      </c>
      <c r="N206" s="4" t="s">
        <v>80</v>
      </c>
      <c r="O206" s="4" t="s">
        <v>4</v>
      </c>
      <c r="P206" s="3"/>
      <c r="Q206" s="11">
        <v>11</v>
      </c>
      <c r="R206" s="3" t="s">
        <v>31</v>
      </c>
      <c r="S206" s="10" t="s">
        <v>63</v>
      </c>
      <c r="T206" s="4" t="str">
        <f>IF(OR(Tabela1[[#This Row],[Grau de Risco]]="Médio",Tabela1[[#This Row],[Grau de Risco]]="Baixo"),"Não","Sim")</f>
        <v>Não</v>
      </c>
    </row>
    <row r="207" spans="1:20" hidden="1">
      <c r="A207" s="28" t="s">
        <v>8</v>
      </c>
      <c r="B207" s="33" t="s">
        <v>1800</v>
      </c>
      <c r="C207" s="4" t="s">
        <v>41</v>
      </c>
      <c r="D207" s="38" t="s">
        <v>1409</v>
      </c>
      <c r="E207" s="32">
        <v>23</v>
      </c>
      <c r="F207" s="32">
        <v>1</v>
      </c>
      <c r="G207" s="32">
        <v>2025</v>
      </c>
      <c r="H207" s="38" t="s">
        <v>27</v>
      </c>
      <c r="I207" s="29" t="s">
        <v>1131</v>
      </c>
      <c r="J207" s="28" t="s">
        <v>69</v>
      </c>
      <c r="K207" s="32" t="s">
        <v>80</v>
      </c>
      <c r="L207" s="32" t="s">
        <v>80</v>
      </c>
      <c r="M207" s="28" t="s">
        <v>30</v>
      </c>
      <c r="N207" s="28" t="s">
        <v>80</v>
      </c>
      <c r="O207" s="28"/>
      <c r="P207" s="32" t="s">
        <v>52</v>
      </c>
      <c r="Q207" s="35">
        <v>14</v>
      </c>
      <c r="R207" s="32" t="s">
        <v>52</v>
      </c>
      <c r="S207" s="33" t="s">
        <v>180</v>
      </c>
      <c r="T207" s="4" t="str">
        <f>IF(OR(Tabela1[[#This Row],[Grau de Risco]]="Médio",Tabela1[[#This Row],[Grau de Risco]]="Baixo"),"Não","Sim")</f>
        <v>Não</v>
      </c>
    </row>
    <row r="208" spans="1:20">
      <c r="A208" s="28" t="s">
        <v>8</v>
      </c>
      <c r="B208" s="10" t="s">
        <v>1809</v>
      </c>
      <c r="C208" s="28" t="s">
        <v>41</v>
      </c>
      <c r="D208" s="38" t="s">
        <v>47</v>
      </c>
      <c r="E208" s="32">
        <v>31</v>
      </c>
      <c r="F208" s="32">
        <v>1</v>
      </c>
      <c r="G208" s="32">
        <v>2025</v>
      </c>
      <c r="H208" s="5" t="s">
        <v>48</v>
      </c>
      <c r="I208" s="29" t="s">
        <v>1142</v>
      </c>
      <c r="J208" s="28" t="s">
        <v>115</v>
      </c>
      <c r="K208" s="32"/>
      <c r="L208" s="32"/>
      <c r="M208" s="28"/>
      <c r="N208" s="28"/>
      <c r="O208" s="28" t="s">
        <v>498</v>
      </c>
      <c r="P208" s="3" t="s">
        <v>52</v>
      </c>
      <c r="Q208" s="35">
        <v>14</v>
      </c>
      <c r="R208" s="32" t="s">
        <v>52</v>
      </c>
      <c r="S208" s="10" t="s">
        <v>56</v>
      </c>
      <c r="T208" s="4" t="str">
        <f>IF(OR(Tabela1[[#This Row],[Grau de Risco]]="Médio",Tabela1[[#This Row],[Grau de Risco]]="Baixo"),"Não","Sim")</f>
        <v>Não</v>
      </c>
    </row>
    <row r="209" spans="1:20" hidden="1">
      <c r="A209" s="4" t="s">
        <v>7</v>
      </c>
      <c r="B209" s="10" t="s">
        <v>1805</v>
      </c>
      <c r="C209" s="4" t="s">
        <v>81</v>
      </c>
      <c r="D209" s="38" t="s">
        <v>1393</v>
      </c>
      <c r="E209" s="3">
        <v>4</v>
      </c>
      <c r="F209" s="3">
        <v>2</v>
      </c>
      <c r="G209" s="3">
        <v>2025</v>
      </c>
      <c r="H209" s="36" t="s">
        <v>107</v>
      </c>
      <c r="I209" s="7" t="s">
        <v>1588</v>
      </c>
      <c r="J209" s="4" t="s">
        <v>93</v>
      </c>
      <c r="K209" s="3"/>
      <c r="L209" s="3"/>
      <c r="M209" s="4"/>
      <c r="N209" s="4"/>
      <c r="O209" s="4"/>
      <c r="P209" s="3"/>
      <c r="Q209" s="11">
        <v>10</v>
      </c>
      <c r="R209" s="3" t="s">
        <v>31</v>
      </c>
      <c r="S209" s="5" t="s">
        <v>56</v>
      </c>
      <c r="T209" s="4" t="str">
        <f>IF(OR(Tabela1[[#This Row],[Grau de Risco]]="Médio",Tabela1[[#This Row],[Grau de Risco]]="Baixo"),"Não","Sim")</f>
        <v>Não</v>
      </c>
    </row>
    <row r="210" spans="1:20" hidden="1">
      <c r="A210" s="4" t="s">
        <v>9</v>
      </c>
      <c r="B210" s="10" t="s">
        <v>1797</v>
      </c>
      <c r="C210" s="4" t="s">
        <v>252</v>
      </c>
      <c r="D210" s="38" t="s">
        <v>1382</v>
      </c>
      <c r="E210" s="3">
        <v>12</v>
      </c>
      <c r="F210" s="3">
        <v>2</v>
      </c>
      <c r="G210" s="3">
        <v>2025</v>
      </c>
      <c r="H210" s="4" t="s">
        <v>86</v>
      </c>
      <c r="I210" s="7" t="s">
        <v>1154</v>
      </c>
      <c r="J210" s="4" t="s">
        <v>290</v>
      </c>
      <c r="K210" s="3">
        <v>4</v>
      </c>
      <c r="L210" s="3">
        <v>0</v>
      </c>
      <c r="M210" s="4" t="s">
        <v>30</v>
      </c>
      <c r="N210" s="4">
        <v>0</v>
      </c>
      <c r="O210" s="4" t="s">
        <v>101</v>
      </c>
      <c r="P210" s="3" t="s">
        <v>31</v>
      </c>
      <c r="Q210" s="11">
        <v>10</v>
      </c>
      <c r="R210" s="3" t="s">
        <v>31</v>
      </c>
      <c r="S210" s="33" t="s">
        <v>63</v>
      </c>
      <c r="T210" s="4" t="str">
        <f>IF(OR(Tabela1[[#This Row],[Grau de Risco]]="Médio",Tabela1[[#This Row],[Grau de Risco]]="Baixo"),"Não","Sim")</f>
        <v>Não</v>
      </c>
    </row>
    <row r="211" spans="1:20" hidden="1">
      <c r="A211" s="28" t="s">
        <v>7</v>
      </c>
      <c r="B211" s="33" t="s">
        <v>1800</v>
      </c>
      <c r="C211" s="28" t="s">
        <v>252</v>
      </c>
      <c r="D211" s="38" t="s">
        <v>1393</v>
      </c>
      <c r="E211" s="32">
        <v>18</v>
      </c>
      <c r="F211" s="32">
        <v>2</v>
      </c>
      <c r="G211" s="32">
        <v>2025</v>
      </c>
      <c r="H211" s="38" t="s">
        <v>48</v>
      </c>
      <c r="I211" s="29" t="s">
        <v>1589</v>
      </c>
      <c r="J211" s="28" t="s">
        <v>76</v>
      </c>
      <c r="K211" s="32" t="s">
        <v>80</v>
      </c>
      <c r="L211" s="32" t="s">
        <v>80</v>
      </c>
      <c r="M211" s="28" t="s">
        <v>30</v>
      </c>
      <c r="N211" s="28" t="s">
        <v>80</v>
      </c>
      <c r="O211" s="28"/>
      <c r="P211" s="32"/>
      <c r="Q211" s="35">
        <v>11</v>
      </c>
      <c r="R211" s="32" t="s">
        <v>31</v>
      </c>
      <c r="S211" s="33" t="s">
        <v>56</v>
      </c>
      <c r="T211" s="4" t="str">
        <f>IF(OR(Tabela1[[#This Row],[Grau de Risco]]="Médio",Tabela1[[#This Row],[Grau de Risco]]="Baixo"),"Não","Sim")</f>
        <v>Não</v>
      </c>
    </row>
    <row r="212" spans="1:20" hidden="1">
      <c r="A212" s="4" t="s">
        <v>1110</v>
      </c>
      <c r="B212" s="10" t="s">
        <v>1805</v>
      </c>
      <c r="C212" s="4" t="s">
        <v>41</v>
      </c>
      <c r="D212" s="5" t="s">
        <v>36</v>
      </c>
      <c r="E212" s="3">
        <v>8</v>
      </c>
      <c r="F212" s="3">
        <v>3</v>
      </c>
      <c r="G212" s="3">
        <v>2025</v>
      </c>
      <c r="H212" s="5" t="s">
        <v>71</v>
      </c>
      <c r="I212" s="7" t="s">
        <v>1184</v>
      </c>
      <c r="J212" s="4" t="s">
        <v>69</v>
      </c>
      <c r="K212" s="3" t="s">
        <v>44</v>
      </c>
      <c r="L212" s="3" t="s">
        <v>44</v>
      </c>
      <c r="M212" s="4"/>
      <c r="N212" s="4" t="s">
        <v>44</v>
      </c>
      <c r="O212" s="4"/>
      <c r="P212" s="3"/>
      <c r="Q212" s="11">
        <v>16</v>
      </c>
      <c r="R212" s="3" t="s">
        <v>52</v>
      </c>
      <c r="S212" s="10" t="s">
        <v>63</v>
      </c>
      <c r="T212" s="4" t="str">
        <f>IF(OR(Tabela1[[#This Row],[Grau de Risco]]="Médio",Tabela1[[#This Row],[Grau de Risco]]="Baixo"),"Não","Sim")</f>
        <v>Não</v>
      </c>
    </row>
    <row r="213" spans="1:20" hidden="1">
      <c r="A213" s="28" t="s">
        <v>8</v>
      </c>
      <c r="B213" s="33" t="s">
        <v>1797</v>
      </c>
      <c r="C213" s="28" t="s">
        <v>41</v>
      </c>
      <c r="D213" s="38" t="s">
        <v>1382</v>
      </c>
      <c r="E213" s="32">
        <v>26</v>
      </c>
      <c r="F213" s="32">
        <v>3</v>
      </c>
      <c r="G213" s="32">
        <v>2025</v>
      </c>
      <c r="H213" s="4" t="s">
        <v>27</v>
      </c>
      <c r="I213" s="29" t="s">
        <v>1204</v>
      </c>
      <c r="J213" s="28" t="s">
        <v>54</v>
      </c>
      <c r="K213" s="32" t="s">
        <v>1581</v>
      </c>
      <c r="L213" s="32" t="s">
        <v>44</v>
      </c>
      <c r="M213" s="28" t="s">
        <v>30</v>
      </c>
      <c r="N213" s="28" t="s">
        <v>44</v>
      </c>
      <c r="O213" s="28"/>
      <c r="P213" s="32" t="s">
        <v>102</v>
      </c>
      <c r="Q213" s="35">
        <v>5</v>
      </c>
      <c r="R213" s="32" t="s">
        <v>1205</v>
      </c>
      <c r="S213" s="47" t="s">
        <v>63</v>
      </c>
      <c r="T213" s="4" t="str">
        <f>IF(OR(Tabela1[[#This Row],[Grau de Risco]]="Médio",Tabela1[[#This Row],[Grau de Risco]]="Baixo"),"Não","Sim")</f>
        <v>Sim</v>
      </c>
    </row>
    <row r="214" spans="1:20" hidden="1">
      <c r="A214" s="28" t="s">
        <v>7</v>
      </c>
      <c r="B214" s="33" t="s">
        <v>1797</v>
      </c>
      <c r="C214" s="28" t="s">
        <v>41</v>
      </c>
      <c r="D214" s="28" t="s">
        <v>148</v>
      </c>
      <c r="E214" s="32">
        <v>27</v>
      </c>
      <c r="F214" s="32">
        <v>4</v>
      </c>
      <c r="G214" s="32">
        <v>2025</v>
      </c>
      <c r="H214" s="36" t="s">
        <v>33</v>
      </c>
      <c r="I214" s="29" t="s">
        <v>1235</v>
      </c>
      <c r="J214" s="28" t="s">
        <v>111</v>
      </c>
      <c r="K214" s="32"/>
      <c r="L214" s="32"/>
      <c r="M214" s="28"/>
      <c r="N214" s="28"/>
      <c r="O214" s="28" t="s">
        <v>4</v>
      </c>
      <c r="P214" s="32"/>
      <c r="Q214" s="11">
        <v>11</v>
      </c>
      <c r="R214" s="32" t="s">
        <v>31</v>
      </c>
      <c r="S214" s="10" t="s">
        <v>63</v>
      </c>
      <c r="T214" s="4" t="str">
        <f>IF(OR(Tabela1[[#This Row],[Grau de Risco]]="Médio",Tabela1[[#This Row],[Grau de Risco]]="Baixo"),"Não","Sim")</f>
        <v>Não</v>
      </c>
    </row>
    <row r="215" spans="1:20">
      <c r="A215" s="28" t="s">
        <v>2</v>
      </c>
      <c r="B215" s="10" t="s">
        <v>1809</v>
      </c>
      <c r="C215" s="28" t="s">
        <v>252</v>
      </c>
      <c r="D215" s="28" t="s">
        <v>148</v>
      </c>
      <c r="E215" s="32">
        <v>27</v>
      </c>
      <c r="F215" s="32">
        <v>7</v>
      </c>
      <c r="G215" s="32">
        <v>2025</v>
      </c>
      <c r="H215" s="36" t="s">
        <v>33</v>
      </c>
      <c r="I215" s="29" t="s">
        <v>1241</v>
      </c>
      <c r="J215" s="28" t="s">
        <v>115</v>
      </c>
      <c r="K215" s="32">
        <v>2</v>
      </c>
      <c r="L215" s="32"/>
      <c r="M215" s="28"/>
      <c r="N215" s="28"/>
      <c r="O215" s="28" t="s">
        <v>51</v>
      </c>
      <c r="P215" s="32" t="s">
        <v>31</v>
      </c>
      <c r="Q215" s="35">
        <v>10</v>
      </c>
      <c r="R215" s="32" t="s">
        <v>31</v>
      </c>
      <c r="S215" s="5" t="s">
        <v>56</v>
      </c>
      <c r="T215" s="4" t="str">
        <f>IF(OR(Tabela1[[#This Row],[Grau de Risco]]="Médio",Tabela1[[#This Row],[Grau de Risco]]="Baixo"),"Não","Sim")</f>
        <v>Não</v>
      </c>
    </row>
    <row r="216" spans="1:20">
      <c r="A216" s="28" t="s">
        <v>2</v>
      </c>
      <c r="B216" s="10" t="s">
        <v>1809</v>
      </c>
      <c r="C216" s="28" t="s">
        <v>252</v>
      </c>
      <c r="D216" s="58" t="s">
        <v>1409</v>
      </c>
      <c r="E216" s="32">
        <v>8</v>
      </c>
      <c r="F216" s="32">
        <v>5</v>
      </c>
      <c r="G216" s="32">
        <v>2025</v>
      </c>
      <c r="H216" s="36" t="s">
        <v>33</v>
      </c>
      <c r="I216" s="29" t="s">
        <v>1590</v>
      </c>
      <c r="J216" s="28" t="s">
        <v>54</v>
      </c>
      <c r="K216" s="32">
        <v>14</v>
      </c>
      <c r="L216" s="32"/>
      <c r="M216" s="28"/>
      <c r="N216" s="28"/>
      <c r="O216" s="28"/>
      <c r="P216" s="32" t="s">
        <v>31</v>
      </c>
      <c r="Q216" s="35">
        <v>11</v>
      </c>
      <c r="R216" s="32" t="s">
        <v>31</v>
      </c>
      <c r="S216" s="33" t="s">
        <v>141</v>
      </c>
      <c r="T216" s="4" t="str">
        <f>IF(OR(Tabela1[[#This Row],[Grau de Risco]]="Médio",Tabela1[[#This Row],[Grau de Risco]]="Baixo"),"Não","Sim")</f>
        <v>Não</v>
      </c>
    </row>
    <row r="217" spans="1:20" hidden="1">
      <c r="A217" s="4" t="s">
        <v>10</v>
      </c>
      <c r="B217" s="10" t="s">
        <v>1797</v>
      </c>
      <c r="C217" s="4" t="s">
        <v>252</v>
      </c>
      <c r="D217" s="58" t="s">
        <v>1409</v>
      </c>
      <c r="E217" s="3">
        <v>12</v>
      </c>
      <c r="F217" s="3">
        <v>6</v>
      </c>
      <c r="G217" s="3">
        <v>2025</v>
      </c>
      <c r="H217" s="5" t="s">
        <v>48</v>
      </c>
      <c r="I217" s="7" t="s">
        <v>1299</v>
      </c>
      <c r="J217" s="4" t="s">
        <v>79</v>
      </c>
      <c r="K217" s="3" t="s">
        <v>44</v>
      </c>
      <c r="L217" s="3" t="s">
        <v>44</v>
      </c>
      <c r="M217" s="4"/>
      <c r="N217" s="4" t="s">
        <v>44</v>
      </c>
      <c r="O217" s="4" t="s">
        <v>55</v>
      </c>
      <c r="P217" s="3" t="s">
        <v>52</v>
      </c>
      <c r="Q217" s="11">
        <v>14</v>
      </c>
      <c r="R217" s="3" t="s">
        <v>52</v>
      </c>
      <c r="S217" s="5" t="s">
        <v>56</v>
      </c>
      <c r="T217" s="4" t="str">
        <f>IF(OR(Tabela1[[#This Row],[Grau de Risco]]="Médio",Tabela1[[#This Row],[Grau de Risco]]="Baixo"),"Não","Sim")</f>
        <v>Não</v>
      </c>
    </row>
    <row r="218" spans="1:20">
      <c r="A218" s="28" t="s">
        <v>9</v>
      </c>
      <c r="B218" s="10" t="s">
        <v>1809</v>
      </c>
      <c r="C218" s="28" t="s">
        <v>252</v>
      </c>
      <c r="D218" s="28" t="s">
        <v>1320</v>
      </c>
      <c r="E218" s="32">
        <v>1</v>
      </c>
      <c r="F218" s="32">
        <v>9</v>
      </c>
      <c r="G218" s="32">
        <v>2025</v>
      </c>
      <c r="H218" s="34" t="s">
        <v>71</v>
      </c>
      <c r="I218" s="29" t="s">
        <v>1425</v>
      </c>
      <c r="J218" s="28" t="s">
        <v>61</v>
      </c>
      <c r="K218" s="32">
        <v>15</v>
      </c>
      <c r="L218" s="32"/>
      <c r="M218" s="28" t="s">
        <v>25</v>
      </c>
      <c r="N218" s="28"/>
      <c r="O218" s="28" t="s">
        <v>301</v>
      </c>
      <c r="P218" s="32" t="s">
        <v>31</v>
      </c>
      <c r="Q218" s="35">
        <v>2</v>
      </c>
      <c r="R218" s="3" t="str">
        <f>IF(Q218="","",IF(Q218&lt;4,"Crítico",IF(Q218&lt;9,"Alto",IF(Q218&lt;14,"Médio","Baixo"))))</f>
        <v>Crítico</v>
      </c>
      <c r="S218" s="33" t="s">
        <v>63</v>
      </c>
      <c r="T218" s="4" t="str">
        <f>IF(OR(Tabela1[[#This Row],[Grau de Risco]]="Médio",Tabela1[[#This Row],[Grau de Risco]]="Baixo"),"Não","Sim")</f>
        <v>Sim</v>
      </c>
    </row>
    <row r="219" spans="1:20" hidden="1">
      <c r="A219" s="4" t="s">
        <v>8</v>
      </c>
      <c r="B219" s="10" t="s">
        <v>1797</v>
      </c>
      <c r="C219" s="4" t="s">
        <v>125</v>
      </c>
      <c r="D219" s="38" t="s">
        <v>1393</v>
      </c>
      <c r="E219" s="3">
        <v>28</v>
      </c>
      <c r="F219" s="3">
        <v>1</v>
      </c>
      <c r="G219" s="3">
        <v>2025</v>
      </c>
      <c r="H219" s="36" t="s">
        <v>107</v>
      </c>
      <c r="I219" s="7" t="s">
        <v>1466</v>
      </c>
      <c r="J219" s="4" t="s">
        <v>69</v>
      </c>
      <c r="K219" s="3" t="s">
        <v>44</v>
      </c>
      <c r="L219" s="3" t="s">
        <v>44</v>
      </c>
      <c r="M219" s="4"/>
      <c r="N219" s="4" t="s">
        <v>44</v>
      </c>
      <c r="O219" s="4" t="s">
        <v>51</v>
      </c>
      <c r="P219" s="3" t="s">
        <v>52</v>
      </c>
      <c r="Q219" s="11">
        <v>11</v>
      </c>
      <c r="R219" s="3" t="s">
        <v>31</v>
      </c>
      <c r="S219" s="5" t="s">
        <v>56</v>
      </c>
      <c r="T219" s="4" t="str">
        <f>IF(OR(Tabela1[[#This Row],[Grau de Risco]]="Médio",Tabela1[[#This Row],[Grau de Risco]]="Baixo"),"Não","Sim")</f>
        <v>Não</v>
      </c>
    </row>
    <row r="220" spans="1:20" hidden="1">
      <c r="A220" s="28" t="s">
        <v>8</v>
      </c>
      <c r="B220" s="33" t="s">
        <v>1800</v>
      </c>
      <c r="C220" s="28" t="s">
        <v>41</v>
      </c>
      <c r="D220" s="38" t="s">
        <v>1393</v>
      </c>
      <c r="E220" s="32">
        <v>28</v>
      </c>
      <c r="F220" s="32">
        <v>10</v>
      </c>
      <c r="G220" s="32">
        <v>2025</v>
      </c>
      <c r="H220" s="38" t="s">
        <v>27</v>
      </c>
      <c r="I220" s="7" t="s">
        <v>1510</v>
      </c>
      <c r="J220" s="28" t="s">
        <v>61</v>
      </c>
      <c r="K220" s="32" t="s">
        <v>80</v>
      </c>
      <c r="L220" s="32" t="s">
        <v>80</v>
      </c>
      <c r="M220" s="28" t="s">
        <v>30</v>
      </c>
      <c r="N220" s="28" t="s">
        <v>80</v>
      </c>
      <c r="O220" s="4" t="s">
        <v>45</v>
      </c>
      <c r="P220" s="32" t="s">
        <v>52</v>
      </c>
      <c r="Q220" s="35">
        <v>11</v>
      </c>
      <c r="R220" s="32" t="s">
        <v>31</v>
      </c>
      <c r="S220" s="33" t="s">
        <v>56</v>
      </c>
      <c r="T220" s="4" t="str">
        <f>IF(OR(Tabela1[[#This Row],[Grau de Risco]]="Médio",Tabela1[[#This Row],[Grau de Risco]]="Baixo"),"Não","Sim")</f>
        <v>Não</v>
      </c>
    </row>
    <row r="221" spans="1:20" hidden="1">
      <c r="A221" s="4" t="s">
        <v>9</v>
      </c>
      <c r="B221" s="10" t="s">
        <v>1797</v>
      </c>
      <c r="C221" s="4" t="s">
        <v>81</v>
      </c>
      <c r="D221" s="5" t="s">
        <v>1382</v>
      </c>
      <c r="E221" s="3">
        <v>11</v>
      </c>
      <c r="F221" s="3">
        <v>6</v>
      </c>
      <c r="G221" s="3">
        <v>2025</v>
      </c>
      <c r="H221" s="5" t="s">
        <v>127</v>
      </c>
      <c r="I221" s="7" t="s">
        <v>1524</v>
      </c>
      <c r="J221" s="4" t="s">
        <v>43</v>
      </c>
      <c r="K221" s="3">
        <v>1</v>
      </c>
      <c r="L221" s="3">
        <v>0</v>
      </c>
      <c r="M221" s="4" t="s">
        <v>30</v>
      </c>
      <c r="N221" s="4"/>
      <c r="O221" s="4" t="s">
        <v>45</v>
      </c>
      <c r="P221" s="3" t="s">
        <v>31</v>
      </c>
      <c r="Q221" s="11">
        <v>8</v>
      </c>
      <c r="R221" s="3" t="s">
        <v>102</v>
      </c>
      <c r="S221" s="10" t="s">
        <v>63</v>
      </c>
      <c r="T221" s="4" t="str">
        <f>IF(OR(Tabela1[[#This Row],[Grau de Risco]]="Médio",Tabela1[[#This Row],[Grau de Risco]]="Baixo"),"Não","Sim")</f>
        <v>Sim</v>
      </c>
    </row>
    <row r="222" spans="1:20">
      <c r="A222" s="4" t="s">
        <v>2</v>
      </c>
      <c r="B222" s="10" t="s">
        <v>1809</v>
      </c>
      <c r="C222" s="4"/>
      <c r="D222" s="38" t="s">
        <v>1320</v>
      </c>
      <c r="E222" s="3">
        <v>7</v>
      </c>
      <c r="F222" s="3">
        <v>11</v>
      </c>
      <c r="G222" s="3">
        <v>2022</v>
      </c>
      <c r="H222" s="4" t="s">
        <v>27</v>
      </c>
      <c r="I222" s="7" t="s">
        <v>319</v>
      </c>
      <c r="J222" s="4" t="s">
        <v>61</v>
      </c>
      <c r="K222" s="3">
        <v>4</v>
      </c>
      <c r="L222" s="3">
        <v>0</v>
      </c>
      <c r="M222" s="4" t="s">
        <v>30</v>
      </c>
      <c r="N222" s="4"/>
      <c r="O222" s="4" t="s">
        <v>55</v>
      </c>
      <c r="P222" s="3" t="s">
        <v>52</v>
      </c>
      <c r="Q222" s="11">
        <v>13</v>
      </c>
      <c r="R222" s="3" t="str">
        <f>IF(Q222="","",IF(Q222&lt;4,"Crítico",IF(Q222&lt;9,"Alto",IF(Q222&lt;14,"Médio","Baixo"))))</f>
        <v>Médio</v>
      </c>
      <c r="S222" s="10" t="s">
        <v>63</v>
      </c>
      <c r="T222" s="4" t="str">
        <f>IF(OR(Tabela1[[#This Row],[Grau de Risco]]="Médio",Tabela1[[#This Row],[Grau de Risco]]="Baixo"),"Não","Sim")</f>
        <v>Não</v>
      </c>
    </row>
    <row r="223" spans="1:20" hidden="1">
      <c r="A223" s="4" t="s">
        <v>8</v>
      </c>
      <c r="B223" s="10" t="s">
        <v>1805</v>
      </c>
      <c r="C223" s="4" t="s">
        <v>41</v>
      </c>
      <c r="D223" s="38" t="s">
        <v>1320</v>
      </c>
      <c r="E223" s="3">
        <v>6</v>
      </c>
      <c r="F223" s="3">
        <v>11</v>
      </c>
      <c r="G223" s="3">
        <v>2023</v>
      </c>
      <c r="H223" s="4" t="s">
        <v>86</v>
      </c>
      <c r="I223" s="7" t="s">
        <v>529</v>
      </c>
      <c r="J223" s="4" t="s">
        <v>61</v>
      </c>
      <c r="K223" s="3">
        <v>0</v>
      </c>
      <c r="L223" s="3">
        <v>0</v>
      </c>
      <c r="M223" s="4" t="s">
        <v>30</v>
      </c>
      <c r="N223" s="4">
        <v>0</v>
      </c>
      <c r="O223" s="4" t="s">
        <v>129</v>
      </c>
      <c r="P223" s="3" t="s">
        <v>52</v>
      </c>
      <c r="Q223" s="11">
        <v>15</v>
      </c>
      <c r="R223" s="3" t="str">
        <f>IF(Q223="","",IF(Q223&lt;4,"Crítico",IF(Q223&lt;9,"Alto",IF(Q223&lt;14,"Médio","Baixo"))))</f>
        <v>Baixo</v>
      </c>
      <c r="S223" s="5" t="s">
        <v>56</v>
      </c>
      <c r="T223" s="4" t="str">
        <f>IF(OR(Tabela1[[#This Row],[Grau de Risco]]="Médio",Tabela1[[#This Row],[Grau de Risco]]="Baixo"),"Não","Sim")</f>
        <v>Não</v>
      </c>
    </row>
    <row r="224" spans="1:20" hidden="1">
      <c r="A224" s="5" t="s">
        <v>7</v>
      </c>
      <c r="B224" s="10" t="s">
        <v>1800</v>
      </c>
      <c r="C224" s="4" t="s">
        <v>81</v>
      </c>
      <c r="D224" s="38" t="s">
        <v>1393</v>
      </c>
      <c r="E224" s="3">
        <v>26</v>
      </c>
      <c r="F224" s="3">
        <v>9</v>
      </c>
      <c r="G224" s="3">
        <v>2023</v>
      </c>
      <c r="H224" s="36" t="s">
        <v>82</v>
      </c>
      <c r="I224" s="7" t="s">
        <v>573</v>
      </c>
      <c r="J224" s="4" t="s">
        <v>84</v>
      </c>
      <c r="K224" s="3" t="s">
        <v>44</v>
      </c>
      <c r="L224" s="3"/>
      <c r="M224" s="4"/>
      <c r="N224" s="4"/>
      <c r="O224" s="4" t="s">
        <v>85</v>
      </c>
      <c r="P224" s="3"/>
      <c r="Q224" s="11">
        <v>15</v>
      </c>
      <c r="R224" s="3" t="s">
        <v>52</v>
      </c>
      <c r="S224" s="5" t="s">
        <v>40</v>
      </c>
      <c r="T224" s="4" t="str">
        <f>IF(OR(Tabela1[[#This Row],[Grau de Risco]]="Médio",Tabela1[[#This Row],[Grau de Risco]]="Baixo"),"Não","Sim")</f>
        <v>Não</v>
      </c>
    </row>
    <row r="225" spans="1:20" hidden="1">
      <c r="A225" s="4" t="s">
        <v>9</v>
      </c>
      <c r="B225" s="10" t="s">
        <v>1805</v>
      </c>
      <c r="C225" s="4" t="s">
        <v>81</v>
      </c>
      <c r="D225" s="38" t="s">
        <v>1320</v>
      </c>
      <c r="E225" s="3">
        <v>10</v>
      </c>
      <c r="F225" s="3">
        <v>7</v>
      </c>
      <c r="G225" s="3">
        <v>2023</v>
      </c>
      <c r="H225" s="36" t="s">
        <v>112</v>
      </c>
      <c r="I225" s="7" t="s">
        <v>602</v>
      </c>
      <c r="J225" s="4" t="s">
        <v>54</v>
      </c>
      <c r="K225" s="3">
        <v>10</v>
      </c>
      <c r="L225" s="3"/>
      <c r="M225" s="4" t="s">
        <v>30</v>
      </c>
      <c r="N225" s="4"/>
      <c r="O225" s="4" t="s">
        <v>101</v>
      </c>
      <c r="P225" s="3" t="s">
        <v>31</v>
      </c>
      <c r="Q225" s="11">
        <v>11</v>
      </c>
      <c r="R225" s="2" t="s">
        <v>31</v>
      </c>
      <c r="S225" s="10" t="s">
        <v>63</v>
      </c>
      <c r="T225" s="4" t="str">
        <f>IF(OR(Tabela1[[#This Row],[Grau de Risco]]="Médio",Tabela1[[#This Row],[Grau de Risco]]="Baixo"),"Não","Sim")</f>
        <v>Não</v>
      </c>
    </row>
    <row r="226" spans="1:20" hidden="1">
      <c r="A226" s="4" t="s">
        <v>8</v>
      </c>
      <c r="B226" s="10" t="s">
        <v>1793</v>
      </c>
      <c r="C226" s="4" t="s">
        <v>81</v>
      </c>
      <c r="D226" s="5" t="s">
        <v>36</v>
      </c>
      <c r="E226" s="3">
        <v>12</v>
      </c>
      <c r="F226" s="3">
        <v>8</v>
      </c>
      <c r="G226" s="3">
        <v>2023</v>
      </c>
      <c r="H226" s="36" t="s">
        <v>375</v>
      </c>
      <c r="I226" s="7" t="s">
        <v>651</v>
      </c>
      <c r="J226" s="4" t="s">
        <v>69</v>
      </c>
      <c r="K226" s="3">
        <v>0</v>
      </c>
      <c r="L226" s="3">
        <v>0</v>
      </c>
      <c r="M226" s="4" t="s">
        <v>30</v>
      </c>
      <c r="N226" s="4">
        <v>0</v>
      </c>
      <c r="O226" s="4" t="s">
        <v>74</v>
      </c>
      <c r="P226" s="3" t="s">
        <v>31</v>
      </c>
      <c r="Q226" s="11">
        <v>11</v>
      </c>
      <c r="R226" s="2" t="s">
        <v>31</v>
      </c>
      <c r="S226" s="10" t="s">
        <v>32</v>
      </c>
      <c r="T226" s="4" t="str">
        <f>IF(OR(Tabela1[[#This Row],[Grau de Risco]]="Médio",Tabela1[[#This Row],[Grau de Risco]]="Baixo"),"Não","Sim")</f>
        <v>Não</v>
      </c>
    </row>
    <row r="227" spans="1:20" hidden="1">
      <c r="A227" s="4" t="s">
        <v>2</v>
      </c>
      <c r="B227" s="10" t="s">
        <v>1793</v>
      </c>
      <c r="C227" s="4" t="s">
        <v>81</v>
      </c>
      <c r="D227" s="38" t="s">
        <v>1320</v>
      </c>
      <c r="E227" s="3">
        <v>17</v>
      </c>
      <c r="F227" s="3">
        <v>7</v>
      </c>
      <c r="G227" s="3">
        <v>2023</v>
      </c>
      <c r="H227" s="5" t="s">
        <v>48</v>
      </c>
      <c r="I227" s="7" t="s">
        <v>662</v>
      </c>
      <c r="J227" s="4" t="s">
        <v>61</v>
      </c>
      <c r="K227" s="3">
        <v>15</v>
      </c>
      <c r="L227" s="3"/>
      <c r="M227" s="4" t="s">
        <v>30</v>
      </c>
      <c r="N227" s="4"/>
      <c r="O227" s="4" t="s">
        <v>45</v>
      </c>
      <c r="P227" s="3" t="s">
        <v>31</v>
      </c>
      <c r="Q227" s="11">
        <v>11</v>
      </c>
      <c r="R227" s="3" t="str">
        <f>IF(Q227="","",IF(Q227&lt;4,"Crítico",IF(Q227&lt;9,"Alto",IF(Q227&lt;14,"Médio","Baixo"))))</f>
        <v>Médio</v>
      </c>
      <c r="S227" s="5" t="s">
        <v>56</v>
      </c>
      <c r="T227" s="4" t="str">
        <f>IF(OR(Tabela1[[#This Row],[Grau de Risco]]="Médio",Tabela1[[#This Row],[Grau de Risco]]="Baixo"),"Não","Sim")</f>
        <v>Não</v>
      </c>
    </row>
    <row r="228" spans="1:20" hidden="1">
      <c r="A228" s="4" t="s">
        <v>2</v>
      </c>
      <c r="B228" s="10" t="s">
        <v>1805</v>
      </c>
      <c r="C228" s="4" t="s">
        <v>252</v>
      </c>
      <c r="D228" s="38" t="s">
        <v>47</v>
      </c>
      <c r="E228" s="3">
        <v>19</v>
      </c>
      <c r="F228" s="3">
        <v>5</v>
      </c>
      <c r="G228" s="3">
        <v>2023</v>
      </c>
      <c r="H228" s="5" t="s">
        <v>71</v>
      </c>
      <c r="I228" s="7" t="s">
        <v>687</v>
      </c>
      <c r="J228" s="4" t="s">
        <v>93</v>
      </c>
      <c r="K228" s="3">
        <v>44</v>
      </c>
      <c r="L228" s="3"/>
      <c r="M228" s="4" t="s">
        <v>30</v>
      </c>
      <c r="N228" s="4">
        <v>0</v>
      </c>
      <c r="O228" s="4" t="s">
        <v>45</v>
      </c>
      <c r="P228" s="3" t="s">
        <v>31</v>
      </c>
      <c r="Q228" s="11">
        <v>11</v>
      </c>
      <c r="R228" s="3" t="s">
        <v>31</v>
      </c>
      <c r="S228" s="5" t="s">
        <v>56</v>
      </c>
      <c r="T228" s="4" t="str">
        <f>IF(OR(Tabela1[[#This Row],[Grau de Risco]]="Médio",Tabela1[[#This Row],[Grau de Risco]]="Baixo"),"Não","Sim")</f>
        <v>Não</v>
      </c>
    </row>
    <row r="229" spans="1:20">
      <c r="A229" s="4" t="s">
        <v>7</v>
      </c>
      <c r="B229" s="10" t="s">
        <v>1809</v>
      </c>
      <c r="C229" s="4" t="s">
        <v>81</v>
      </c>
      <c r="D229" s="5" t="s">
        <v>148</v>
      </c>
      <c r="E229" s="3">
        <v>25</v>
      </c>
      <c r="F229" s="3">
        <v>8</v>
      </c>
      <c r="G229" s="3">
        <v>2024</v>
      </c>
      <c r="H229" s="36" t="s">
        <v>33</v>
      </c>
      <c r="I229" s="7" t="s">
        <v>723</v>
      </c>
      <c r="J229" s="4" t="s">
        <v>229</v>
      </c>
      <c r="K229" s="3" t="s">
        <v>62</v>
      </c>
      <c r="L229" s="3"/>
      <c r="M229" s="4"/>
      <c r="N229" s="4"/>
      <c r="O229" s="4" t="s">
        <v>85</v>
      </c>
      <c r="P229" s="3"/>
      <c r="Q229" s="11">
        <v>15</v>
      </c>
      <c r="R229" s="3" t="s">
        <v>52</v>
      </c>
      <c r="S229" s="5" t="s">
        <v>40</v>
      </c>
      <c r="T229" s="4" t="str">
        <f>IF(OR(Tabela1[[#This Row],[Grau de Risco]]="Médio",Tabela1[[#This Row],[Grau de Risco]]="Baixo"),"Não","Sim")</f>
        <v>Não</v>
      </c>
    </row>
    <row r="230" spans="1:20">
      <c r="A230" s="4" t="s">
        <v>10</v>
      </c>
      <c r="B230" s="10" t="s">
        <v>1809</v>
      </c>
      <c r="C230" s="4" t="s">
        <v>81</v>
      </c>
      <c r="D230" s="38" t="s">
        <v>1393</v>
      </c>
      <c r="E230" s="3">
        <v>4</v>
      </c>
      <c r="F230" s="3">
        <v>6</v>
      </c>
      <c r="G230" s="3">
        <v>2024</v>
      </c>
      <c r="H230" s="36" t="s">
        <v>66</v>
      </c>
      <c r="I230" s="7" t="s">
        <v>928</v>
      </c>
      <c r="J230" s="4" t="s">
        <v>111</v>
      </c>
      <c r="K230" s="3">
        <v>15</v>
      </c>
      <c r="L230" s="3">
        <v>0</v>
      </c>
      <c r="M230" s="4" t="s">
        <v>25</v>
      </c>
      <c r="N230" s="4">
        <v>0</v>
      </c>
      <c r="O230" s="4" t="s">
        <v>386</v>
      </c>
      <c r="P230" s="3" t="s">
        <v>31</v>
      </c>
      <c r="Q230" s="11">
        <v>11</v>
      </c>
      <c r="R230" s="3" t="s">
        <v>31</v>
      </c>
      <c r="S230" s="10" t="s">
        <v>63</v>
      </c>
      <c r="T230" s="4" t="str">
        <f>IF(OR(Tabela1[[#This Row],[Grau de Risco]]="Médio",Tabela1[[#This Row],[Grau de Risco]]="Baixo"),"Não","Sim")</f>
        <v>Não</v>
      </c>
    </row>
    <row r="231" spans="1:20" hidden="1">
      <c r="A231" s="4" t="s">
        <v>7</v>
      </c>
      <c r="B231" s="10" t="s">
        <v>1793</v>
      </c>
      <c r="C231" s="4" t="s">
        <v>81</v>
      </c>
      <c r="D231" s="38" t="s">
        <v>1393</v>
      </c>
      <c r="E231" s="3">
        <v>27</v>
      </c>
      <c r="F231" s="3">
        <v>8</v>
      </c>
      <c r="G231" s="3">
        <v>2024</v>
      </c>
      <c r="H231" s="36" t="s">
        <v>33</v>
      </c>
      <c r="I231" s="7" t="s">
        <v>929</v>
      </c>
      <c r="J231" s="4" t="s">
        <v>111</v>
      </c>
      <c r="K231" s="3" t="s">
        <v>62</v>
      </c>
      <c r="L231" s="3"/>
      <c r="M231" s="4"/>
      <c r="N231" s="4"/>
      <c r="O231" s="4" t="s">
        <v>55</v>
      </c>
      <c r="P231" s="3"/>
      <c r="Q231" s="11">
        <v>15</v>
      </c>
      <c r="R231" s="3" t="s">
        <v>52</v>
      </c>
      <c r="S231" s="10" t="s">
        <v>4</v>
      </c>
      <c r="T231" s="4" t="str">
        <f>IF(OR(Tabela1[[#This Row],[Grau de Risco]]="Médio",Tabela1[[#This Row],[Grau de Risco]]="Baixo"),"Não","Sim")</f>
        <v>Não</v>
      </c>
    </row>
    <row r="232" spans="1:20" hidden="1">
      <c r="A232" s="4" t="s">
        <v>7</v>
      </c>
      <c r="B232" s="10" t="s">
        <v>1797</v>
      </c>
      <c r="C232" s="4" t="s">
        <v>81</v>
      </c>
      <c r="D232" s="38" t="s">
        <v>1393</v>
      </c>
      <c r="E232" s="3">
        <v>30</v>
      </c>
      <c r="F232" s="3">
        <v>1</v>
      </c>
      <c r="G232" s="3">
        <v>2024</v>
      </c>
      <c r="H232" s="36" t="s">
        <v>33</v>
      </c>
      <c r="I232" s="7" t="s">
        <v>966</v>
      </c>
      <c r="J232" s="4" t="s">
        <v>229</v>
      </c>
      <c r="K232" s="3" t="s">
        <v>62</v>
      </c>
      <c r="L232" s="3"/>
      <c r="M232" s="4"/>
      <c r="N232" s="4"/>
      <c r="O232" s="4" t="s">
        <v>4</v>
      </c>
      <c r="P232" s="3"/>
      <c r="Q232" s="11">
        <v>16</v>
      </c>
      <c r="R232" s="3" t="s">
        <v>52</v>
      </c>
      <c r="S232" s="10" t="s">
        <v>63</v>
      </c>
      <c r="T232" s="4" t="str">
        <f>IF(OR(Tabela1[[#This Row],[Grau de Risco]]="Médio",Tabela1[[#This Row],[Grau de Risco]]="Baixo"),"Não","Sim")</f>
        <v>Não</v>
      </c>
    </row>
    <row r="233" spans="1:20" hidden="1">
      <c r="A233" s="4" t="s">
        <v>8</v>
      </c>
      <c r="B233" s="10" t="s">
        <v>1800</v>
      </c>
      <c r="C233" s="4" t="s">
        <v>81</v>
      </c>
      <c r="D233" s="38" t="s">
        <v>47</v>
      </c>
      <c r="E233" s="3">
        <v>5</v>
      </c>
      <c r="F233" s="3">
        <v>4</v>
      </c>
      <c r="G233" s="3">
        <v>2024</v>
      </c>
      <c r="H233" s="5" t="s">
        <v>71</v>
      </c>
      <c r="I233" s="7" t="s">
        <v>994</v>
      </c>
      <c r="J233" s="4" t="s">
        <v>54</v>
      </c>
      <c r="K233" s="3">
        <v>0</v>
      </c>
      <c r="L233" s="3" t="s">
        <v>80</v>
      </c>
      <c r="M233" s="4" t="s">
        <v>30</v>
      </c>
      <c r="N233" s="4" t="s">
        <v>80</v>
      </c>
      <c r="O233" s="4" t="s">
        <v>4</v>
      </c>
      <c r="P233" s="3" t="s">
        <v>52</v>
      </c>
      <c r="Q233" s="11">
        <v>16</v>
      </c>
      <c r="R233" s="3" t="s">
        <v>52</v>
      </c>
      <c r="S233" s="5" t="s">
        <v>56</v>
      </c>
      <c r="T233" s="4" t="str">
        <f>IF(OR(Tabela1[[#This Row],[Grau de Risco]]="Médio",Tabela1[[#This Row],[Grau de Risco]]="Baixo"),"Não","Sim")</f>
        <v>Não</v>
      </c>
    </row>
    <row r="234" spans="1:20" hidden="1">
      <c r="A234" s="5" t="s">
        <v>7</v>
      </c>
      <c r="B234" s="10" t="s">
        <v>1800</v>
      </c>
      <c r="C234" s="4" t="s">
        <v>81</v>
      </c>
      <c r="D234" s="5" t="s">
        <v>36</v>
      </c>
      <c r="E234" s="3">
        <v>6</v>
      </c>
      <c r="F234" s="3">
        <v>4</v>
      </c>
      <c r="G234" s="3">
        <v>2024</v>
      </c>
      <c r="H234" s="5" t="s">
        <v>71</v>
      </c>
      <c r="I234" s="7" t="s">
        <v>1591</v>
      </c>
      <c r="J234" s="4" t="s">
        <v>54</v>
      </c>
      <c r="K234" s="3" t="s">
        <v>44</v>
      </c>
      <c r="L234" s="3" t="s">
        <v>44</v>
      </c>
      <c r="M234" s="4" t="s">
        <v>30</v>
      </c>
      <c r="N234" s="4" t="s">
        <v>44</v>
      </c>
      <c r="O234" s="4"/>
      <c r="P234" s="3" t="s">
        <v>52</v>
      </c>
      <c r="Q234" s="11">
        <v>15</v>
      </c>
      <c r="R234" s="3" t="s">
        <v>52</v>
      </c>
      <c r="S234" s="10" t="s">
        <v>32</v>
      </c>
      <c r="T234" s="4" t="str">
        <f>IF(OR(Tabela1[[#This Row],[Grau de Risco]]="Médio",Tabela1[[#This Row],[Grau de Risco]]="Baixo"),"Não","Sim")</f>
        <v>Não</v>
      </c>
    </row>
    <row r="235" spans="1:20" hidden="1">
      <c r="A235" s="4" t="s">
        <v>8</v>
      </c>
      <c r="B235" s="10" t="s">
        <v>1800</v>
      </c>
      <c r="C235" s="4" t="s">
        <v>41</v>
      </c>
      <c r="D235" s="38" t="s">
        <v>1382</v>
      </c>
      <c r="E235" s="3">
        <v>24</v>
      </c>
      <c r="F235" s="3">
        <v>4</v>
      </c>
      <c r="G235" s="3">
        <v>2024</v>
      </c>
      <c r="H235" s="5" t="s">
        <v>123</v>
      </c>
      <c r="I235" s="7" t="s">
        <v>1592</v>
      </c>
      <c r="J235" s="4" t="s">
        <v>54</v>
      </c>
      <c r="K235" s="3">
        <v>0</v>
      </c>
      <c r="L235" s="3"/>
      <c r="M235" s="4"/>
      <c r="N235" s="4"/>
      <c r="O235" s="4"/>
      <c r="P235" s="3" t="s">
        <v>52</v>
      </c>
      <c r="Q235" s="11">
        <v>10</v>
      </c>
      <c r="R235" s="3" t="s">
        <v>31</v>
      </c>
      <c r="S235" s="5" t="s">
        <v>56</v>
      </c>
      <c r="T235" s="4" t="str">
        <f>IF(OR(Tabela1[[#This Row],[Grau de Risco]]="Médio",Tabela1[[#This Row],[Grau de Risco]]="Baixo"),"Não","Sim")</f>
        <v>Não</v>
      </c>
    </row>
    <row r="236" spans="1:20" hidden="1">
      <c r="A236" s="4" t="s">
        <v>2</v>
      </c>
      <c r="B236" s="10" t="s">
        <v>1800</v>
      </c>
      <c r="C236" s="4" t="s">
        <v>252</v>
      </c>
      <c r="D236" s="38" t="s">
        <v>1320</v>
      </c>
      <c r="E236" s="3">
        <v>2</v>
      </c>
      <c r="F236" s="3">
        <v>9</v>
      </c>
      <c r="G236" s="3">
        <v>2024</v>
      </c>
      <c r="H236" s="5" t="s">
        <v>123</v>
      </c>
      <c r="I236" s="7" t="s">
        <v>1031</v>
      </c>
      <c r="J236" s="4" t="s">
        <v>54</v>
      </c>
      <c r="K236" s="3">
        <v>2</v>
      </c>
      <c r="L236" s="3" t="s">
        <v>80</v>
      </c>
      <c r="M236" s="4" t="s">
        <v>30</v>
      </c>
      <c r="N236" s="4" t="s">
        <v>80</v>
      </c>
      <c r="O236" s="4" t="s">
        <v>45</v>
      </c>
      <c r="P236" s="3" t="s">
        <v>31</v>
      </c>
      <c r="Q236" s="11">
        <v>10</v>
      </c>
      <c r="R236" s="3" t="s">
        <v>31</v>
      </c>
      <c r="S236" s="5" t="s">
        <v>56</v>
      </c>
      <c r="T236" s="4" t="str">
        <f>IF(OR(Tabela1[[#This Row],[Grau de Risco]]="Médio",Tabela1[[#This Row],[Grau de Risco]]="Baixo"),"Não","Sim")</f>
        <v>Não</v>
      </c>
    </row>
    <row r="237" spans="1:20" hidden="1">
      <c r="A237" s="4" t="s">
        <v>8</v>
      </c>
      <c r="B237" s="10" t="s">
        <v>1800</v>
      </c>
      <c r="C237" s="4" t="s">
        <v>252</v>
      </c>
      <c r="D237" s="38" t="s">
        <v>1382</v>
      </c>
      <c r="E237" s="3">
        <v>20</v>
      </c>
      <c r="F237" s="3">
        <v>3</v>
      </c>
      <c r="G237" s="3">
        <v>2024</v>
      </c>
      <c r="H237" s="4" t="s">
        <v>27</v>
      </c>
      <c r="I237" s="7" t="s">
        <v>1069</v>
      </c>
      <c r="J237" s="4" t="s">
        <v>61</v>
      </c>
      <c r="K237" s="3">
        <v>0</v>
      </c>
      <c r="L237" s="3">
        <v>0</v>
      </c>
      <c r="M237" s="4" t="s">
        <v>30</v>
      </c>
      <c r="N237" s="4">
        <v>0</v>
      </c>
      <c r="O237" s="4" t="s">
        <v>70</v>
      </c>
      <c r="P237" s="3" t="s">
        <v>52</v>
      </c>
      <c r="Q237" s="11">
        <v>15</v>
      </c>
      <c r="R237" s="3" t="s">
        <v>52</v>
      </c>
      <c r="S237" s="10" t="s">
        <v>4</v>
      </c>
      <c r="T237" s="4" t="str">
        <f>IF(OR(Tabela1[[#This Row],[Grau de Risco]]="Médio",Tabela1[[#This Row],[Grau de Risco]]="Baixo"),"Não","Sim")</f>
        <v>Não</v>
      </c>
    </row>
    <row r="238" spans="1:20">
      <c r="A238" s="5" t="s">
        <v>7</v>
      </c>
      <c r="B238" s="10" t="s">
        <v>1809</v>
      </c>
      <c r="C238" s="28" t="s">
        <v>41</v>
      </c>
      <c r="D238" s="38" t="s">
        <v>1382</v>
      </c>
      <c r="E238" s="32">
        <v>19</v>
      </c>
      <c r="F238" s="32">
        <v>3</v>
      </c>
      <c r="G238" s="32">
        <v>2025</v>
      </c>
      <c r="H238" s="5" t="s">
        <v>71</v>
      </c>
      <c r="I238" s="29" t="s">
        <v>1813</v>
      </c>
      <c r="J238" s="28" t="s">
        <v>38</v>
      </c>
      <c r="K238" s="32" t="s">
        <v>1581</v>
      </c>
      <c r="L238" s="32" t="s">
        <v>44</v>
      </c>
      <c r="M238" s="28" t="s">
        <v>30</v>
      </c>
      <c r="N238" s="28" t="s">
        <v>44</v>
      </c>
      <c r="O238" s="28"/>
      <c r="P238" s="32"/>
      <c r="Q238" s="35">
        <v>10</v>
      </c>
      <c r="R238" s="32" t="s">
        <v>31</v>
      </c>
      <c r="S238" s="5" t="s">
        <v>56</v>
      </c>
      <c r="T238" s="4" t="str">
        <f>IF(OR(Tabela1[[#This Row],[Grau de Risco]]="Médio",Tabela1[[#This Row],[Grau de Risco]]="Baixo"),"Não","Sim")</f>
        <v>Não</v>
      </c>
    </row>
    <row r="239" spans="1:20" hidden="1">
      <c r="A239" s="28" t="s">
        <v>8</v>
      </c>
      <c r="B239" s="33" t="s">
        <v>1800</v>
      </c>
      <c r="C239" s="28" t="s">
        <v>252</v>
      </c>
      <c r="D239" s="38" t="s">
        <v>1409</v>
      </c>
      <c r="E239" s="32">
        <v>27</v>
      </c>
      <c r="F239" s="32">
        <v>3</v>
      </c>
      <c r="G239" s="32">
        <v>2025</v>
      </c>
      <c r="H239" s="38" t="s">
        <v>107</v>
      </c>
      <c r="I239" s="29" t="s">
        <v>1208</v>
      </c>
      <c r="J239" s="28" t="s">
        <v>61</v>
      </c>
      <c r="K239" s="32" t="s">
        <v>80</v>
      </c>
      <c r="L239" s="32" t="s">
        <v>80</v>
      </c>
      <c r="M239" s="28" t="s">
        <v>30</v>
      </c>
      <c r="N239" s="28" t="s">
        <v>80</v>
      </c>
      <c r="O239" s="28" t="s">
        <v>4</v>
      </c>
      <c r="P239" s="32" t="s">
        <v>52</v>
      </c>
      <c r="Q239" s="35">
        <v>15</v>
      </c>
      <c r="R239" s="32" t="s">
        <v>52</v>
      </c>
      <c r="S239" s="33" t="s">
        <v>4</v>
      </c>
      <c r="T239" s="4" t="str">
        <f>IF(OR(Tabela1[[#This Row],[Grau de Risco]]="Médio",Tabela1[[#This Row],[Grau de Risco]]="Baixo"),"Não","Sim")</f>
        <v>Não</v>
      </c>
    </row>
    <row r="240" spans="1:20" hidden="1">
      <c r="A240" s="28" t="s">
        <v>11</v>
      </c>
      <c r="B240" s="33" t="s">
        <v>1800</v>
      </c>
      <c r="C240" s="28" t="s">
        <v>81</v>
      </c>
      <c r="D240" s="38" t="s">
        <v>1320</v>
      </c>
      <c r="E240" s="32">
        <v>31</v>
      </c>
      <c r="F240" s="32">
        <v>3</v>
      </c>
      <c r="G240" s="32">
        <v>2025</v>
      </c>
      <c r="H240" s="38" t="s">
        <v>112</v>
      </c>
      <c r="I240" s="29" t="s">
        <v>1213</v>
      </c>
      <c r="J240" s="28" t="s">
        <v>93</v>
      </c>
      <c r="K240" s="32" t="s">
        <v>80</v>
      </c>
      <c r="L240" s="32" t="s">
        <v>80</v>
      </c>
      <c r="M240" s="28" t="s">
        <v>30</v>
      </c>
      <c r="N240" s="28" t="s">
        <v>80</v>
      </c>
      <c r="O240" s="28" t="s">
        <v>4</v>
      </c>
      <c r="P240" s="32" t="s">
        <v>102</v>
      </c>
      <c r="Q240" s="35">
        <v>7</v>
      </c>
      <c r="R240" s="32" t="s">
        <v>102</v>
      </c>
      <c r="S240" s="33" t="s">
        <v>63</v>
      </c>
      <c r="T240" s="4" t="str">
        <f>IF(OR(Tabela1[[#This Row],[Grau de Risco]]="Médio",Tabela1[[#This Row],[Grau de Risco]]="Baixo"),"Não","Sim")</f>
        <v>Sim</v>
      </c>
    </row>
    <row r="241" spans="1:20" hidden="1">
      <c r="A241" s="28" t="s">
        <v>8</v>
      </c>
      <c r="B241" s="33" t="s">
        <v>1800</v>
      </c>
      <c r="C241" s="28" t="s">
        <v>81</v>
      </c>
      <c r="D241" s="38" t="s">
        <v>47</v>
      </c>
      <c r="E241" s="32">
        <v>13</v>
      </c>
      <c r="F241" s="32">
        <v>6</v>
      </c>
      <c r="G241" s="32">
        <v>2025</v>
      </c>
      <c r="H241" s="38" t="s">
        <v>71</v>
      </c>
      <c r="I241" s="29" t="s">
        <v>1302</v>
      </c>
      <c r="J241" s="28" t="s">
        <v>76</v>
      </c>
      <c r="K241" s="32" t="s">
        <v>80</v>
      </c>
      <c r="L241" s="32" t="s">
        <v>80</v>
      </c>
      <c r="M241" s="28" t="s">
        <v>30</v>
      </c>
      <c r="N241" s="28" t="s">
        <v>80</v>
      </c>
      <c r="O241" s="28" t="s">
        <v>4</v>
      </c>
      <c r="P241" s="32" t="s">
        <v>31</v>
      </c>
      <c r="Q241" s="35">
        <v>11</v>
      </c>
      <c r="R241" s="32" t="s">
        <v>31</v>
      </c>
      <c r="S241" s="33" t="s">
        <v>32</v>
      </c>
      <c r="T241" s="4" t="str">
        <f>IF(OR(Tabela1[[#This Row],[Grau de Risco]]="Médio",Tabela1[[#This Row],[Grau de Risco]]="Baixo"),"Não","Sim")</f>
        <v>Não</v>
      </c>
    </row>
    <row r="242" spans="1:20" hidden="1">
      <c r="A242" s="4" t="s">
        <v>7</v>
      </c>
      <c r="B242" s="20" t="s">
        <v>1797</v>
      </c>
      <c r="C242" s="4" t="s">
        <v>41</v>
      </c>
      <c r="D242" s="38" t="s">
        <v>1382</v>
      </c>
      <c r="E242" s="18">
        <v>2</v>
      </c>
      <c r="F242" s="18">
        <v>7</v>
      </c>
      <c r="G242" s="18">
        <v>2025</v>
      </c>
      <c r="H242" s="5" t="s">
        <v>71</v>
      </c>
      <c r="I242" s="7" t="s">
        <v>1593</v>
      </c>
      <c r="J242" s="4" t="s">
        <v>93</v>
      </c>
      <c r="K242" s="3">
        <v>0</v>
      </c>
      <c r="L242" s="3">
        <v>0</v>
      </c>
      <c r="M242" s="4" t="s">
        <v>30</v>
      </c>
      <c r="N242" s="4">
        <v>0</v>
      </c>
      <c r="O242" s="4"/>
      <c r="P242" s="3"/>
      <c r="Q242" s="11">
        <v>15</v>
      </c>
      <c r="R242" s="3" t="s">
        <v>52</v>
      </c>
      <c r="S242" s="10" t="s">
        <v>63</v>
      </c>
      <c r="T242" s="4" t="str">
        <f>IF(OR(Tabela1[[#This Row],[Grau de Risco]]="Médio",Tabela1[[#This Row],[Grau de Risco]]="Baixo"),"Não","Sim")</f>
        <v>Não</v>
      </c>
    </row>
    <row r="243" spans="1:20" hidden="1">
      <c r="A243" s="4" t="s">
        <v>1110</v>
      </c>
      <c r="B243" s="20" t="s">
        <v>1797</v>
      </c>
      <c r="C243" s="15"/>
      <c r="D243" s="38" t="s">
        <v>47</v>
      </c>
      <c r="E243" s="18">
        <v>4</v>
      </c>
      <c r="F243" s="18">
        <v>7</v>
      </c>
      <c r="G243" s="18">
        <v>2025</v>
      </c>
      <c r="H243" s="5" t="s">
        <v>209</v>
      </c>
      <c r="I243" s="7" t="s">
        <v>1594</v>
      </c>
      <c r="J243" s="4" t="s">
        <v>29</v>
      </c>
      <c r="K243" s="3" t="s">
        <v>44</v>
      </c>
      <c r="L243" s="3" t="s">
        <v>44</v>
      </c>
      <c r="M243" s="4"/>
      <c r="N243" s="4" t="s">
        <v>44</v>
      </c>
      <c r="O243" s="4"/>
      <c r="P243" s="3"/>
      <c r="Q243" s="11">
        <v>14</v>
      </c>
      <c r="R243" s="3" t="s">
        <v>52</v>
      </c>
      <c r="S243" s="10" t="s">
        <v>63</v>
      </c>
      <c r="T243" s="4" t="str">
        <f>IF(OR(Tabela1[[#This Row],[Grau de Risco]]="Médio",Tabela1[[#This Row],[Grau de Risco]]="Baixo"),"Não","Sim")</f>
        <v>Não</v>
      </c>
    </row>
    <row r="244" spans="1:20" hidden="1">
      <c r="A244" s="28" t="s">
        <v>9</v>
      </c>
      <c r="B244" s="82" t="s">
        <v>1797</v>
      </c>
      <c r="C244" s="64" t="s">
        <v>41</v>
      </c>
      <c r="D244" s="38" t="s">
        <v>1393</v>
      </c>
      <c r="E244" s="84">
        <v>8</v>
      </c>
      <c r="F244" s="84">
        <v>7</v>
      </c>
      <c r="G244" s="84">
        <v>2025</v>
      </c>
      <c r="H244" s="4" t="s">
        <v>86</v>
      </c>
      <c r="I244" s="29" t="s">
        <v>1344</v>
      </c>
      <c r="J244" s="28" t="s">
        <v>111</v>
      </c>
      <c r="K244" s="32">
        <v>7</v>
      </c>
      <c r="L244" s="32"/>
      <c r="M244" s="28"/>
      <c r="N244" s="28"/>
      <c r="O244" s="28" t="s">
        <v>101</v>
      </c>
      <c r="P244" s="32" t="s">
        <v>31</v>
      </c>
      <c r="Q244" s="35">
        <v>9</v>
      </c>
      <c r="R244" s="32" t="s">
        <v>31</v>
      </c>
      <c r="S244" s="33" t="s">
        <v>63</v>
      </c>
      <c r="T244" s="4" t="str">
        <f>IF(OR(Tabela1[[#This Row],[Grau de Risco]]="Médio",Tabela1[[#This Row],[Grau de Risco]]="Baixo"),"Não","Sim")</f>
        <v>Não</v>
      </c>
    </row>
    <row r="245" spans="1:20" hidden="1">
      <c r="A245" s="28" t="s">
        <v>7</v>
      </c>
      <c r="B245" s="82" t="s">
        <v>1797</v>
      </c>
      <c r="C245" s="64" t="s">
        <v>81</v>
      </c>
      <c r="D245" s="38" t="s">
        <v>1320</v>
      </c>
      <c r="E245" s="84">
        <v>7</v>
      </c>
      <c r="F245" s="84">
        <v>7</v>
      </c>
      <c r="G245" s="84">
        <v>2025</v>
      </c>
      <c r="H245" s="5" t="s">
        <v>71</v>
      </c>
      <c r="I245" s="29" t="s">
        <v>1353</v>
      </c>
      <c r="J245" s="28" t="s">
        <v>111</v>
      </c>
      <c r="K245" s="32"/>
      <c r="L245" s="32"/>
      <c r="M245" s="28"/>
      <c r="N245" s="28"/>
      <c r="O245" s="28" t="s">
        <v>4</v>
      </c>
      <c r="P245" s="32"/>
      <c r="Q245" s="35">
        <v>15</v>
      </c>
      <c r="R245" s="32" t="s">
        <v>52</v>
      </c>
      <c r="S245" s="33" t="s">
        <v>56</v>
      </c>
      <c r="T245" s="4" t="str">
        <f>IF(OR(Tabela1[[#This Row],[Grau de Risco]]="Médio",Tabela1[[#This Row],[Grau de Risco]]="Baixo"),"Não","Sim")</f>
        <v>Não</v>
      </c>
    </row>
    <row r="246" spans="1:20" hidden="1">
      <c r="A246" s="28" t="s">
        <v>7</v>
      </c>
      <c r="B246" s="82" t="s">
        <v>1797</v>
      </c>
      <c r="C246" s="64" t="s">
        <v>252</v>
      </c>
      <c r="D246" s="28" t="s">
        <v>1382</v>
      </c>
      <c r="E246" s="84">
        <v>30</v>
      </c>
      <c r="F246" s="84">
        <v>7</v>
      </c>
      <c r="G246" s="84">
        <v>2025</v>
      </c>
      <c r="H246" s="34" t="s">
        <v>48</v>
      </c>
      <c r="I246" s="29" t="s">
        <v>1369</v>
      </c>
      <c r="J246" s="28" t="s">
        <v>91</v>
      </c>
      <c r="K246" s="32"/>
      <c r="L246" s="32"/>
      <c r="M246" s="28"/>
      <c r="N246" s="28"/>
      <c r="O246" s="28" t="s">
        <v>45</v>
      </c>
      <c r="P246" s="32"/>
      <c r="Q246" s="35">
        <v>15</v>
      </c>
      <c r="R246" s="32" t="s">
        <v>52</v>
      </c>
      <c r="S246" s="82" t="s">
        <v>56</v>
      </c>
      <c r="T246" s="4" t="str">
        <f>IF(OR(Tabela1[[#This Row],[Grau de Risco]]="Médio",Tabela1[[#This Row],[Grau de Risco]]="Baixo"),"Não","Sim")</f>
        <v>Não</v>
      </c>
    </row>
    <row r="247" spans="1:20" hidden="1">
      <c r="A247" s="28" t="s">
        <v>7</v>
      </c>
      <c r="B247" s="82" t="s">
        <v>1800</v>
      </c>
      <c r="C247" s="28" t="s">
        <v>252</v>
      </c>
      <c r="D247" s="38" t="s">
        <v>1382</v>
      </c>
      <c r="E247" s="84">
        <v>13</v>
      </c>
      <c r="F247" s="84">
        <v>8</v>
      </c>
      <c r="G247" s="84">
        <v>2025</v>
      </c>
      <c r="H247" s="38" t="s">
        <v>27</v>
      </c>
      <c r="I247" s="29" t="s">
        <v>1396</v>
      </c>
      <c r="J247" s="28" t="s">
        <v>84</v>
      </c>
      <c r="K247" s="32" t="s">
        <v>80</v>
      </c>
      <c r="L247" s="32" t="s">
        <v>80</v>
      </c>
      <c r="M247" s="28" t="s">
        <v>30</v>
      </c>
      <c r="N247" s="28" t="s">
        <v>80</v>
      </c>
      <c r="O247" s="28" t="s">
        <v>70</v>
      </c>
      <c r="P247" s="32" t="s">
        <v>44</v>
      </c>
      <c r="Q247" s="35">
        <v>14</v>
      </c>
      <c r="R247" s="32" t="s">
        <v>52</v>
      </c>
      <c r="S247" s="57" t="s">
        <v>1261</v>
      </c>
      <c r="T247" s="4" t="str">
        <f>IF(OR(Tabela1[[#This Row],[Grau de Risco]]="Médio",Tabela1[[#This Row],[Grau de Risco]]="Baixo"),"Não","Sim")</f>
        <v>Não</v>
      </c>
    </row>
    <row r="248" spans="1:20" hidden="1">
      <c r="A248" s="4" t="s">
        <v>9</v>
      </c>
      <c r="B248" s="20" t="s">
        <v>1797</v>
      </c>
      <c r="C248" s="15" t="s">
        <v>252</v>
      </c>
      <c r="D248" s="5" t="s">
        <v>1409</v>
      </c>
      <c r="E248" s="18">
        <v>28</v>
      </c>
      <c r="F248" s="18">
        <v>8</v>
      </c>
      <c r="G248" s="18">
        <v>2025</v>
      </c>
      <c r="H248" s="5" t="s">
        <v>112</v>
      </c>
      <c r="I248" s="7" t="s">
        <v>1410</v>
      </c>
      <c r="J248" s="4" t="s">
        <v>93</v>
      </c>
      <c r="K248" s="3">
        <v>1</v>
      </c>
      <c r="L248" s="3">
        <v>0</v>
      </c>
      <c r="M248" s="4" t="s">
        <v>30</v>
      </c>
      <c r="N248" s="4">
        <v>0</v>
      </c>
      <c r="O248" s="4" t="s">
        <v>1117</v>
      </c>
      <c r="P248" s="3" t="s">
        <v>52</v>
      </c>
      <c r="Q248" s="11">
        <v>11</v>
      </c>
      <c r="R248" s="3" t="s">
        <v>31</v>
      </c>
      <c r="S248" s="10" t="s">
        <v>63</v>
      </c>
      <c r="T248" s="4" t="str">
        <f>IF(OR(Tabela1[[#This Row],[Grau de Risco]]="Médio",Tabela1[[#This Row],[Grau de Risco]]="Baixo"),"Não","Sim")</f>
        <v>Não</v>
      </c>
    </row>
    <row r="249" spans="1:20" hidden="1">
      <c r="A249" s="28" t="s">
        <v>8</v>
      </c>
      <c r="B249" s="82" t="s">
        <v>1805</v>
      </c>
      <c r="C249" s="64" t="s">
        <v>81</v>
      </c>
      <c r="D249" s="28" t="s">
        <v>1409</v>
      </c>
      <c r="E249" s="84">
        <v>4</v>
      </c>
      <c r="F249" s="84">
        <v>9</v>
      </c>
      <c r="G249" s="84">
        <v>2025</v>
      </c>
      <c r="H249" s="34" t="s">
        <v>450</v>
      </c>
      <c r="I249" s="7" t="s">
        <v>1445</v>
      </c>
      <c r="J249" s="28" t="s">
        <v>50</v>
      </c>
      <c r="K249" s="3">
        <v>0</v>
      </c>
      <c r="L249" s="3">
        <v>0</v>
      </c>
      <c r="M249" s="4" t="s">
        <v>25</v>
      </c>
      <c r="N249" s="4">
        <v>0</v>
      </c>
      <c r="O249" s="28"/>
      <c r="P249" s="32" t="s">
        <v>31</v>
      </c>
      <c r="Q249" s="35">
        <v>11</v>
      </c>
      <c r="R249" s="32" t="s">
        <v>31</v>
      </c>
      <c r="S249" s="33" t="s">
        <v>56</v>
      </c>
      <c r="T249" s="4" t="str">
        <f>IF(OR(Tabela1[[#This Row],[Grau de Risco]]="Médio",Tabela1[[#This Row],[Grau de Risco]]="Baixo"),"Não","Sim")</f>
        <v>Não</v>
      </c>
    </row>
    <row r="250" spans="1:20">
      <c r="A250" s="28" t="s">
        <v>7</v>
      </c>
      <c r="B250" s="10" t="s">
        <v>1809</v>
      </c>
      <c r="C250" s="64"/>
      <c r="D250" s="28" t="s">
        <v>1409</v>
      </c>
      <c r="E250" s="84">
        <v>16</v>
      </c>
      <c r="F250" s="84">
        <v>10</v>
      </c>
      <c r="G250" s="84">
        <v>2025</v>
      </c>
      <c r="H250" s="34" t="s">
        <v>66</v>
      </c>
      <c r="I250" s="29" t="s">
        <v>1479</v>
      </c>
      <c r="J250" s="28" t="s">
        <v>111</v>
      </c>
      <c r="K250" s="32"/>
      <c r="L250" s="32"/>
      <c r="M250" s="28"/>
      <c r="N250" s="28"/>
      <c r="O250" s="28" t="s">
        <v>4</v>
      </c>
      <c r="P250" s="32"/>
      <c r="Q250" s="35">
        <v>15</v>
      </c>
      <c r="R250" s="32" t="s">
        <v>52</v>
      </c>
      <c r="S250" s="10" t="s">
        <v>141</v>
      </c>
      <c r="T250" s="4" t="str">
        <f>IF(OR(Tabela1[[#This Row],[Grau de Risco]]="Médio",Tabela1[[#This Row],[Grau de Risco]]="Baixo"),"Não","Sim")</f>
        <v>Não</v>
      </c>
    </row>
    <row r="251" spans="1:20">
      <c r="A251" s="28" t="s">
        <v>7</v>
      </c>
      <c r="B251" s="10" t="s">
        <v>1809</v>
      </c>
      <c r="C251" s="64" t="s">
        <v>125</v>
      </c>
      <c r="D251" s="28" t="s">
        <v>1409</v>
      </c>
      <c r="E251" s="84">
        <v>30</v>
      </c>
      <c r="F251" s="84">
        <v>10</v>
      </c>
      <c r="G251" s="84">
        <v>2025</v>
      </c>
      <c r="H251" s="34" t="s">
        <v>71</v>
      </c>
      <c r="I251" s="29" t="s">
        <v>1814</v>
      </c>
      <c r="J251" s="28" t="s">
        <v>111</v>
      </c>
      <c r="K251" s="32"/>
      <c r="L251" s="32"/>
      <c r="M251" s="28"/>
      <c r="N251" s="28"/>
      <c r="O251" s="28" t="s">
        <v>4</v>
      </c>
      <c r="P251" s="32"/>
      <c r="Q251" s="35">
        <v>13</v>
      </c>
      <c r="R251" s="32" t="s">
        <v>31</v>
      </c>
      <c r="S251" s="10" t="s">
        <v>141</v>
      </c>
      <c r="T251" s="4" t="str">
        <f>IF(OR(Tabela1[[#This Row],[Grau de Risco]]="Médio",Tabela1[[#This Row],[Grau de Risco]]="Baixo"),"Não","Sim")</f>
        <v>Não</v>
      </c>
    </row>
    <row r="252" spans="1:20" hidden="1">
      <c r="A252" s="28" t="s">
        <v>10</v>
      </c>
      <c r="B252" s="20" t="s">
        <v>1797</v>
      </c>
      <c r="C252" s="15" t="s">
        <v>252</v>
      </c>
      <c r="D252" s="4" t="s">
        <v>148</v>
      </c>
      <c r="E252" s="18">
        <v>5</v>
      </c>
      <c r="F252" s="18">
        <v>10</v>
      </c>
      <c r="G252" s="18">
        <v>2025</v>
      </c>
      <c r="H252" s="21" t="s">
        <v>127</v>
      </c>
      <c r="I252" s="7" t="s">
        <v>1517</v>
      </c>
      <c r="J252" s="4" t="s">
        <v>35</v>
      </c>
      <c r="K252" s="3" t="s">
        <v>44</v>
      </c>
      <c r="L252" s="3" t="s">
        <v>44</v>
      </c>
      <c r="M252" s="4" t="s">
        <v>30</v>
      </c>
      <c r="N252" s="4" t="s">
        <v>44</v>
      </c>
      <c r="O252" s="4" t="s">
        <v>77</v>
      </c>
      <c r="P252" s="3" t="s">
        <v>31</v>
      </c>
      <c r="Q252" s="11">
        <v>10</v>
      </c>
      <c r="R252" s="3" t="str">
        <f>IF(Q252="","",IF(Q252&lt;4,"Crítico",IF(Q252&lt;9,"Alto",IF(Q252&lt;14,"Médio","Baixo"))))</f>
        <v>Médio</v>
      </c>
      <c r="S252" s="10" t="s">
        <v>63</v>
      </c>
      <c r="T252" s="4" t="str">
        <f>IF(OR(Tabela1[[#This Row],[Grau de Risco]]="Médio",Tabela1[[#This Row],[Grau de Risco]]="Baixo"),"Não","Sim")</f>
        <v>Não</v>
      </c>
    </row>
    <row r="253" spans="1:20" hidden="1">
      <c r="A253" s="28" t="s">
        <v>1110</v>
      </c>
      <c r="B253" s="82" t="s">
        <v>1797</v>
      </c>
      <c r="C253" s="64" t="s">
        <v>252</v>
      </c>
      <c r="D253" s="28" t="s">
        <v>47</v>
      </c>
      <c r="E253" s="84">
        <v>31</v>
      </c>
      <c r="F253" s="84">
        <v>10</v>
      </c>
      <c r="G253" s="84">
        <v>2025</v>
      </c>
      <c r="H253" s="34" t="s">
        <v>86</v>
      </c>
      <c r="I253" s="29" t="s">
        <v>1595</v>
      </c>
      <c r="J253" s="28" t="s">
        <v>69</v>
      </c>
      <c r="K253" s="32" t="s">
        <v>44</v>
      </c>
      <c r="L253" s="32" t="s">
        <v>44</v>
      </c>
      <c r="M253" s="28"/>
      <c r="N253" s="28" t="s">
        <v>44</v>
      </c>
      <c r="O253" s="28"/>
      <c r="P253" s="32"/>
      <c r="Q253" s="35">
        <v>14</v>
      </c>
      <c r="R253" s="32" t="s">
        <v>52</v>
      </c>
      <c r="S253" s="33" t="s">
        <v>63</v>
      </c>
      <c r="T253" s="4" t="str">
        <f>IF(OR(Tabela1[[#This Row],[Grau de Risco]]="Médio",Tabela1[[#This Row],[Grau de Risco]]="Baixo"),"Não","Sim")</f>
        <v>Não</v>
      </c>
    </row>
    <row r="254" spans="1:20">
      <c r="A254" s="5" t="s">
        <v>2</v>
      </c>
      <c r="B254" s="10" t="s">
        <v>1809</v>
      </c>
      <c r="C254" s="5" t="s">
        <v>26</v>
      </c>
      <c r="D254" s="38" t="s">
        <v>1320</v>
      </c>
      <c r="E254" s="62">
        <v>11</v>
      </c>
      <c r="F254" s="62">
        <v>1</v>
      </c>
      <c r="G254" s="62">
        <v>2021</v>
      </c>
      <c r="H254" s="36" t="s">
        <v>82</v>
      </c>
      <c r="I254" s="5" t="s">
        <v>146</v>
      </c>
      <c r="J254" s="5" t="s">
        <v>84</v>
      </c>
      <c r="K254" s="2">
        <v>20</v>
      </c>
      <c r="L254" s="2">
        <v>0</v>
      </c>
      <c r="M254" s="5" t="s">
        <v>30</v>
      </c>
      <c r="N254" s="5">
        <v>0</v>
      </c>
      <c r="O254" s="5" t="s">
        <v>85</v>
      </c>
      <c r="P254" s="2" t="s">
        <v>31</v>
      </c>
      <c r="Q254" s="2">
        <v>13</v>
      </c>
      <c r="R254" s="2" t="s">
        <v>31</v>
      </c>
      <c r="S254" s="5" t="s">
        <v>40</v>
      </c>
      <c r="T254" s="4" t="str">
        <f>IF(OR(Tabela1[[#This Row],[Grau de Risco]]="Médio",Tabela1[[#This Row],[Grau de Risco]]="Baixo"),"Não","Sim")</f>
        <v>Não</v>
      </c>
    </row>
    <row r="255" spans="1:20">
      <c r="A255" s="5" t="s">
        <v>2</v>
      </c>
      <c r="B255" s="10" t="s">
        <v>1809</v>
      </c>
      <c r="C255" s="19" t="s">
        <v>46</v>
      </c>
      <c r="D255" s="38" t="s">
        <v>1393</v>
      </c>
      <c r="E255" s="62">
        <v>5</v>
      </c>
      <c r="F255" s="62">
        <v>1</v>
      </c>
      <c r="G255" s="62">
        <v>2021</v>
      </c>
      <c r="H255" s="36" t="s">
        <v>33</v>
      </c>
      <c r="I255" s="5" t="s">
        <v>231</v>
      </c>
      <c r="J255" s="5" t="s">
        <v>54</v>
      </c>
      <c r="K255" s="2">
        <v>12</v>
      </c>
      <c r="L255" s="2">
        <v>0</v>
      </c>
      <c r="M255" s="5" t="s">
        <v>30</v>
      </c>
      <c r="N255" s="5">
        <v>0</v>
      </c>
      <c r="O255" s="5" t="s">
        <v>55</v>
      </c>
      <c r="P255" s="2" t="s">
        <v>31</v>
      </c>
      <c r="Q255" s="2">
        <v>13</v>
      </c>
      <c r="R255" s="2" t="s">
        <v>31</v>
      </c>
      <c r="S255" s="19" t="s">
        <v>141</v>
      </c>
      <c r="T255" s="4" t="str">
        <f>IF(OR(Tabela1[[#This Row],[Grau de Risco]]="Médio",Tabela1[[#This Row],[Grau de Risco]]="Baixo"),"Não","Sim")</f>
        <v>Não</v>
      </c>
    </row>
    <row r="256" spans="1:20" hidden="1">
      <c r="A256" s="4" t="s">
        <v>2</v>
      </c>
      <c r="B256" s="20" t="s">
        <v>1805</v>
      </c>
      <c r="C256" s="15"/>
      <c r="D256" s="38" t="s">
        <v>47</v>
      </c>
      <c r="E256" s="18">
        <v>30</v>
      </c>
      <c r="F256" s="18">
        <v>9</v>
      </c>
      <c r="G256" s="18">
        <v>2022</v>
      </c>
      <c r="H256" s="36" t="s">
        <v>107</v>
      </c>
      <c r="I256" s="7" t="s">
        <v>280</v>
      </c>
      <c r="J256" s="4" t="s">
        <v>73</v>
      </c>
      <c r="K256" s="3">
        <v>14</v>
      </c>
      <c r="L256" s="3">
        <v>0</v>
      </c>
      <c r="M256" s="4" t="s">
        <v>30</v>
      </c>
      <c r="N256" s="4"/>
      <c r="O256" s="4" t="s">
        <v>85</v>
      </c>
      <c r="P256" s="3" t="s">
        <v>31</v>
      </c>
      <c r="Q256" s="11">
        <v>6</v>
      </c>
      <c r="R256" s="3" t="str">
        <f>IF(Q256="","",IF(Q256&lt;4,"Crítico",IF(Q256&lt;9,"Alto",IF(Q256&lt;14,"Médio","Baixo"))))</f>
        <v>Alto</v>
      </c>
      <c r="S256" s="10" t="s">
        <v>63</v>
      </c>
      <c r="T256" s="4" t="str">
        <f>IF(OR(Tabela1[[#This Row],[Grau de Risco]]="Médio",Tabela1[[#This Row],[Grau de Risco]]="Baixo"),"Não","Sim")</f>
        <v>Sim</v>
      </c>
    </row>
    <row r="257" spans="1:20">
      <c r="A257" s="5" t="s">
        <v>7</v>
      </c>
      <c r="B257" s="10" t="s">
        <v>1809</v>
      </c>
      <c r="C257" s="15" t="s">
        <v>125</v>
      </c>
      <c r="D257" s="38" t="s">
        <v>1320</v>
      </c>
      <c r="E257" s="18">
        <v>11</v>
      </c>
      <c r="F257" s="18">
        <v>12</v>
      </c>
      <c r="G257" s="18">
        <v>2023</v>
      </c>
      <c r="H257" s="36" t="s">
        <v>82</v>
      </c>
      <c r="I257" s="7" t="s">
        <v>1596</v>
      </c>
      <c r="J257" s="4" t="s">
        <v>154</v>
      </c>
      <c r="K257" s="3" t="s">
        <v>44</v>
      </c>
      <c r="L257" s="3" t="s">
        <v>44</v>
      </c>
      <c r="M257" s="4" t="s">
        <v>30</v>
      </c>
      <c r="N257" s="4" t="s">
        <v>44</v>
      </c>
      <c r="O257" s="4"/>
      <c r="P257" s="3"/>
      <c r="Q257" s="3">
        <v>14</v>
      </c>
      <c r="R257" s="3" t="s">
        <v>52</v>
      </c>
      <c r="S257" s="10" t="s">
        <v>4</v>
      </c>
      <c r="T257" s="4" t="str">
        <f>IF(OR(Tabela1[[#This Row],[Grau de Risco]]="Médio",Tabela1[[#This Row],[Grau de Risco]]="Baixo"),"Não","Sim")</f>
        <v>Não</v>
      </c>
    </row>
    <row r="258" spans="1:20">
      <c r="A258" s="4" t="s">
        <v>8</v>
      </c>
      <c r="B258" s="10" t="s">
        <v>1809</v>
      </c>
      <c r="C258" s="15" t="s">
        <v>81</v>
      </c>
      <c r="D258" s="38" t="s">
        <v>1320</v>
      </c>
      <c r="E258" s="18">
        <v>13</v>
      </c>
      <c r="F258" s="18">
        <v>2</v>
      </c>
      <c r="G258" s="18">
        <v>2023</v>
      </c>
      <c r="H258" s="5" t="s">
        <v>123</v>
      </c>
      <c r="I258" s="7" t="s">
        <v>431</v>
      </c>
      <c r="J258" s="4" t="s">
        <v>135</v>
      </c>
      <c r="K258" s="3">
        <v>0</v>
      </c>
      <c r="L258" s="3">
        <v>0</v>
      </c>
      <c r="M258" s="4" t="s">
        <v>30</v>
      </c>
      <c r="N258" s="4"/>
      <c r="O258" s="4" t="s">
        <v>45</v>
      </c>
      <c r="P258" s="3" t="s">
        <v>52</v>
      </c>
      <c r="Q258" s="11">
        <v>11</v>
      </c>
      <c r="R258" s="3" t="str">
        <f>IF(Q258="","",IF(Q258&lt;4,"Crítico",IF(Q258&lt;9,"Alto",IF(Q258&lt;14,"Médio","Baixo"))))</f>
        <v>Médio</v>
      </c>
      <c r="S258" s="20" t="s">
        <v>141</v>
      </c>
      <c r="T258" s="4" t="str">
        <f>IF(OR(Tabela1[[#This Row],[Grau de Risco]]="Médio",Tabela1[[#This Row],[Grau de Risco]]="Baixo"),"Não","Sim")</f>
        <v>Não</v>
      </c>
    </row>
    <row r="259" spans="1:20" hidden="1">
      <c r="A259" s="5" t="s">
        <v>7</v>
      </c>
      <c r="B259" s="20" t="s">
        <v>1800</v>
      </c>
      <c r="C259" s="15" t="s">
        <v>46</v>
      </c>
      <c r="D259" s="38" t="s">
        <v>47</v>
      </c>
      <c r="E259" s="18">
        <v>10</v>
      </c>
      <c r="F259" s="18">
        <v>11</v>
      </c>
      <c r="G259" s="18">
        <v>2023</v>
      </c>
      <c r="H259" s="5" t="s">
        <v>123</v>
      </c>
      <c r="I259" s="7" t="s">
        <v>469</v>
      </c>
      <c r="J259" s="5" t="s">
        <v>38</v>
      </c>
      <c r="K259" s="3" t="s">
        <v>44</v>
      </c>
      <c r="L259" s="3"/>
      <c r="M259" s="4"/>
      <c r="N259" s="4"/>
      <c r="O259" s="4" t="s">
        <v>77</v>
      </c>
      <c r="P259" s="3"/>
      <c r="Q259" s="3">
        <v>15</v>
      </c>
      <c r="R259" s="11" t="s">
        <v>52</v>
      </c>
      <c r="S259" s="20" t="s">
        <v>63</v>
      </c>
      <c r="T259" s="4" t="str">
        <f>IF(OR(Tabela1[[#This Row],[Grau de Risco]]="Médio",Tabela1[[#This Row],[Grau de Risco]]="Baixo"),"Não","Sim")</f>
        <v>Não</v>
      </c>
    </row>
    <row r="260" spans="1:20" hidden="1">
      <c r="A260" s="4" t="s">
        <v>2</v>
      </c>
      <c r="B260" s="20" t="s">
        <v>1800</v>
      </c>
      <c r="C260" s="4" t="s">
        <v>41</v>
      </c>
      <c r="D260" s="5" t="s">
        <v>148</v>
      </c>
      <c r="E260" s="85">
        <v>6</v>
      </c>
      <c r="F260" s="18">
        <v>8</v>
      </c>
      <c r="G260" s="18">
        <v>2023</v>
      </c>
      <c r="H260" s="5" t="s">
        <v>48</v>
      </c>
      <c r="I260" s="7" t="s">
        <v>477</v>
      </c>
      <c r="J260" s="4" t="s">
        <v>38</v>
      </c>
      <c r="K260" s="3">
        <v>45</v>
      </c>
      <c r="L260" s="3">
        <v>45</v>
      </c>
      <c r="M260" s="4" t="s">
        <v>30</v>
      </c>
      <c r="N260" s="4"/>
      <c r="O260" s="4" t="s">
        <v>74</v>
      </c>
      <c r="P260" s="3" t="s">
        <v>102</v>
      </c>
      <c r="Q260" s="11">
        <v>2</v>
      </c>
      <c r="R260" s="3" t="str">
        <f>IF(Q260="","",IF(Q260&lt;4,"Crítico",IF(Q260&lt;9,"Alto",IF(Q260&lt;14,"Médio","Baixo"))))</f>
        <v>Crítico</v>
      </c>
      <c r="S260" s="10" t="s">
        <v>141</v>
      </c>
      <c r="T260" s="4" t="str">
        <f>IF(OR(Tabela1[[#This Row],[Grau de Risco]]="Médio",Tabela1[[#This Row],[Grau de Risco]]="Baixo"),"Não","Sim")</f>
        <v>Sim</v>
      </c>
    </row>
    <row r="261" spans="1:20" hidden="1">
      <c r="A261" s="4" t="s">
        <v>2</v>
      </c>
      <c r="B261" s="10" t="s">
        <v>1805</v>
      </c>
      <c r="C261" s="4" t="s">
        <v>252</v>
      </c>
      <c r="D261" s="38" t="s">
        <v>1320</v>
      </c>
      <c r="E261" s="3">
        <v>22</v>
      </c>
      <c r="F261" s="3">
        <v>5</v>
      </c>
      <c r="G261" s="3">
        <v>2023</v>
      </c>
      <c r="H261" s="4" t="s">
        <v>27</v>
      </c>
      <c r="I261" s="7" t="s">
        <v>612</v>
      </c>
      <c r="J261" s="4" t="s">
        <v>54</v>
      </c>
      <c r="K261" s="3">
        <v>7</v>
      </c>
      <c r="L261" s="3">
        <v>0</v>
      </c>
      <c r="M261" s="4" t="s">
        <v>30</v>
      </c>
      <c r="N261" s="4">
        <v>7</v>
      </c>
      <c r="O261" s="4" t="s">
        <v>74</v>
      </c>
      <c r="P261" s="3" t="s">
        <v>31</v>
      </c>
      <c r="Q261" s="11">
        <v>11</v>
      </c>
      <c r="R261" s="2" t="s">
        <v>31</v>
      </c>
      <c r="S261" s="5" t="s">
        <v>56</v>
      </c>
      <c r="T261" s="4" t="str">
        <f>IF(OR(Tabela1[[#This Row],[Grau de Risco]]="Médio",Tabela1[[#This Row],[Grau de Risco]]="Baixo"),"Não","Sim")</f>
        <v>Não</v>
      </c>
    </row>
    <row r="262" spans="1:20" hidden="1">
      <c r="A262" s="5" t="s">
        <v>7</v>
      </c>
      <c r="B262" s="10" t="s">
        <v>1800</v>
      </c>
      <c r="C262" s="4" t="s">
        <v>41</v>
      </c>
      <c r="D262" s="38" t="s">
        <v>1320</v>
      </c>
      <c r="E262" s="3">
        <v>25</v>
      </c>
      <c r="F262" s="3">
        <v>9</v>
      </c>
      <c r="G262" s="3">
        <v>2023</v>
      </c>
      <c r="H262" s="36" t="s">
        <v>107</v>
      </c>
      <c r="I262" s="7" t="s">
        <v>631</v>
      </c>
      <c r="J262" s="4" t="s">
        <v>54</v>
      </c>
      <c r="K262" s="3" t="s">
        <v>44</v>
      </c>
      <c r="L262" s="3"/>
      <c r="M262" s="4"/>
      <c r="N262" s="4"/>
      <c r="O262" s="4" t="s">
        <v>45</v>
      </c>
      <c r="P262" s="3"/>
      <c r="Q262" s="11">
        <v>15</v>
      </c>
      <c r="R262" s="3" t="s">
        <v>52</v>
      </c>
      <c r="S262" s="5" t="s">
        <v>56</v>
      </c>
      <c r="T262" s="4" t="str">
        <f>IF(OR(Tabela1[[#This Row],[Grau de Risco]]="Médio",Tabela1[[#This Row],[Grau de Risco]]="Baixo"),"Não","Sim")</f>
        <v>Não</v>
      </c>
    </row>
    <row r="263" spans="1:20" hidden="1">
      <c r="A263" s="4" t="s">
        <v>10</v>
      </c>
      <c r="B263" s="10" t="s">
        <v>1800</v>
      </c>
      <c r="C263" s="4" t="s">
        <v>81</v>
      </c>
      <c r="D263" s="38" t="s">
        <v>1393</v>
      </c>
      <c r="E263" s="3">
        <v>26</v>
      </c>
      <c r="F263" s="3">
        <v>9</v>
      </c>
      <c r="G263" s="3">
        <v>2023</v>
      </c>
      <c r="H263" s="36" t="s">
        <v>375</v>
      </c>
      <c r="I263" s="7" t="s">
        <v>632</v>
      </c>
      <c r="J263" s="4" t="s">
        <v>54</v>
      </c>
      <c r="K263" s="3">
        <v>0</v>
      </c>
      <c r="L263" s="3"/>
      <c r="M263" s="4"/>
      <c r="N263" s="4"/>
      <c r="O263" s="4" t="s">
        <v>77</v>
      </c>
      <c r="P263" s="3" t="s">
        <v>31</v>
      </c>
      <c r="Q263" s="11">
        <v>2</v>
      </c>
      <c r="R263" s="3" t="str">
        <f>IF(Q263="","",IF(Q263&lt;4,"Crítico",IF(Q263&lt;9,"Alto",IF(Q263&lt;14,"Médio","Baixo"))))</f>
        <v>Crítico</v>
      </c>
      <c r="S263" s="10" t="s">
        <v>63</v>
      </c>
      <c r="T263" s="4" t="str">
        <f>IF(OR(Tabela1[[#This Row],[Grau de Risco]]="Médio",Tabela1[[#This Row],[Grau de Risco]]="Baixo"),"Não","Sim")</f>
        <v>Sim</v>
      </c>
    </row>
    <row r="264" spans="1:20" hidden="1">
      <c r="A264" s="5" t="s">
        <v>7</v>
      </c>
      <c r="B264" s="10" t="s">
        <v>1800</v>
      </c>
      <c r="C264" s="4" t="s">
        <v>81</v>
      </c>
      <c r="D264" s="38" t="s">
        <v>1320</v>
      </c>
      <c r="E264" s="3">
        <v>2</v>
      </c>
      <c r="F264" s="3">
        <v>10</v>
      </c>
      <c r="G264" s="3">
        <v>2023</v>
      </c>
      <c r="H264" s="36" t="s">
        <v>66</v>
      </c>
      <c r="I264" s="7" t="s">
        <v>634</v>
      </c>
      <c r="J264" s="4" t="s">
        <v>54</v>
      </c>
      <c r="K264" s="3" t="s">
        <v>44</v>
      </c>
      <c r="L264" s="3"/>
      <c r="M264" s="4"/>
      <c r="N264" s="4"/>
      <c r="O264" s="4" t="s">
        <v>45</v>
      </c>
      <c r="P264" s="3"/>
      <c r="Q264" s="11">
        <v>15</v>
      </c>
      <c r="R264" s="3" t="s">
        <v>52</v>
      </c>
      <c r="S264" s="5" t="s">
        <v>56</v>
      </c>
      <c r="T264" s="4" t="str">
        <f>IF(OR(Tabela1[[#This Row],[Grau de Risco]]="Médio",Tabela1[[#This Row],[Grau de Risco]]="Baixo"),"Não","Sim")</f>
        <v>Não</v>
      </c>
    </row>
    <row r="265" spans="1:20" hidden="1">
      <c r="A265" s="5" t="s">
        <v>7</v>
      </c>
      <c r="B265" s="47" t="s">
        <v>1797</v>
      </c>
      <c r="C265" s="47" t="s">
        <v>252</v>
      </c>
      <c r="D265" s="38" t="s">
        <v>1382</v>
      </c>
      <c r="E265" s="31">
        <v>3</v>
      </c>
      <c r="F265" s="31">
        <v>7</v>
      </c>
      <c r="G265" s="31">
        <v>2024</v>
      </c>
      <c r="H265" s="5" t="s">
        <v>123</v>
      </c>
      <c r="I265" s="47" t="s">
        <v>1597</v>
      </c>
      <c r="J265" s="47" t="s">
        <v>84</v>
      </c>
      <c r="K265" s="3" t="s">
        <v>44</v>
      </c>
      <c r="L265" s="41" t="s">
        <v>30</v>
      </c>
      <c r="M265" s="41" t="s">
        <v>30</v>
      </c>
      <c r="N265" s="41" t="s">
        <v>44</v>
      </c>
      <c r="O265" s="47"/>
      <c r="P265" s="47"/>
      <c r="Q265" s="47">
        <v>10</v>
      </c>
      <c r="R265" s="32" t="s">
        <v>31</v>
      </c>
      <c r="S265" s="47" t="s">
        <v>63</v>
      </c>
      <c r="T265" s="4" t="str">
        <f>IF(OR(Tabela1[[#This Row],[Grau de Risco]]="Médio",Tabela1[[#This Row],[Grau de Risco]]="Baixo"),"Não","Sim")</f>
        <v>Não</v>
      </c>
    </row>
    <row r="266" spans="1:20" hidden="1">
      <c r="A266" s="5" t="s">
        <v>7</v>
      </c>
      <c r="B266" s="83" t="s">
        <v>1800</v>
      </c>
      <c r="C266" s="38" t="s">
        <v>252</v>
      </c>
      <c r="D266" s="38" t="s">
        <v>1393</v>
      </c>
      <c r="E266" s="50">
        <v>27</v>
      </c>
      <c r="F266" s="50">
        <v>8</v>
      </c>
      <c r="G266" s="50">
        <v>2024</v>
      </c>
      <c r="H266" s="36" t="s">
        <v>107</v>
      </c>
      <c r="I266" s="38" t="s">
        <v>841</v>
      </c>
      <c r="J266" s="38" t="s">
        <v>73</v>
      </c>
      <c r="K266" s="3" t="s">
        <v>44</v>
      </c>
      <c r="L266" s="38" t="s">
        <v>80</v>
      </c>
      <c r="M266" s="38" t="s">
        <v>30</v>
      </c>
      <c r="N266" s="38" t="s">
        <v>80</v>
      </c>
      <c r="O266" s="38" t="s">
        <v>4</v>
      </c>
      <c r="P266" s="38"/>
      <c r="Q266" s="38">
        <v>10</v>
      </c>
      <c r="R266" s="32" t="s">
        <v>31</v>
      </c>
      <c r="S266" s="5" t="s">
        <v>56</v>
      </c>
      <c r="T266" s="4" t="str">
        <f>IF(OR(Tabela1[[#This Row],[Grau de Risco]]="Médio",Tabela1[[#This Row],[Grau de Risco]]="Baixo"),"Não","Sim")</f>
        <v>Não</v>
      </c>
    </row>
    <row r="267" spans="1:20" hidden="1">
      <c r="A267" s="4" t="s">
        <v>7</v>
      </c>
      <c r="B267" s="10" t="s">
        <v>1797</v>
      </c>
      <c r="C267" s="4" t="s">
        <v>252</v>
      </c>
      <c r="D267" s="38" t="s">
        <v>1320</v>
      </c>
      <c r="E267" s="3">
        <v>29</v>
      </c>
      <c r="F267" s="3">
        <v>4</v>
      </c>
      <c r="G267" s="3">
        <v>2024</v>
      </c>
      <c r="H267" s="36" t="s">
        <v>33</v>
      </c>
      <c r="I267" s="7" t="s">
        <v>851</v>
      </c>
      <c r="J267" s="4" t="s">
        <v>111</v>
      </c>
      <c r="K267" s="3" t="s">
        <v>62</v>
      </c>
      <c r="L267" s="3"/>
      <c r="M267" s="4"/>
      <c r="N267" s="4"/>
      <c r="O267" s="4" t="s">
        <v>301</v>
      </c>
      <c r="P267" s="3"/>
      <c r="Q267" s="11">
        <v>4</v>
      </c>
      <c r="R267" s="3" t="s">
        <v>102</v>
      </c>
      <c r="S267" s="10" t="s">
        <v>63</v>
      </c>
      <c r="T267" s="4" t="str">
        <f>IF(OR(Tabela1[[#This Row],[Grau de Risco]]="Médio",Tabela1[[#This Row],[Grau de Risco]]="Baixo"),"Não","Sim")</f>
        <v>Sim</v>
      </c>
    </row>
    <row r="268" spans="1:20">
      <c r="A268" s="4" t="s">
        <v>240</v>
      </c>
      <c r="B268" s="10" t="s">
        <v>1809</v>
      </c>
      <c r="C268" s="4" t="s">
        <v>252</v>
      </c>
      <c r="D268" s="38" t="s">
        <v>1320</v>
      </c>
      <c r="E268" s="3">
        <v>21</v>
      </c>
      <c r="F268" s="3">
        <v>10</v>
      </c>
      <c r="G268" s="3">
        <v>2024</v>
      </c>
      <c r="H268" s="5" t="s">
        <v>71</v>
      </c>
      <c r="I268" s="7" t="s">
        <v>852</v>
      </c>
      <c r="J268" s="4" t="s">
        <v>111</v>
      </c>
      <c r="K268" s="3">
        <v>21</v>
      </c>
      <c r="L268" s="3">
        <v>6000</v>
      </c>
      <c r="M268" s="4" t="s">
        <v>30</v>
      </c>
      <c r="N268" s="4">
        <v>0</v>
      </c>
      <c r="O268" s="4" t="s">
        <v>85</v>
      </c>
      <c r="P268" s="3" t="s">
        <v>102</v>
      </c>
      <c r="Q268" s="11">
        <v>2</v>
      </c>
      <c r="R268" s="3" t="str">
        <f>IF(Q268="","",IF(Q268&lt;4,"Crítico",IF(Q268&lt;9,"Alto",IF(Q268&lt;14,"Médio","Baixo"))))</f>
        <v>Crítico</v>
      </c>
      <c r="S268" s="5" t="s">
        <v>40</v>
      </c>
      <c r="T268" s="4" t="str">
        <f>IF(OR(Tabela1[[#This Row],[Grau de Risco]]="Médio",Tabela1[[#This Row],[Grau de Risco]]="Baixo"),"Não","Sim")</f>
        <v>Sim</v>
      </c>
    </row>
    <row r="269" spans="1:20" hidden="1">
      <c r="A269" s="4" t="s">
        <v>7</v>
      </c>
      <c r="B269" s="10" t="s">
        <v>1800</v>
      </c>
      <c r="C269" s="4" t="s">
        <v>252</v>
      </c>
      <c r="D269" s="38" t="s">
        <v>1320</v>
      </c>
      <c r="E269" s="3">
        <v>5</v>
      </c>
      <c r="F269" s="3">
        <v>2</v>
      </c>
      <c r="G269" s="3">
        <v>2024</v>
      </c>
      <c r="H269" s="34" t="s">
        <v>59</v>
      </c>
      <c r="I269" s="7" t="s">
        <v>917</v>
      </c>
      <c r="J269" s="4" t="s">
        <v>93</v>
      </c>
      <c r="K269" s="3">
        <v>0</v>
      </c>
      <c r="L269" s="3">
        <v>0</v>
      </c>
      <c r="M269" s="4" t="s">
        <v>30</v>
      </c>
      <c r="N269" s="4">
        <v>0</v>
      </c>
      <c r="O269" s="4" t="s">
        <v>77</v>
      </c>
      <c r="P269" s="3" t="s">
        <v>52</v>
      </c>
      <c r="Q269" s="11">
        <v>14</v>
      </c>
      <c r="R269" s="3" t="s">
        <v>52</v>
      </c>
      <c r="S269" s="10" t="s">
        <v>63</v>
      </c>
      <c r="T269" s="4" t="str">
        <f>IF(OR(Tabela1[[#This Row],[Grau de Risco]]="Médio",Tabela1[[#This Row],[Grau de Risco]]="Baixo"),"Não","Sim")</f>
        <v>Não</v>
      </c>
    </row>
    <row r="270" spans="1:20" hidden="1">
      <c r="A270" s="4" t="s">
        <v>7</v>
      </c>
      <c r="B270" s="10" t="s">
        <v>1797</v>
      </c>
      <c r="C270" s="4" t="s">
        <v>252</v>
      </c>
      <c r="D270" s="38" t="s">
        <v>47</v>
      </c>
      <c r="E270" s="3">
        <v>23</v>
      </c>
      <c r="F270" s="3">
        <v>2</v>
      </c>
      <c r="G270" s="3">
        <v>2024</v>
      </c>
      <c r="H270" s="5" t="s">
        <v>71</v>
      </c>
      <c r="I270" s="7" t="s">
        <v>946</v>
      </c>
      <c r="J270" s="4" t="s">
        <v>115</v>
      </c>
      <c r="K270" s="3" t="s">
        <v>62</v>
      </c>
      <c r="L270" s="3">
        <v>0</v>
      </c>
      <c r="M270" s="4" t="s">
        <v>30</v>
      </c>
      <c r="N270" s="4">
        <v>0</v>
      </c>
      <c r="O270" s="4" t="s">
        <v>45</v>
      </c>
      <c r="P270" s="3" t="s">
        <v>52</v>
      </c>
      <c r="Q270" s="11">
        <v>15</v>
      </c>
      <c r="R270" s="3" t="s">
        <v>52</v>
      </c>
      <c r="S270" s="10" t="s">
        <v>63</v>
      </c>
      <c r="T270" s="4" t="str">
        <f>IF(OR(Tabela1[[#This Row],[Grau de Risco]]="Médio",Tabela1[[#This Row],[Grau de Risco]]="Baixo"),"Não","Sim")</f>
        <v>Não</v>
      </c>
    </row>
    <row r="271" spans="1:20" hidden="1">
      <c r="A271" s="4" t="s">
        <v>9</v>
      </c>
      <c r="B271" s="10" t="s">
        <v>1797</v>
      </c>
      <c r="C271" s="4" t="s">
        <v>125</v>
      </c>
      <c r="D271" s="38" t="s">
        <v>1382</v>
      </c>
      <c r="E271" s="3">
        <v>9</v>
      </c>
      <c r="F271" s="3">
        <v>10</v>
      </c>
      <c r="G271" s="3">
        <v>2024</v>
      </c>
      <c r="H271" s="36" t="s">
        <v>375</v>
      </c>
      <c r="I271" s="7" t="s">
        <v>947</v>
      </c>
      <c r="J271" s="4" t="s">
        <v>575</v>
      </c>
      <c r="K271" s="3">
        <v>2</v>
      </c>
      <c r="L271" s="3">
        <v>0</v>
      </c>
      <c r="M271" s="4"/>
      <c r="N271" s="4">
        <v>0</v>
      </c>
      <c r="O271" s="4" t="s">
        <v>386</v>
      </c>
      <c r="P271" s="3" t="s">
        <v>31</v>
      </c>
      <c r="Q271" s="11">
        <v>7</v>
      </c>
      <c r="R271" s="3" t="s">
        <v>102</v>
      </c>
      <c r="S271" s="10" t="s">
        <v>63</v>
      </c>
      <c r="T271" s="4" t="str">
        <f>IF(OR(Tabela1[[#This Row],[Grau de Risco]]="Médio",Tabela1[[#This Row],[Grau de Risco]]="Baixo"),"Não","Sim")</f>
        <v>Sim</v>
      </c>
    </row>
    <row r="272" spans="1:20">
      <c r="A272" s="4" t="s">
        <v>8</v>
      </c>
      <c r="B272" s="10" t="s">
        <v>1809</v>
      </c>
      <c r="C272" s="4" t="s">
        <v>252</v>
      </c>
      <c r="D272" s="58" t="s">
        <v>1409</v>
      </c>
      <c r="E272" s="3">
        <v>21</v>
      </c>
      <c r="F272" s="3">
        <v>11</v>
      </c>
      <c r="G272" s="3">
        <v>2024</v>
      </c>
      <c r="H272" s="36" t="s">
        <v>33</v>
      </c>
      <c r="I272" s="7" t="s">
        <v>976</v>
      </c>
      <c r="J272" s="4" t="s">
        <v>91</v>
      </c>
      <c r="K272" s="3"/>
      <c r="L272" s="3"/>
      <c r="M272" s="4"/>
      <c r="N272" s="4"/>
      <c r="O272" s="4" t="s">
        <v>4</v>
      </c>
      <c r="P272" s="3" t="s">
        <v>31</v>
      </c>
      <c r="Q272" s="11">
        <v>11</v>
      </c>
      <c r="R272" s="3" t="s">
        <v>31</v>
      </c>
      <c r="S272" s="5" t="s">
        <v>40</v>
      </c>
      <c r="T272" s="4" t="str">
        <f>IF(OR(Tabela1[[#This Row],[Grau de Risco]]="Médio",Tabela1[[#This Row],[Grau de Risco]]="Baixo"),"Não","Sim")</f>
        <v>Não</v>
      </c>
    </row>
    <row r="273" spans="1:20" hidden="1">
      <c r="A273" s="5" t="s">
        <v>7</v>
      </c>
      <c r="B273" s="10" t="s">
        <v>1800</v>
      </c>
      <c r="C273" s="4" t="s">
        <v>41</v>
      </c>
      <c r="D273" s="38" t="s">
        <v>1382</v>
      </c>
      <c r="E273" s="3">
        <v>4</v>
      </c>
      <c r="F273" s="3">
        <v>9</v>
      </c>
      <c r="G273" s="3">
        <v>2024</v>
      </c>
      <c r="H273" s="5" t="s">
        <v>123</v>
      </c>
      <c r="I273" s="7" t="s">
        <v>1009</v>
      </c>
      <c r="J273" s="4" t="s">
        <v>54</v>
      </c>
      <c r="K273" s="3" t="s">
        <v>44</v>
      </c>
      <c r="L273" s="3" t="s">
        <v>80</v>
      </c>
      <c r="M273" s="4" t="s">
        <v>30</v>
      </c>
      <c r="N273" s="4" t="s">
        <v>80</v>
      </c>
      <c r="O273" s="4" t="s">
        <v>45</v>
      </c>
      <c r="P273" s="3"/>
      <c r="Q273" s="11">
        <v>10</v>
      </c>
      <c r="R273" s="3" t="s">
        <v>31</v>
      </c>
      <c r="S273" s="10" t="s">
        <v>178</v>
      </c>
      <c r="T273" s="4" t="str">
        <f>IF(OR(Tabela1[[#This Row],[Grau de Risco]]="Médio",Tabela1[[#This Row],[Grau de Risco]]="Baixo"),"Não","Sim")</f>
        <v>Não</v>
      </c>
    </row>
    <row r="274" spans="1:20" hidden="1">
      <c r="A274" s="4" t="s">
        <v>8</v>
      </c>
      <c r="B274" s="10" t="s">
        <v>1800</v>
      </c>
      <c r="C274" s="4" t="s">
        <v>81</v>
      </c>
      <c r="D274" s="38" t="s">
        <v>1320</v>
      </c>
      <c r="E274" s="3">
        <v>21</v>
      </c>
      <c r="F274" s="3">
        <v>10</v>
      </c>
      <c r="G274" s="3">
        <v>2024</v>
      </c>
      <c r="H274" s="5" t="s">
        <v>675</v>
      </c>
      <c r="I274" s="7" t="s">
        <v>1064</v>
      </c>
      <c r="J274" s="4" t="s">
        <v>61</v>
      </c>
      <c r="K274" s="3" t="s">
        <v>80</v>
      </c>
      <c r="L274" s="3" t="s">
        <v>80</v>
      </c>
      <c r="M274" s="4" t="s">
        <v>25</v>
      </c>
      <c r="N274" s="4" t="s">
        <v>80</v>
      </c>
      <c r="O274" s="4" t="s">
        <v>70</v>
      </c>
      <c r="P274" s="3" t="s">
        <v>31</v>
      </c>
      <c r="Q274" s="11">
        <v>10</v>
      </c>
      <c r="R274" s="3" t="s">
        <v>31</v>
      </c>
      <c r="S274" s="5" t="s">
        <v>56</v>
      </c>
      <c r="T274" s="4" t="str">
        <f>IF(OR(Tabela1[[#This Row],[Grau de Risco]]="Médio",Tabela1[[#This Row],[Grau de Risco]]="Baixo"),"Não","Sim")</f>
        <v>Não</v>
      </c>
    </row>
    <row r="275" spans="1:20" hidden="1">
      <c r="A275" s="4" t="s">
        <v>7</v>
      </c>
      <c r="B275" s="10" t="s">
        <v>1797</v>
      </c>
      <c r="C275" s="4" t="s">
        <v>81</v>
      </c>
      <c r="D275" s="38" t="s">
        <v>47</v>
      </c>
      <c r="E275" s="3">
        <v>12</v>
      </c>
      <c r="F275" s="3">
        <v>4</v>
      </c>
      <c r="G275" s="3">
        <v>2024</v>
      </c>
      <c r="H275" s="36" t="s">
        <v>375</v>
      </c>
      <c r="I275" s="7" t="s">
        <v>1067</v>
      </c>
      <c r="J275" s="4" t="s">
        <v>61</v>
      </c>
      <c r="K275" s="3" t="s">
        <v>62</v>
      </c>
      <c r="L275" s="3"/>
      <c r="M275" s="4"/>
      <c r="N275" s="4"/>
      <c r="O275" s="4" t="s">
        <v>4</v>
      </c>
      <c r="P275" s="3"/>
      <c r="Q275" s="11">
        <v>14</v>
      </c>
      <c r="R275" s="3" t="s">
        <v>52</v>
      </c>
      <c r="S275" s="10" t="s">
        <v>4</v>
      </c>
      <c r="T275" s="4" t="str">
        <f>IF(OR(Tabela1[[#This Row],[Grau de Risco]]="Médio",Tabela1[[#This Row],[Grau de Risco]]="Baixo"),"Não","Sim")</f>
        <v>Não</v>
      </c>
    </row>
    <row r="276" spans="1:20" hidden="1">
      <c r="A276" s="4" t="s">
        <v>2</v>
      </c>
      <c r="B276" s="10" t="s">
        <v>1805</v>
      </c>
      <c r="C276" s="4" t="s">
        <v>252</v>
      </c>
      <c r="D276" s="38" t="s">
        <v>1382</v>
      </c>
      <c r="E276" s="3">
        <v>28</v>
      </c>
      <c r="F276" s="3">
        <v>2</v>
      </c>
      <c r="G276" s="3">
        <v>2024</v>
      </c>
      <c r="H276" s="4" t="s">
        <v>27</v>
      </c>
      <c r="I276" s="7" t="s">
        <v>1080</v>
      </c>
      <c r="J276" s="4" t="s">
        <v>93</v>
      </c>
      <c r="K276" s="3">
        <v>2</v>
      </c>
      <c r="L276" s="3">
        <v>0</v>
      </c>
      <c r="M276" s="4" t="s">
        <v>30</v>
      </c>
      <c r="N276" s="4">
        <v>0</v>
      </c>
      <c r="O276" s="4" t="s">
        <v>88</v>
      </c>
      <c r="P276" s="3" t="s">
        <v>31</v>
      </c>
      <c r="Q276" s="11">
        <v>11</v>
      </c>
      <c r="R276" s="3" t="s">
        <v>31</v>
      </c>
      <c r="S276" s="5" t="s">
        <v>56</v>
      </c>
      <c r="T276" s="4" t="str">
        <f>IF(OR(Tabela1[[#This Row],[Grau de Risco]]="Médio",Tabela1[[#This Row],[Grau de Risco]]="Baixo"),"Não","Sim")</f>
        <v>Não</v>
      </c>
    </row>
    <row r="277" spans="1:20" hidden="1">
      <c r="A277" s="28" t="s">
        <v>2</v>
      </c>
      <c r="B277" s="33" t="s">
        <v>1800</v>
      </c>
      <c r="C277" s="28" t="s">
        <v>252</v>
      </c>
      <c r="D277" s="38" t="s">
        <v>47</v>
      </c>
      <c r="E277" s="32">
        <v>28</v>
      </c>
      <c r="F277" s="32">
        <v>2</v>
      </c>
      <c r="G277" s="32">
        <v>2025</v>
      </c>
      <c r="H277" s="38" t="s">
        <v>71</v>
      </c>
      <c r="I277" s="29" t="s">
        <v>1182</v>
      </c>
      <c r="J277" s="28" t="s">
        <v>84</v>
      </c>
      <c r="K277" s="32">
        <v>7</v>
      </c>
      <c r="L277" s="32" t="s">
        <v>80</v>
      </c>
      <c r="M277" s="28" t="s">
        <v>80</v>
      </c>
      <c r="N277" s="28" t="s">
        <v>80</v>
      </c>
      <c r="O277" s="28"/>
      <c r="P277" s="32" t="s">
        <v>31</v>
      </c>
      <c r="Q277" s="35">
        <v>10</v>
      </c>
      <c r="R277" s="32" t="s">
        <v>31</v>
      </c>
      <c r="S277" s="33" t="s">
        <v>32</v>
      </c>
      <c r="T277" s="4" t="str">
        <f>IF(OR(Tabela1[[#This Row],[Grau de Risco]]="Médio",Tabela1[[#This Row],[Grau de Risco]]="Baixo"),"Não","Sim")</f>
        <v>Não</v>
      </c>
    </row>
    <row r="278" spans="1:20" hidden="1">
      <c r="A278" s="28" t="s">
        <v>8</v>
      </c>
      <c r="B278" s="33" t="s">
        <v>1800</v>
      </c>
      <c r="C278" s="28" t="s">
        <v>81</v>
      </c>
      <c r="D278" s="38" t="s">
        <v>1382</v>
      </c>
      <c r="E278" s="32">
        <v>19</v>
      </c>
      <c r="F278" s="32">
        <v>3</v>
      </c>
      <c r="G278" s="32">
        <v>2025</v>
      </c>
      <c r="H278" s="38" t="s">
        <v>71</v>
      </c>
      <c r="I278" s="29" t="s">
        <v>1598</v>
      </c>
      <c r="J278" s="4" t="s">
        <v>35</v>
      </c>
      <c r="K278" s="32" t="s">
        <v>80</v>
      </c>
      <c r="L278" s="32" t="s">
        <v>80</v>
      </c>
      <c r="M278" s="28" t="s">
        <v>30</v>
      </c>
      <c r="N278" s="28" t="s">
        <v>80</v>
      </c>
      <c r="O278" s="28"/>
      <c r="P278" s="32" t="s">
        <v>52</v>
      </c>
      <c r="Q278" s="35">
        <v>13</v>
      </c>
      <c r="R278" s="32" t="s">
        <v>31</v>
      </c>
      <c r="S278" s="33" t="s">
        <v>32</v>
      </c>
      <c r="T278" s="4" t="str">
        <f>IF(OR(Tabela1[[#This Row],[Grau de Risco]]="Médio",Tabela1[[#This Row],[Grau de Risco]]="Baixo"),"Não","Sim")</f>
        <v>Não</v>
      </c>
    </row>
    <row r="279" spans="1:20" hidden="1">
      <c r="A279" s="28" t="s">
        <v>7</v>
      </c>
      <c r="B279" s="56" t="s">
        <v>1797</v>
      </c>
      <c r="C279" s="28" t="s">
        <v>81</v>
      </c>
      <c r="D279" s="38" t="s">
        <v>1320</v>
      </c>
      <c r="E279" s="32">
        <v>24</v>
      </c>
      <c r="F279" s="32">
        <v>3</v>
      </c>
      <c r="G279" s="32">
        <v>2025</v>
      </c>
      <c r="H279" s="4" t="s">
        <v>86</v>
      </c>
      <c r="I279" s="29" t="s">
        <v>1201</v>
      </c>
      <c r="J279" s="28" t="s">
        <v>111</v>
      </c>
      <c r="K279" s="32"/>
      <c r="L279" s="32"/>
      <c r="M279" s="28"/>
      <c r="N279" s="28"/>
      <c r="O279" s="28" t="s">
        <v>396</v>
      </c>
      <c r="P279" s="32"/>
      <c r="Q279" s="35">
        <v>13</v>
      </c>
      <c r="R279" s="32" t="s">
        <v>31</v>
      </c>
      <c r="S279" s="5" t="s">
        <v>56</v>
      </c>
      <c r="T279" s="4" t="str">
        <f>IF(OR(Tabela1[[#This Row],[Grau de Risco]]="Médio",Tabela1[[#This Row],[Grau de Risco]]="Baixo"),"Não","Sim")</f>
        <v>Não</v>
      </c>
    </row>
    <row r="280" spans="1:20" hidden="1">
      <c r="A280" s="28" t="s">
        <v>7</v>
      </c>
      <c r="B280" s="33" t="s">
        <v>1800</v>
      </c>
      <c r="C280" s="4" t="s">
        <v>41</v>
      </c>
      <c r="D280" s="38" t="s">
        <v>1382</v>
      </c>
      <c r="E280" s="32">
        <v>3</v>
      </c>
      <c r="F280" s="32">
        <v>4</v>
      </c>
      <c r="G280" s="32">
        <v>2025</v>
      </c>
      <c r="H280" s="38" t="s">
        <v>27</v>
      </c>
      <c r="I280" s="29" t="s">
        <v>1599</v>
      </c>
      <c r="J280" s="28" t="s">
        <v>84</v>
      </c>
      <c r="K280" s="32" t="s">
        <v>80</v>
      </c>
      <c r="L280" s="32" t="s">
        <v>80</v>
      </c>
      <c r="M280" s="28" t="s">
        <v>30</v>
      </c>
      <c r="N280" s="28" t="s">
        <v>80</v>
      </c>
      <c r="O280" s="28"/>
      <c r="P280" s="32"/>
      <c r="Q280" s="35">
        <v>10</v>
      </c>
      <c r="R280" s="32" t="s">
        <v>31</v>
      </c>
      <c r="S280" s="33" t="s">
        <v>32</v>
      </c>
      <c r="T280" s="4" t="str">
        <f>IF(OR(Tabela1[[#This Row],[Grau de Risco]]="Médio",Tabela1[[#This Row],[Grau de Risco]]="Baixo"),"Não","Sim")</f>
        <v>Não</v>
      </c>
    </row>
    <row r="281" spans="1:20" hidden="1">
      <c r="A281" s="5" t="s">
        <v>7</v>
      </c>
      <c r="B281" s="33" t="s">
        <v>1805</v>
      </c>
      <c r="C281" s="28" t="s">
        <v>41</v>
      </c>
      <c r="D281" s="38" t="s">
        <v>1382</v>
      </c>
      <c r="E281" s="32">
        <v>16</v>
      </c>
      <c r="F281" s="32">
        <v>4</v>
      </c>
      <c r="G281" s="32">
        <v>2025</v>
      </c>
      <c r="H281" s="36" t="s">
        <v>112</v>
      </c>
      <c r="I281" s="29" t="s">
        <v>1600</v>
      </c>
      <c r="J281" s="28" t="s">
        <v>54</v>
      </c>
      <c r="K281" s="32" t="s">
        <v>44</v>
      </c>
      <c r="L281" s="32" t="s">
        <v>44</v>
      </c>
      <c r="M281" s="28" t="s">
        <v>30</v>
      </c>
      <c r="N281" s="28" t="s">
        <v>44</v>
      </c>
      <c r="O281" s="28"/>
      <c r="P281" s="32"/>
      <c r="Q281" s="35">
        <v>5</v>
      </c>
      <c r="R281" s="32" t="s">
        <v>102</v>
      </c>
      <c r="S281" s="10" t="s">
        <v>63</v>
      </c>
      <c r="T281" s="4" t="str">
        <f>IF(OR(Tabela1[[#This Row],[Grau de Risco]]="Médio",Tabela1[[#This Row],[Grau de Risco]]="Baixo"),"Não","Sim")</f>
        <v>Sim</v>
      </c>
    </row>
    <row r="282" spans="1:20" hidden="1">
      <c r="A282" s="28" t="s">
        <v>11</v>
      </c>
      <c r="B282" s="10" t="s">
        <v>1797</v>
      </c>
      <c r="C282" s="28" t="s">
        <v>41</v>
      </c>
      <c r="D282" s="38" t="s">
        <v>1393</v>
      </c>
      <c r="E282" s="32">
        <v>29</v>
      </c>
      <c r="F282" s="32">
        <v>4</v>
      </c>
      <c r="G282" s="32">
        <v>2025</v>
      </c>
      <c r="H282" s="36" t="s">
        <v>256</v>
      </c>
      <c r="I282" s="29" t="s">
        <v>1601</v>
      </c>
      <c r="J282" s="28" t="s">
        <v>84</v>
      </c>
      <c r="K282" s="32" t="s">
        <v>44</v>
      </c>
      <c r="L282" s="32" t="s">
        <v>44</v>
      </c>
      <c r="M282" s="28" t="s">
        <v>30</v>
      </c>
      <c r="N282" s="28" t="s">
        <v>44</v>
      </c>
      <c r="O282" s="28"/>
      <c r="P282" s="32" t="s">
        <v>102</v>
      </c>
      <c r="Q282" s="35">
        <v>4</v>
      </c>
      <c r="R282" s="32" t="s">
        <v>102</v>
      </c>
      <c r="S282" s="10" t="s">
        <v>63</v>
      </c>
      <c r="T282" s="4" t="str">
        <f>IF(OR(Tabela1[[#This Row],[Grau de Risco]]="Médio",Tabela1[[#This Row],[Grau de Risco]]="Baixo"),"Não","Sim")</f>
        <v>Sim</v>
      </c>
    </row>
    <row r="283" spans="1:20">
      <c r="A283" s="4" t="s">
        <v>7</v>
      </c>
      <c r="B283" s="10" t="s">
        <v>1809</v>
      </c>
      <c r="C283" s="4"/>
      <c r="D283" s="38" t="s">
        <v>1393</v>
      </c>
      <c r="E283" s="3">
        <v>13</v>
      </c>
      <c r="F283" s="3">
        <v>5</v>
      </c>
      <c r="G283" s="3">
        <v>2025</v>
      </c>
      <c r="H283" s="5" t="s">
        <v>256</v>
      </c>
      <c r="I283" s="7" t="s">
        <v>1842</v>
      </c>
      <c r="J283" s="4" t="s">
        <v>50</v>
      </c>
      <c r="K283" s="3"/>
      <c r="L283" s="3">
        <v>0</v>
      </c>
      <c r="M283" s="4" t="s">
        <v>30</v>
      </c>
      <c r="N283" s="4">
        <v>0</v>
      </c>
      <c r="O283" s="4"/>
      <c r="P283" s="3" t="s">
        <v>52</v>
      </c>
      <c r="Q283" s="11">
        <v>14</v>
      </c>
      <c r="R283" s="3" t="s">
        <v>52</v>
      </c>
      <c r="S283" s="5" t="s">
        <v>56</v>
      </c>
      <c r="T283" s="4" t="str">
        <f>IF(OR(Tabela1[[#This Row],[Grau de Risco]]="Médio",Tabela1[[#This Row],[Grau de Risco]]="Baixo"),"Não","Sim")</f>
        <v>Não</v>
      </c>
    </row>
    <row r="284" spans="1:20">
      <c r="A284" s="28" t="s">
        <v>7</v>
      </c>
      <c r="B284" s="10" t="s">
        <v>1809</v>
      </c>
      <c r="C284" s="28" t="s">
        <v>252</v>
      </c>
      <c r="D284" s="28" t="s">
        <v>1393</v>
      </c>
      <c r="E284" s="32">
        <v>23</v>
      </c>
      <c r="F284" s="32">
        <v>9</v>
      </c>
      <c r="G284" s="32">
        <v>2025</v>
      </c>
      <c r="H284" s="34" t="s">
        <v>66</v>
      </c>
      <c r="I284" s="29" t="s">
        <v>1306</v>
      </c>
      <c r="J284" s="28" t="s">
        <v>91</v>
      </c>
      <c r="K284" s="32"/>
      <c r="L284" s="32"/>
      <c r="M284" s="28"/>
      <c r="N284" s="28"/>
      <c r="O284" s="28" t="s">
        <v>51</v>
      </c>
      <c r="P284" s="32"/>
      <c r="Q284" s="35">
        <v>14</v>
      </c>
      <c r="R284" s="32" t="s">
        <v>52</v>
      </c>
      <c r="S284" s="10" t="s">
        <v>56</v>
      </c>
      <c r="T284" s="4" t="str">
        <f>IF(OR(Tabela1[[#This Row],[Grau de Risco]]="Médio",Tabela1[[#This Row],[Grau de Risco]]="Baixo"),"Não","Sim")</f>
        <v>Não</v>
      </c>
    </row>
    <row r="285" spans="1:20" hidden="1">
      <c r="A285" s="28" t="s">
        <v>2</v>
      </c>
      <c r="B285" s="33" t="s">
        <v>1800</v>
      </c>
      <c r="C285" s="28" t="s">
        <v>252</v>
      </c>
      <c r="D285" s="58" t="s">
        <v>1409</v>
      </c>
      <c r="E285" s="32">
        <v>7</v>
      </c>
      <c r="F285" s="32">
        <v>8</v>
      </c>
      <c r="G285" s="32">
        <v>2025</v>
      </c>
      <c r="H285" s="38" t="s">
        <v>48</v>
      </c>
      <c r="I285" s="7" t="s">
        <v>1386</v>
      </c>
      <c r="J285" s="28" t="s">
        <v>76</v>
      </c>
      <c r="K285" s="32">
        <v>30</v>
      </c>
      <c r="L285" s="32" t="s">
        <v>80</v>
      </c>
      <c r="M285" s="28" t="s">
        <v>80</v>
      </c>
      <c r="N285" s="28" t="s">
        <v>80</v>
      </c>
      <c r="O285" s="28" t="s">
        <v>70</v>
      </c>
      <c r="P285" s="32" t="s">
        <v>31</v>
      </c>
      <c r="Q285" s="35">
        <v>10</v>
      </c>
      <c r="R285" s="32" t="s">
        <v>31</v>
      </c>
      <c r="S285" s="33" t="s">
        <v>32</v>
      </c>
      <c r="T285" s="4" t="str">
        <f>IF(OR(Tabela1[[#This Row],[Grau de Risco]]="Médio",Tabela1[[#This Row],[Grau de Risco]]="Baixo"),"Não","Sim")</f>
        <v>Não</v>
      </c>
    </row>
    <row r="286" spans="1:20" hidden="1">
      <c r="A286" s="28" t="s">
        <v>1110</v>
      </c>
      <c r="B286" s="10" t="s">
        <v>1805</v>
      </c>
      <c r="C286" s="4" t="s">
        <v>252</v>
      </c>
      <c r="D286" s="4" t="s">
        <v>1320</v>
      </c>
      <c r="E286" s="3">
        <v>25</v>
      </c>
      <c r="F286" s="3">
        <v>8</v>
      </c>
      <c r="G286" s="3">
        <v>2025</v>
      </c>
      <c r="H286" s="21" t="s">
        <v>107</v>
      </c>
      <c r="I286" s="7" t="s">
        <v>1602</v>
      </c>
      <c r="J286" s="4" t="s">
        <v>69</v>
      </c>
      <c r="K286" s="3" t="s">
        <v>44</v>
      </c>
      <c r="L286" s="3" t="s">
        <v>44</v>
      </c>
      <c r="M286" s="4"/>
      <c r="N286" s="4" t="s">
        <v>44</v>
      </c>
      <c r="O286" s="4"/>
      <c r="P286" s="3"/>
      <c r="Q286" s="11">
        <v>4</v>
      </c>
      <c r="R286" s="3" t="str">
        <f>IF(Q286="","",IF(Q286&lt;4,"Crítico",IF(Q286&lt;9,"Alto",IF(Q286&lt;14,"Médio","Baixo"))))</f>
        <v>Alto</v>
      </c>
      <c r="S286" s="10" t="s">
        <v>56</v>
      </c>
      <c r="T286" s="4" t="str">
        <f>IF(OR(Tabela1[[#This Row],[Grau de Risco]]="Médio",Tabela1[[#This Row],[Grau de Risco]]="Baixo"),"Não","Sim")</f>
        <v>Sim</v>
      </c>
    </row>
    <row r="287" spans="1:20" hidden="1">
      <c r="A287" s="4" t="s">
        <v>7</v>
      </c>
      <c r="B287" s="10" t="s">
        <v>1797</v>
      </c>
      <c r="C287" s="4" t="s">
        <v>81</v>
      </c>
      <c r="D287" s="5" t="s">
        <v>1409</v>
      </c>
      <c r="E287" s="3">
        <v>28</v>
      </c>
      <c r="F287" s="3">
        <v>8</v>
      </c>
      <c r="G287" s="3">
        <v>2025</v>
      </c>
      <c r="H287" s="5" t="s">
        <v>66</v>
      </c>
      <c r="I287" s="7" t="s">
        <v>1529</v>
      </c>
      <c r="J287" s="4" t="s">
        <v>69</v>
      </c>
      <c r="K287" s="3" t="s">
        <v>44</v>
      </c>
      <c r="L287" s="3" t="s">
        <v>44</v>
      </c>
      <c r="M287" s="4"/>
      <c r="N287" s="4" t="s">
        <v>44</v>
      </c>
      <c r="O287" s="4"/>
      <c r="P287" s="3"/>
      <c r="Q287" s="11">
        <v>14</v>
      </c>
      <c r="R287" s="3" t="s">
        <v>52</v>
      </c>
      <c r="S287" s="10" t="s">
        <v>56</v>
      </c>
      <c r="T287" s="4" t="str">
        <f>IF(OR(Tabela1[[#This Row],[Grau de Risco]]="Médio",Tabela1[[#This Row],[Grau de Risco]]="Baixo"),"Não","Sim")</f>
        <v>Não</v>
      </c>
    </row>
    <row r="288" spans="1:20" hidden="1">
      <c r="A288" s="28" t="s">
        <v>7</v>
      </c>
      <c r="B288" s="33" t="s">
        <v>1797</v>
      </c>
      <c r="C288" s="28" t="s">
        <v>81</v>
      </c>
      <c r="D288" s="28" t="s">
        <v>1393</v>
      </c>
      <c r="E288" s="32">
        <v>23</v>
      </c>
      <c r="F288" s="32">
        <v>10</v>
      </c>
      <c r="G288" s="32">
        <v>2025</v>
      </c>
      <c r="H288" s="34" t="s">
        <v>27</v>
      </c>
      <c r="I288" s="29" t="s">
        <v>1532</v>
      </c>
      <c r="J288" s="28" t="s">
        <v>73</v>
      </c>
      <c r="K288" s="32"/>
      <c r="L288" s="32"/>
      <c r="M288" s="28"/>
      <c r="N288" s="28"/>
      <c r="O288" s="28" t="s">
        <v>4</v>
      </c>
      <c r="P288" s="32"/>
      <c r="Q288" s="35">
        <v>11</v>
      </c>
      <c r="R288" s="32" t="s">
        <v>31</v>
      </c>
      <c r="S288" s="10" t="s">
        <v>63</v>
      </c>
      <c r="T288" s="4" t="str">
        <f>IF(OR(Tabela1[[#This Row],[Grau de Risco]]="Médio",Tabela1[[#This Row],[Grau de Risco]]="Baixo"),"Não","Sim")</f>
        <v>Não</v>
      </c>
    </row>
    <row r="289" spans="1:20" hidden="1">
      <c r="A289" s="28" t="s">
        <v>7</v>
      </c>
      <c r="B289" s="28" t="s">
        <v>1805</v>
      </c>
      <c r="C289" s="32" t="s">
        <v>252</v>
      </c>
      <c r="D289" s="32" t="s">
        <v>47</v>
      </c>
      <c r="E289" s="32">
        <v>14</v>
      </c>
      <c r="F289" s="32">
        <v>11</v>
      </c>
      <c r="G289" s="32">
        <v>2025</v>
      </c>
      <c r="H289" s="32" t="s">
        <v>59</v>
      </c>
      <c r="I289" s="76" t="s">
        <v>1553</v>
      </c>
      <c r="J289" s="32" t="s">
        <v>73</v>
      </c>
      <c r="K289" s="32"/>
      <c r="L289" s="32"/>
      <c r="M289" s="32"/>
      <c r="N289" s="32"/>
      <c r="O289" s="32" t="s">
        <v>4</v>
      </c>
      <c r="P289" s="32"/>
      <c r="Q289" s="32">
        <v>11</v>
      </c>
      <c r="R289" s="32" t="s">
        <v>31</v>
      </c>
      <c r="S289" s="4" t="s">
        <v>63</v>
      </c>
      <c r="T289" s="4" t="str">
        <f>IF(OR(Tabela1[[#This Row],[Grau de Risco]]="Médio",Tabela1[[#This Row],[Grau de Risco]]="Baixo"),"Não","Sim")</f>
        <v>Não</v>
      </c>
    </row>
    <row r="290" spans="1:20">
      <c r="A290" s="28" t="s">
        <v>7</v>
      </c>
      <c r="B290" s="10" t="s">
        <v>1809</v>
      </c>
      <c r="C290" s="4" t="s">
        <v>252</v>
      </c>
      <c r="D290" s="4" t="s">
        <v>1320</v>
      </c>
      <c r="E290" s="3">
        <v>24</v>
      </c>
      <c r="F290" s="3">
        <v>11</v>
      </c>
      <c r="G290" s="3">
        <v>2025</v>
      </c>
      <c r="H290" s="21" t="s">
        <v>27</v>
      </c>
      <c r="I290" s="7" t="s">
        <v>1603</v>
      </c>
      <c r="J290" s="4" t="s">
        <v>84</v>
      </c>
      <c r="K290" s="3" t="s">
        <v>44</v>
      </c>
      <c r="L290" s="3" t="s">
        <v>44</v>
      </c>
      <c r="M290" s="4"/>
      <c r="N290" s="4" t="s">
        <v>44</v>
      </c>
      <c r="O290" s="4"/>
      <c r="P290" s="3"/>
      <c r="Q290" s="11">
        <v>15</v>
      </c>
      <c r="R290" s="3" t="str">
        <f>IF(Q290="","",IF(Q290&lt;4,"Crítico",IF(Q290&lt;9,"Alto",IF(Q290&lt;14,"Médio","Baixo"))))</f>
        <v>Baixo</v>
      </c>
      <c r="S290" s="10" t="s">
        <v>63</v>
      </c>
      <c r="T290" s="4" t="str">
        <f>IF(OR(Tabela1[[#This Row],[Grau de Risco]]="Médio",Tabela1[[#This Row],[Grau de Risco]]="Baixo"),"Não","Sim")</f>
        <v>Não</v>
      </c>
    </row>
    <row r="291" spans="1:20">
      <c r="A291" s="5" t="s">
        <v>2</v>
      </c>
      <c r="B291" s="10" t="s">
        <v>1809</v>
      </c>
      <c r="C291" s="5" t="s">
        <v>81</v>
      </c>
      <c r="D291" s="5" t="s">
        <v>36</v>
      </c>
      <c r="E291" s="2">
        <v>20</v>
      </c>
      <c r="F291" s="2">
        <v>8</v>
      </c>
      <c r="G291" s="2">
        <v>2022</v>
      </c>
      <c r="H291" s="4" t="s">
        <v>27</v>
      </c>
      <c r="I291" s="5" t="s">
        <v>242</v>
      </c>
      <c r="J291" s="5" t="s">
        <v>169</v>
      </c>
      <c r="K291" s="2">
        <v>2</v>
      </c>
      <c r="L291" s="2">
        <v>2</v>
      </c>
      <c r="M291" s="5" t="s">
        <v>30</v>
      </c>
      <c r="O291" s="5" t="s">
        <v>45</v>
      </c>
      <c r="P291" s="2" t="s">
        <v>31</v>
      </c>
      <c r="Q291" s="2">
        <v>4</v>
      </c>
      <c r="R291" s="2" t="s">
        <v>102</v>
      </c>
      <c r="S291" s="5" t="s">
        <v>56</v>
      </c>
      <c r="T291" s="4" t="str">
        <f>IF(OR(Tabela1[[#This Row],[Grau de Risco]]="Médio",Tabela1[[#This Row],[Grau de Risco]]="Baixo"),"Não","Sim")</f>
        <v>Sim</v>
      </c>
    </row>
    <row r="292" spans="1:20" hidden="1">
      <c r="A292" s="4" t="s">
        <v>2</v>
      </c>
      <c r="B292" s="10" t="s">
        <v>1805</v>
      </c>
      <c r="C292" s="4"/>
      <c r="D292" s="38" t="s">
        <v>1393</v>
      </c>
      <c r="E292" s="3">
        <v>24</v>
      </c>
      <c r="F292" s="3">
        <v>5</v>
      </c>
      <c r="G292" s="3">
        <v>2022</v>
      </c>
      <c r="H292" s="5" t="s">
        <v>71</v>
      </c>
      <c r="I292" s="7" t="s">
        <v>304</v>
      </c>
      <c r="J292" s="4" t="s">
        <v>150</v>
      </c>
      <c r="K292" s="3">
        <v>4</v>
      </c>
      <c r="L292" s="3">
        <v>0</v>
      </c>
      <c r="M292" s="4" t="s">
        <v>30</v>
      </c>
      <c r="N292" s="4">
        <v>0</v>
      </c>
      <c r="O292" s="4" t="s">
        <v>117</v>
      </c>
      <c r="P292" s="3" t="s">
        <v>52</v>
      </c>
      <c r="Q292" s="11">
        <v>14</v>
      </c>
      <c r="R292" s="3" t="s">
        <v>52</v>
      </c>
      <c r="S292" s="5" t="s">
        <v>56</v>
      </c>
      <c r="T292" s="4" t="str">
        <f>IF(OR(Tabela1[[#This Row],[Grau de Risco]]="Médio",Tabela1[[#This Row],[Grau de Risco]]="Baixo"),"Não","Sim")</f>
        <v>Não</v>
      </c>
    </row>
    <row r="293" spans="1:20">
      <c r="A293" s="4" t="s">
        <v>7</v>
      </c>
      <c r="B293" s="10" t="s">
        <v>1809</v>
      </c>
      <c r="C293" s="4" t="s">
        <v>81</v>
      </c>
      <c r="D293" s="38" t="s">
        <v>47</v>
      </c>
      <c r="E293" s="3">
        <v>25</v>
      </c>
      <c r="F293" s="3">
        <v>8</v>
      </c>
      <c r="G293" s="3">
        <v>2023</v>
      </c>
      <c r="H293" s="36" t="s">
        <v>33</v>
      </c>
      <c r="I293" s="7" t="s">
        <v>504</v>
      </c>
      <c r="J293" s="4" t="s">
        <v>91</v>
      </c>
      <c r="K293" s="3">
        <v>0</v>
      </c>
      <c r="L293" s="3">
        <v>0</v>
      </c>
      <c r="M293" s="4" t="s">
        <v>30</v>
      </c>
      <c r="N293" s="4">
        <v>0</v>
      </c>
      <c r="O293" s="4" t="s">
        <v>55</v>
      </c>
      <c r="P293" s="3" t="s">
        <v>52</v>
      </c>
      <c r="Q293" s="11">
        <v>11</v>
      </c>
      <c r="R293" s="3" t="str">
        <f>IF(Q293="","",IF(Q293&lt;4,"Crítico",IF(Q293&lt;9,"Alto",IF(Q293&lt;14,"Médio","Baixo"))))</f>
        <v>Médio</v>
      </c>
      <c r="S293" s="5" t="s">
        <v>56</v>
      </c>
      <c r="T293" s="4" t="str">
        <f>IF(OR(Tabela1[[#This Row],[Grau de Risco]]="Médio",Tabela1[[#This Row],[Grau de Risco]]="Baixo"),"Não","Sim")</f>
        <v>Não</v>
      </c>
    </row>
    <row r="294" spans="1:20">
      <c r="A294" s="5" t="s">
        <v>2</v>
      </c>
      <c r="B294" s="10" t="s">
        <v>1809</v>
      </c>
      <c r="C294" s="5" t="s">
        <v>26</v>
      </c>
      <c r="D294" s="38" t="s">
        <v>1320</v>
      </c>
      <c r="E294" s="3">
        <v>27</v>
      </c>
      <c r="F294" s="3">
        <v>3</v>
      </c>
      <c r="G294" s="3">
        <v>2023</v>
      </c>
      <c r="H294" s="36" t="s">
        <v>107</v>
      </c>
      <c r="I294" s="4" t="s">
        <v>536</v>
      </c>
      <c r="J294" s="4" t="s">
        <v>69</v>
      </c>
      <c r="K294" s="3">
        <v>15</v>
      </c>
      <c r="L294" s="3">
        <v>0</v>
      </c>
      <c r="M294" s="4" t="s">
        <v>30</v>
      </c>
      <c r="N294" s="4">
        <v>15</v>
      </c>
      <c r="O294" s="4" t="s">
        <v>45</v>
      </c>
      <c r="P294" s="3" t="s">
        <v>102</v>
      </c>
      <c r="Q294" s="3">
        <v>5</v>
      </c>
      <c r="R294" s="2" t="s">
        <v>102</v>
      </c>
      <c r="S294" s="10" t="s">
        <v>4</v>
      </c>
      <c r="T294" s="4" t="str">
        <f>IF(OR(Tabela1[[#This Row],[Grau de Risco]]="Médio",Tabela1[[#This Row],[Grau de Risco]]="Baixo"),"Não","Sim")</f>
        <v>Sim</v>
      </c>
    </row>
    <row r="295" spans="1:20">
      <c r="A295" s="4" t="s">
        <v>2</v>
      </c>
      <c r="B295" s="10" t="s">
        <v>1809</v>
      </c>
      <c r="C295" s="5" t="s">
        <v>26</v>
      </c>
      <c r="D295" s="58" t="s">
        <v>1409</v>
      </c>
      <c r="E295" s="3">
        <v>19</v>
      </c>
      <c r="F295" s="3">
        <v>1</v>
      </c>
      <c r="G295" s="3">
        <v>2023</v>
      </c>
      <c r="H295" s="36" t="s">
        <v>33</v>
      </c>
      <c r="I295" s="7" t="s">
        <v>548</v>
      </c>
      <c r="J295" s="4" t="s">
        <v>69</v>
      </c>
      <c r="K295" s="3">
        <v>7</v>
      </c>
      <c r="L295" s="3">
        <v>0</v>
      </c>
      <c r="M295" s="4" t="s">
        <v>30</v>
      </c>
      <c r="N295" s="4">
        <v>7</v>
      </c>
      <c r="O295" s="4" t="s">
        <v>55</v>
      </c>
      <c r="P295" s="3" t="s">
        <v>31</v>
      </c>
      <c r="Q295" s="11">
        <v>11</v>
      </c>
      <c r="R295" s="2" t="s">
        <v>31</v>
      </c>
      <c r="S295" s="10" t="s">
        <v>32</v>
      </c>
      <c r="T295" s="4" t="str">
        <f>IF(OR(Tabela1[[#This Row],[Grau de Risco]]="Médio",Tabela1[[#This Row],[Grau de Risco]]="Baixo"),"Não","Sim")</f>
        <v>Não</v>
      </c>
    </row>
    <row r="296" spans="1:20" hidden="1">
      <c r="A296" s="4" t="s">
        <v>2</v>
      </c>
      <c r="B296" s="10" t="s">
        <v>1800</v>
      </c>
      <c r="C296" s="4" t="s">
        <v>41</v>
      </c>
      <c r="D296" s="5" t="s">
        <v>36</v>
      </c>
      <c r="E296" s="3">
        <v>14</v>
      </c>
      <c r="F296" s="3">
        <v>10</v>
      </c>
      <c r="G296" s="3">
        <v>2023</v>
      </c>
      <c r="H296" s="36" t="s">
        <v>107</v>
      </c>
      <c r="I296" s="7" t="s">
        <v>604</v>
      </c>
      <c r="J296" s="4" t="s">
        <v>54</v>
      </c>
      <c r="K296" s="3">
        <v>2</v>
      </c>
      <c r="L296" s="3"/>
      <c r="M296" s="4"/>
      <c r="N296" s="4"/>
      <c r="O296" s="4" t="s">
        <v>4</v>
      </c>
      <c r="P296" s="3" t="s">
        <v>31</v>
      </c>
      <c r="Q296" s="11">
        <v>11</v>
      </c>
      <c r="R296" s="3" t="s">
        <v>31</v>
      </c>
      <c r="S296" s="10" t="s">
        <v>63</v>
      </c>
      <c r="T296" s="4" t="str">
        <f>IF(OR(Tabela1[[#This Row],[Grau de Risco]]="Médio",Tabela1[[#This Row],[Grau de Risco]]="Baixo"),"Não","Sim")</f>
        <v>Não</v>
      </c>
    </row>
    <row r="297" spans="1:20" hidden="1">
      <c r="A297" s="4" t="s">
        <v>8</v>
      </c>
      <c r="B297" s="10" t="s">
        <v>1800</v>
      </c>
      <c r="C297" s="4" t="s">
        <v>41</v>
      </c>
      <c r="D297" s="38" t="s">
        <v>1393</v>
      </c>
      <c r="E297" s="3">
        <v>22</v>
      </c>
      <c r="F297" s="3">
        <v>8</v>
      </c>
      <c r="G297" s="3">
        <v>2023</v>
      </c>
      <c r="H297" s="36" t="s">
        <v>66</v>
      </c>
      <c r="I297" s="7" t="s">
        <v>615</v>
      </c>
      <c r="J297" s="4" t="s">
        <v>54</v>
      </c>
      <c r="K297" s="3">
        <v>0</v>
      </c>
      <c r="L297" s="3">
        <v>0</v>
      </c>
      <c r="M297" s="4" t="s">
        <v>30</v>
      </c>
      <c r="N297" s="4"/>
      <c r="O297" s="4" t="s">
        <v>4</v>
      </c>
      <c r="P297" s="3" t="s">
        <v>52</v>
      </c>
      <c r="Q297" s="11">
        <v>15</v>
      </c>
      <c r="R297" s="3" t="s">
        <v>52</v>
      </c>
      <c r="S297" s="5" t="s">
        <v>56</v>
      </c>
      <c r="T297" s="4" t="str">
        <f>IF(OR(Tabela1[[#This Row],[Grau de Risco]]="Médio",Tabela1[[#This Row],[Grau de Risco]]="Baixo"),"Não","Sim")</f>
        <v>Não</v>
      </c>
    </row>
    <row r="298" spans="1:20" hidden="1">
      <c r="A298" s="4" t="s">
        <v>8</v>
      </c>
      <c r="B298" s="20" t="s">
        <v>1800</v>
      </c>
      <c r="C298" s="15" t="s">
        <v>81</v>
      </c>
      <c r="D298" s="38" t="s">
        <v>1393</v>
      </c>
      <c r="E298" s="18">
        <v>22</v>
      </c>
      <c r="F298" s="18">
        <v>8</v>
      </c>
      <c r="G298" s="18">
        <v>2023</v>
      </c>
      <c r="H298" s="5" t="s">
        <v>48</v>
      </c>
      <c r="I298" s="7" t="s">
        <v>616</v>
      </c>
      <c r="J298" s="4" t="s">
        <v>54</v>
      </c>
      <c r="K298" s="3">
        <v>0</v>
      </c>
      <c r="L298" s="3">
        <v>0</v>
      </c>
      <c r="M298" s="4" t="s">
        <v>30</v>
      </c>
      <c r="N298" s="4"/>
      <c r="O298" s="4" t="s">
        <v>4</v>
      </c>
      <c r="P298" s="3" t="s">
        <v>52</v>
      </c>
      <c r="Q298" s="11">
        <v>15</v>
      </c>
      <c r="R298" s="3" t="s">
        <v>52</v>
      </c>
      <c r="S298" s="5" t="s">
        <v>56</v>
      </c>
      <c r="T298" s="4" t="str">
        <f>IF(OR(Tabela1[[#This Row],[Grau de Risco]]="Médio",Tabela1[[#This Row],[Grau de Risco]]="Baixo"),"Não","Sim")</f>
        <v>Não</v>
      </c>
    </row>
    <row r="299" spans="1:20" hidden="1">
      <c r="A299" s="4" t="s">
        <v>8</v>
      </c>
      <c r="B299" s="10" t="s">
        <v>1800</v>
      </c>
      <c r="C299" s="4" t="s">
        <v>81</v>
      </c>
      <c r="D299" s="38" t="s">
        <v>47</v>
      </c>
      <c r="E299" s="3">
        <v>6</v>
      </c>
      <c r="F299" s="3">
        <v>10</v>
      </c>
      <c r="G299" s="3">
        <v>2023</v>
      </c>
      <c r="H299" s="4" t="s">
        <v>27</v>
      </c>
      <c r="I299" s="7" t="s">
        <v>635</v>
      </c>
      <c r="J299" s="4" t="s">
        <v>54</v>
      </c>
      <c r="K299" s="3">
        <v>0</v>
      </c>
      <c r="L299" s="3"/>
      <c r="M299" s="4"/>
      <c r="N299" s="4"/>
      <c r="O299" s="4" t="s">
        <v>45</v>
      </c>
      <c r="P299" s="3" t="s">
        <v>52</v>
      </c>
      <c r="Q299" s="11">
        <v>11</v>
      </c>
      <c r="R299" s="3" t="s">
        <v>31</v>
      </c>
      <c r="S299" s="5" t="s">
        <v>56</v>
      </c>
      <c r="T299" s="4" t="str">
        <f>IF(OR(Tabela1[[#This Row],[Grau de Risco]]="Médio",Tabela1[[#This Row],[Grau de Risco]]="Baixo"),"Não","Sim")</f>
        <v>Não</v>
      </c>
    </row>
    <row r="300" spans="1:20" hidden="1">
      <c r="A300" s="4" t="s">
        <v>7</v>
      </c>
      <c r="B300" s="10" t="s">
        <v>1805</v>
      </c>
      <c r="C300" s="4" t="s">
        <v>41</v>
      </c>
      <c r="D300" s="38" t="s">
        <v>1320</v>
      </c>
      <c r="E300" s="3">
        <v>5</v>
      </c>
      <c r="F300" s="3">
        <v>6</v>
      </c>
      <c r="G300" s="3">
        <v>2023</v>
      </c>
      <c r="H300" s="5" t="s">
        <v>48</v>
      </c>
      <c r="I300" s="7" t="s">
        <v>688</v>
      </c>
      <c r="J300" s="4" t="s">
        <v>93</v>
      </c>
      <c r="K300" s="3" t="s">
        <v>62</v>
      </c>
      <c r="L300" s="3">
        <v>0</v>
      </c>
      <c r="M300" s="4" t="s">
        <v>30</v>
      </c>
      <c r="N300" s="4">
        <v>0</v>
      </c>
      <c r="O300" s="4" t="s">
        <v>45</v>
      </c>
      <c r="P300" s="3" t="s">
        <v>31</v>
      </c>
      <c r="Q300" s="11">
        <v>5</v>
      </c>
      <c r="R300" s="3" t="s">
        <v>102</v>
      </c>
      <c r="S300" s="10" t="s">
        <v>178</v>
      </c>
      <c r="T300" s="4" t="str">
        <f>IF(OR(Tabela1[[#This Row],[Grau de Risco]]="Médio",Tabela1[[#This Row],[Grau de Risco]]="Baixo"),"Não","Sim")</f>
        <v>Sim</v>
      </c>
    </row>
    <row r="301" spans="1:20" hidden="1">
      <c r="A301" s="4" t="s">
        <v>2</v>
      </c>
      <c r="B301" s="10" t="s">
        <v>1805</v>
      </c>
      <c r="C301" s="4" t="s">
        <v>41</v>
      </c>
      <c r="D301" s="38" t="s">
        <v>1393</v>
      </c>
      <c r="E301" s="3">
        <v>20</v>
      </c>
      <c r="F301" s="3">
        <v>6</v>
      </c>
      <c r="G301" s="3">
        <v>2023</v>
      </c>
      <c r="H301" s="36" t="s">
        <v>66</v>
      </c>
      <c r="I301" s="7" t="s">
        <v>689</v>
      </c>
      <c r="J301" s="4" t="s">
        <v>93</v>
      </c>
      <c r="K301" s="3">
        <v>2</v>
      </c>
      <c r="L301" s="3">
        <v>0</v>
      </c>
      <c r="M301" s="4" t="s">
        <v>30</v>
      </c>
      <c r="N301" s="4">
        <v>0</v>
      </c>
      <c r="O301" s="4" t="s">
        <v>88</v>
      </c>
      <c r="P301" s="3" t="s">
        <v>31</v>
      </c>
      <c r="Q301" s="11">
        <v>14</v>
      </c>
      <c r="R301" s="3" t="s">
        <v>52</v>
      </c>
      <c r="S301" s="5" t="s">
        <v>56</v>
      </c>
      <c r="T301" s="4" t="str">
        <f>IF(OR(Tabela1[[#This Row],[Grau de Risco]]="Médio",Tabela1[[#This Row],[Grau de Risco]]="Baixo"),"Não","Sim")</f>
        <v>Não</v>
      </c>
    </row>
    <row r="302" spans="1:20" hidden="1">
      <c r="A302" s="38" t="s">
        <v>8</v>
      </c>
      <c r="B302" s="38" t="s">
        <v>1800</v>
      </c>
      <c r="C302" s="38" t="s">
        <v>252</v>
      </c>
      <c r="D302" s="58" t="s">
        <v>1409</v>
      </c>
      <c r="E302" s="50">
        <v>15</v>
      </c>
      <c r="F302" s="50">
        <v>8</v>
      </c>
      <c r="G302" s="50">
        <v>2024</v>
      </c>
      <c r="H302" s="5" t="s">
        <v>123</v>
      </c>
      <c r="I302" s="38" t="s">
        <v>720</v>
      </c>
      <c r="J302" s="38" t="s">
        <v>76</v>
      </c>
      <c r="K302" s="3">
        <v>0</v>
      </c>
      <c r="L302" s="38" t="s">
        <v>80</v>
      </c>
      <c r="M302" s="38" t="s">
        <v>30</v>
      </c>
      <c r="N302" s="38" t="s">
        <v>80</v>
      </c>
      <c r="O302" s="38" t="s">
        <v>88</v>
      </c>
      <c r="P302" s="38" t="s">
        <v>31</v>
      </c>
      <c r="Q302" s="38">
        <v>10</v>
      </c>
      <c r="R302" s="32" t="s">
        <v>31</v>
      </c>
      <c r="S302" s="38" t="s">
        <v>178</v>
      </c>
      <c r="T302" s="4" t="str">
        <f>IF(OR(Tabela1[[#This Row],[Grau de Risco]]="Médio",Tabela1[[#This Row],[Grau de Risco]]="Baixo"),"Não","Sim")</f>
        <v>Não</v>
      </c>
    </row>
    <row r="303" spans="1:20" hidden="1">
      <c r="A303" s="4" t="s">
        <v>8</v>
      </c>
      <c r="B303" s="10" t="s">
        <v>1805</v>
      </c>
      <c r="C303" s="4" t="s">
        <v>41</v>
      </c>
      <c r="D303" s="58" t="s">
        <v>1409</v>
      </c>
      <c r="E303" s="3">
        <v>31</v>
      </c>
      <c r="F303" s="3">
        <v>10</v>
      </c>
      <c r="G303" s="3">
        <v>2024</v>
      </c>
      <c r="H303" s="36" t="s">
        <v>107</v>
      </c>
      <c r="I303" s="7" t="s">
        <v>756</v>
      </c>
      <c r="J303" s="4" t="s">
        <v>38</v>
      </c>
      <c r="K303" s="3" t="s">
        <v>44</v>
      </c>
      <c r="L303" s="3" t="s">
        <v>30</v>
      </c>
      <c r="M303" s="4" t="s">
        <v>30</v>
      </c>
      <c r="N303" s="4" t="s">
        <v>44</v>
      </c>
      <c r="O303" s="4" t="s">
        <v>4</v>
      </c>
      <c r="P303" s="3" t="s">
        <v>52</v>
      </c>
      <c r="Q303" s="11">
        <v>15</v>
      </c>
      <c r="R303" s="3" t="s">
        <v>52</v>
      </c>
      <c r="S303" s="5" t="s">
        <v>56</v>
      </c>
      <c r="T303" s="4" t="str">
        <f>IF(OR(Tabela1[[#This Row],[Grau de Risco]]="Médio",Tabela1[[#This Row],[Grau de Risco]]="Baixo"),"Não","Sim")</f>
        <v>Não</v>
      </c>
    </row>
    <row r="304" spans="1:20">
      <c r="A304" s="47" t="s">
        <v>8</v>
      </c>
      <c r="B304" s="10" t="s">
        <v>1809</v>
      </c>
      <c r="C304" s="47" t="s">
        <v>81</v>
      </c>
      <c r="D304" s="58" t="s">
        <v>1409</v>
      </c>
      <c r="E304" s="31">
        <v>9</v>
      </c>
      <c r="F304" s="31">
        <v>5</v>
      </c>
      <c r="G304" s="31">
        <v>2024</v>
      </c>
      <c r="H304" s="5" t="s">
        <v>71</v>
      </c>
      <c r="I304" s="47" t="s">
        <v>793</v>
      </c>
      <c r="J304" s="47" t="s">
        <v>38</v>
      </c>
      <c r="K304" s="3">
        <v>0</v>
      </c>
      <c r="L304" s="31" t="s">
        <v>30</v>
      </c>
      <c r="M304" s="47" t="s">
        <v>30</v>
      </c>
      <c r="N304" s="31" t="s">
        <v>44</v>
      </c>
      <c r="O304" s="47" t="s">
        <v>4</v>
      </c>
      <c r="P304" s="31" t="s">
        <v>52</v>
      </c>
      <c r="Q304" s="31">
        <v>11</v>
      </c>
      <c r="R304" s="3" t="s">
        <v>31</v>
      </c>
      <c r="S304" s="5" t="s">
        <v>56</v>
      </c>
      <c r="T304" s="4" t="str">
        <f>IF(OR(Tabela1[[#This Row],[Grau de Risco]]="Médio",Tabela1[[#This Row],[Grau de Risco]]="Baixo"),"Não","Sim")</f>
        <v>Não</v>
      </c>
    </row>
    <row r="305" spans="1:20">
      <c r="A305" s="4" t="s">
        <v>8</v>
      </c>
      <c r="B305" s="10" t="s">
        <v>1809</v>
      </c>
      <c r="C305" s="4" t="s">
        <v>81</v>
      </c>
      <c r="D305" s="58" t="s">
        <v>1409</v>
      </c>
      <c r="E305" s="3">
        <v>16</v>
      </c>
      <c r="F305" s="3">
        <v>5</v>
      </c>
      <c r="G305" s="3">
        <v>2024</v>
      </c>
      <c r="H305" s="5" t="s">
        <v>123</v>
      </c>
      <c r="I305" s="7" t="s">
        <v>1812</v>
      </c>
      <c r="J305" s="4" t="s">
        <v>61</v>
      </c>
      <c r="K305" s="3">
        <v>5</v>
      </c>
      <c r="L305" s="3">
        <v>0</v>
      </c>
      <c r="M305" s="4" t="s">
        <v>25</v>
      </c>
      <c r="N305" s="4">
        <v>0</v>
      </c>
      <c r="O305" s="4" t="s">
        <v>301</v>
      </c>
      <c r="P305" s="3" t="s">
        <v>31</v>
      </c>
      <c r="Q305" s="11">
        <v>7</v>
      </c>
      <c r="R305" s="3" t="s">
        <v>102</v>
      </c>
      <c r="S305" s="10" t="s">
        <v>63</v>
      </c>
      <c r="T305" s="4" t="str">
        <f>IF(OR(Tabela1[[#This Row],[Grau de Risco]]="Médio",Tabela1[[#This Row],[Grau de Risco]]="Baixo"),"Não","Sim")</f>
        <v>Sim</v>
      </c>
    </row>
    <row r="306" spans="1:20">
      <c r="A306" s="4" t="s">
        <v>2</v>
      </c>
      <c r="B306" s="10" t="s">
        <v>1809</v>
      </c>
      <c r="C306" s="4" t="s">
        <v>81</v>
      </c>
      <c r="D306" s="38" t="s">
        <v>1320</v>
      </c>
      <c r="E306" s="3">
        <v>29</v>
      </c>
      <c r="F306" s="3">
        <v>1</v>
      </c>
      <c r="G306" s="3">
        <v>2024</v>
      </c>
      <c r="H306" s="5" t="s">
        <v>71</v>
      </c>
      <c r="I306" s="7" t="s">
        <v>894</v>
      </c>
      <c r="J306" s="4" t="s">
        <v>69</v>
      </c>
      <c r="K306" s="3">
        <v>1</v>
      </c>
      <c r="L306" s="3">
        <v>0</v>
      </c>
      <c r="M306" s="4" t="s">
        <v>30</v>
      </c>
      <c r="N306" s="4"/>
      <c r="O306" s="4" t="s">
        <v>51</v>
      </c>
      <c r="P306" s="3" t="s">
        <v>31</v>
      </c>
      <c r="Q306" s="11">
        <v>10</v>
      </c>
      <c r="R306" s="3" t="s">
        <v>31</v>
      </c>
      <c r="S306" s="10" t="s">
        <v>32</v>
      </c>
      <c r="T306" s="4" t="str">
        <f>IF(OR(Tabela1[[#This Row],[Grau de Risco]]="Médio",Tabela1[[#This Row],[Grau de Risco]]="Baixo"),"Não","Sim")</f>
        <v>Não</v>
      </c>
    </row>
    <row r="307" spans="1:20" hidden="1">
      <c r="A307" s="4" t="s">
        <v>2</v>
      </c>
      <c r="B307" s="10" t="s">
        <v>1800</v>
      </c>
      <c r="C307" s="4" t="s">
        <v>41</v>
      </c>
      <c r="D307" s="38" t="s">
        <v>1382</v>
      </c>
      <c r="E307" s="3">
        <v>15</v>
      </c>
      <c r="F307" s="3">
        <v>5</v>
      </c>
      <c r="G307" s="3">
        <v>2024</v>
      </c>
      <c r="H307" s="4" t="s">
        <v>27</v>
      </c>
      <c r="I307" s="7" t="s">
        <v>999</v>
      </c>
      <c r="J307" s="4" t="s">
        <v>54</v>
      </c>
      <c r="K307" s="3">
        <v>5</v>
      </c>
      <c r="L307" s="3" t="s">
        <v>80</v>
      </c>
      <c r="M307" s="4" t="s">
        <v>30</v>
      </c>
      <c r="N307" s="4" t="s">
        <v>80</v>
      </c>
      <c r="O307" s="4" t="s">
        <v>99</v>
      </c>
      <c r="P307" s="3" t="s">
        <v>31</v>
      </c>
      <c r="Q307" s="11">
        <v>10</v>
      </c>
      <c r="R307" s="3" t="s">
        <v>31</v>
      </c>
      <c r="S307" s="10" t="s">
        <v>4</v>
      </c>
      <c r="T307" s="4" t="str">
        <f>IF(OR(Tabela1[[#This Row],[Grau de Risco]]="Médio",Tabela1[[#This Row],[Grau de Risco]]="Baixo"),"Não","Sim")</f>
        <v>Não</v>
      </c>
    </row>
    <row r="308" spans="1:20" hidden="1">
      <c r="A308" s="38" t="s">
        <v>10</v>
      </c>
      <c r="B308" s="38" t="s">
        <v>1800</v>
      </c>
      <c r="C308" s="38" t="s">
        <v>252</v>
      </c>
      <c r="D308" s="58" t="s">
        <v>1409</v>
      </c>
      <c r="E308" s="50">
        <v>22</v>
      </c>
      <c r="F308" s="50">
        <v>8</v>
      </c>
      <c r="G308" s="50">
        <v>2024</v>
      </c>
      <c r="H308" s="36" t="s">
        <v>375</v>
      </c>
      <c r="I308" s="38" t="s">
        <v>1004</v>
      </c>
      <c r="J308" s="38" t="s">
        <v>54</v>
      </c>
      <c r="K308" s="3">
        <v>0</v>
      </c>
      <c r="L308" s="38" t="s">
        <v>80</v>
      </c>
      <c r="M308" s="38" t="s">
        <v>30</v>
      </c>
      <c r="N308" s="38" t="s">
        <v>80</v>
      </c>
      <c r="O308" s="38" t="s">
        <v>77</v>
      </c>
      <c r="P308" s="38"/>
      <c r="Q308" s="38">
        <v>10</v>
      </c>
      <c r="R308" s="32" t="s">
        <v>31</v>
      </c>
      <c r="S308" s="38" t="s">
        <v>63</v>
      </c>
      <c r="T308" s="4" t="str">
        <f>IF(OR(Tabela1[[#This Row],[Grau de Risco]]="Médio",Tabela1[[#This Row],[Grau de Risco]]="Baixo"),"Não","Sim")</f>
        <v>Não</v>
      </c>
    </row>
    <row r="309" spans="1:20" hidden="1">
      <c r="A309" s="5" t="s">
        <v>7</v>
      </c>
      <c r="B309" s="10" t="s">
        <v>1800</v>
      </c>
      <c r="C309" s="4" t="s">
        <v>41</v>
      </c>
      <c r="D309" s="38" t="s">
        <v>1393</v>
      </c>
      <c r="E309" s="3">
        <v>20</v>
      </c>
      <c r="F309" s="3">
        <v>2</v>
      </c>
      <c r="G309" s="3">
        <v>2024</v>
      </c>
      <c r="H309" s="36" t="s">
        <v>82</v>
      </c>
      <c r="I309" s="7" t="s">
        <v>1021</v>
      </c>
      <c r="J309" s="4" t="s">
        <v>54</v>
      </c>
      <c r="K309" s="3" t="s">
        <v>44</v>
      </c>
      <c r="L309" s="3" t="s">
        <v>30</v>
      </c>
      <c r="M309" s="4" t="s">
        <v>30</v>
      </c>
      <c r="N309" s="4" t="s">
        <v>44</v>
      </c>
      <c r="O309" s="4" t="s">
        <v>301</v>
      </c>
      <c r="P309" s="3"/>
      <c r="Q309" s="11">
        <v>11</v>
      </c>
      <c r="R309" s="3" t="s">
        <v>31</v>
      </c>
      <c r="S309" s="10" t="s">
        <v>63</v>
      </c>
      <c r="T309" s="4" t="str">
        <f>IF(OR(Tabela1[[#This Row],[Grau de Risco]]="Médio",Tabela1[[#This Row],[Grau de Risco]]="Baixo"),"Não","Sim")</f>
        <v>Não</v>
      </c>
    </row>
    <row r="310" spans="1:20" hidden="1">
      <c r="A310" s="4" t="s">
        <v>2</v>
      </c>
      <c r="B310" s="10" t="s">
        <v>1800</v>
      </c>
      <c r="C310" s="4" t="s">
        <v>81</v>
      </c>
      <c r="D310" s="38" t="s">
        <v>1393</v>
      </c>
      <c r="E310" s="3">
        <v>23</v>
      </c>
      <c r="F310" s="3">
        <v>4</v>
      </c>
      <c r="G310" s="3">
        <v>2024</v>
      </c>
      <c r="H310" s="5" t="s">
        <v>71</v>
      </c>
      <c r="I310" s="7" t="s">
        <v>1025</v>
      </c>
      <c r="J310" s="4" t="s">
        <v>54</v>
      </c>
      <c r="K310" s="45">
        <v>3</v>
      </c>
      <c r="L310" s="45" t="s">
        <v>80</v>
      </c>
      <c r="M310" s="46" t="s">
        <v>30</v>
      </c>
      <c r="N310" s="45" t="s">
        <v>80</v>
      </c>
      <c r="O310" s="45" t="s">
        <v>74</v>
      </c>
      <c r="P310" s="45" t="s">
        <v>52</v>
      </c>
      <c r="Q310" s="46">
        <v>14</v>
      </c>
      <c r="R310" s="3" t="s">
        <v>52</v>
      </c>
      <c r="S310" s="10" t="s">
        <v>32</v>
      </c>
      <c r="T310" s="4" t="str">
        <f>IF(OR(Tabela1[[#This Row],[Grau de Risco]]="Médio",Tabela1[[#This Row],[Grau de Risco]]="Baixo"),"Não","Sim")</f>
        <v>Não</v>
      </c>
    </row>
    <row r="311" spans="1:20" hidden="1">
      <c r="A311" s="5" t="s">
        <v>7</v>
      </c>
      <c r="B311" s="10" t="s">
        <v>1800</v>
      </c>
      <c r="C311" s="4" t="s">
        <v>252</v>
      </c>
      <c r="D311" s="5" t="s">
        <v>36</v>
      </c>
      <c r="E311" s="3">
        <v>18</v>
      </c>
      <c r="F311" s="3">
        <v>5</v>
      </c>
      <c r="G311" s="3">
        <v>2024</v>
      </c>
      <c r="H311" s="36" t="s">
        <v>66</v>
      </c>
      <c r="I311" s="7" t="s">
        <v>1026</v>
      </c>
      <c r="J311" s="4" t="s">
        <v>54</v>
      </c>
      <c r="K311" s="3" t="s">
        <v>44</v>
      </c>
      <c r="L311" s="3" t="s">
        <v>80</v>
      </c>
      <c r="M311" s="4" t="s">
        <v>30</v>
      </c>
      <c r="N311" s="4" t="s">
        <v>80</v>
      </c>
      <c r="O311" s="4" t="s">
        <v>4</v>
      </c>
      <c r="P311" s="3"/>
      <c r="Q311" s="11">
        <v>10</v>
      </c>
      <c r="R311" s="3" t="s">
        <v>31</v>
      </c>
      <c r="S311" s="10" t="s">
        <v>63</v>
      </c>
      <c r="T311" s="4" t="str">
        <f>IF(OR(Tabela1[[#This Row],[Grau de Risco]]="Médio",Tabela1[[#This Row],[Grau de Risco]]="Baixo"),"Não","Sim")</f>
        <v>Não</v>
      </c>
    </row>
    <row r="312" spans="1:20" hidden="1">
      <c r="A312" s="4" t="s">
        <v>2</v>
      </c>
      <c r="B312" s="10" t="s">
        <v>1804</v>
      </c>
      <c r="C312" s="4" t="s">
        <v>41</v>
      </c>
      <c r="D312" s="38" t="s">
        <v>47</v>
      </c>
      <c r="E312" s="3">
        <v>28</v>
      </c>
      <c r="F312" s="3">
        <v>6</v>
      </c>
      <c r="G312" s="3">
        <v>2024</v>
      </c>
      <c r="H312" s="36" t="s">
        <v>33</v>
      </c>
      <c r="I312" s="7" t="s">
        <v>1045</v>
      </c>
      <c r="J312" s="4" t="s">
        <v>290</v>
      </c>
      <c r="K312" s="3">
        <v>5</v>
      </c>
      <c r="L312" s="3">
        <v>0</v>
      </c>
      <c r="M312" s="4" t="s">
        <v>30</v>
      </c>
      <c r="N312" s="4">
        <v>0</v>
      </c>
      <c r="O312" s="4" t="s">
        <v>45</v>
      </c>
      <c r="P312" s="3" t="s">
        <v>31</v>
      </c>
      <c r="Q312" s="11">
        <v>4</v>
      </c>
      <c r="R312" s="3" t="s">
        <v>102</v>
      </c>
      <c r="S312" s="10" t="s">
        <v>178</v>
      </c>
      <c r="T312" s="4" t="str">
        <f>IF(OR(Tabela1[[#This Row],[Grau de Risco]]="Médio",Tabela1[[#This Row],[Grau de Risco]]="Baixo"),"Não","Sim")</f>
        <v>Sim</v>
      </c>
    </row>
    <row r="313" spans="1:20" hidden="1">
      <c r="A313" s="4" t="s">
        <v>2</v>
      </c>
      <c r="B313" s="10" t="s">
        <v>1797</v>
      </c>
      <c r="C313" s="4" t="s">
        <v>81</v>
      </c>
      <c r="D313" s="38" t="s">
        <v>1393</v>
      </c>
      <c r="E313" s="3">
        <v>20</v>
      </c>
      <c r="F313" s="3">
        <v>8</v>
      </c>
      <c r="G313" s="3">
        <v>2024</v>
      </c>
      <c r="H313" s="36" t="s">
        <v>66</v>
      </c>
      <c r="I313" s="7" t="s">
        <v>1047</v>
      </c>
      <c r="J313" s="4" t="s">
        <v>290</v>
      </c>
      <c r="K313" s="3">
        <v>3</v>
      </c>
      <c r="L313" s="3">
        <v>0</v>
      </c>
      <c r="M313" s="4"/>
      <c r="N313" s="4"/>
      <c r="O313" s="4" t="s">
        <v>51</v>
      </c>
      <c r="P313" s="3" t="s">
        <v>52</v>
      </c>
      <c r="Q313" s="11">
        <v>15</v>
      </c>
      <c r="R313" s="3" t="s">
        <v>52</v>
      </c>
      <c r="S313" s="5" t="s">
        <v>56</v>
      </c>
      <c r="T313" s="4" t="str">
        <f>IF(OR(Tabela1[[#This Row],[Grau de Risco]]="Médio",Tabela1[[#This Row],[Grau de Risco]]="Baixo"),"Não","Sim")</f>
        <v>Não</v>
      </c>
    </row>
    <row r="314" spans="1:20" hidden="1">
      <c r="A314" s="4" t="s">
        <v>7</v>
      </c>
      <c r="B314" s="10" t="s">
        <v>1802</v>
      </c>
      <c r="C314" s="4" t="s">
        <v>252</v>
      </c>
      <c r="D314" s="58" t="s">
        <v>1409</v>
      </c>
      <c r="E314" s="3">
        <v>27</v>
      </c>
      <c r="F314" s="3">
        <v>12</v>
      </c>
      <c r="G314" s="3">
        <v>2024</v>
      </c>
      <c r="H314" s="5" t="s">
        <v>71</v>
      </c>
      <c r="I314" s="7" t="s">
        <v>1076</v>
      </c>
      <c r="J314" s="4" t="s">
        <v>115</v>
      </c>
      <c r="K314" s="3"/>
      <c r="L314" s="3"/>
      <c r="M314" s="4"/>
      <c r="N314" s="4"/>
      <c r="O314" s="4" t="s">
        <v>159</v>
      </c>
      <c r="P314" s="3"/>
      <c r="Q314" s="11">
        <v>15</v>
      </c>
      <c r="R314" s="3" t="s">
        <v>52</v>
      </c>
      <c r="S314" s="5" t="s">
        <v>56</v>
      </c>
      <c r="T314" s="4" t="str">
        <f>IF(OR(Tabela1[[#This Row],[Grau de Risco]]="Médio",Tabela1[[#This Row],[Grau de Risco]]="Baixo"),"Não","Sim")</f>
        <v>Não</v>
      </c>
    </row>
    <row r="315" spans="1:20" hidden="1">
      <c r="A315" s="4" t="s">
        <v>2</v>
      </c>
      <c r="B315" s="10" t="s">
        <v>1805</v>
      </c>
      <c r="C315" s="4" t="s">
        <v>252</v>
      </c>
      <c r="D315" s="38" t="s">
        <v>1382</v>
      </c>
      <c r="E315" s="3">
        <v>13</v>
      </c>
      <c r="F315" s="3">
        <v>3</v>
      </c>
      <c r="G315" s="3">
        <v>2024</v>
      </c>
      <c r="H315" s="36" t="s">
        <v>107</v>
      </c>
      <c r="I315" s="7" t="s">
        <v>1082</v>
      </c>
      <c r="J315" s="4" t="s">
        <v>93</v>
      </c>
      <c r="K315" s="3">
        <v>7</v>
      </c>
      <c r="L315" s="3">
        <v>0</v>
      </c>
      <c r="M315" s="4" t="s">
        <v>30</v>
      </c>
      <c r="N315" s="4">
        <v>0</v>
      </c>
      <c r="O315" s="4" t="s">
        <v>45</v>
      </c>
      <c r="P315" s="3" t="s">
        <v>31</v>
      </c>
      <c r="Q315" s="11">
        <v>11</v>
      </c>
      <c r="R315" s="3" t="s">
        <v>31</v>
      </c>
      <c r="S315" s="5" t="s">
        <v>56</v>
      </c>
      <c r="T315" s="4" t="str">
        <f>IF(OR(Tabela1[[#This Row],[Grau de Risco]]="Médio",Tabela1[[#This Row],[Grau de Risco]]="Baixo"),"Não","Sim")</f>
        <v>Não</v>
      </c>
    </row>
    <row r="316" spans="1:20" hidden="1">
      <c r="A316" s="28" t="s">
        <v>2</v>
      </c>
      <c r="B316" s="33" t="s">
        <v>1800</v>
      </c>
      <c r="C316" s="28" t="s">
        <v>1119</v>
      </c>
      <c r="D316" s="38" t="s">
        <v>1409</v>
      </c>
      <c r="E316" s="32">
        <v>16</v>
      </c>
      <c r="F316" s="32">
        <v>1</v>
      </c>
      <c r="G316" s="32">
        <v>2025</v>
      </c>
      <c r="H316" s="38" t="s">
        <v>33</v>
      </c>
      <c r="I316" s="29" t="s">
        <v>1120</v>
      </c>
      <c r="J316" s="28" t="s">
        <v>54</v>
      </c>
      <c r="K316" s="32">
        <v>2</v>
      </c>
      <c r="L316" s="32" t="s">
        <v>80</v>
      </c>
      <c r="M316" s="28" t="s">
        <v>30</v>
      </c>
      <c r="N316" s="28" t="s">
        <v>80</v>
      </c>
      <c r="O316" s="28" t="s">
        <v>74</v>
      </c>
      <c r="P316" s="32" t="s">
        <v>31</v>
      </c>
      <c r="Q316" s="35">
        <v>10</v>
      </c>
      <c r="R316" s="32" t="s">
        <v>31</v>
      </c>
      <c r="S316" s="33" t="s">
        <v>141</v>
      </c>
      <c r="T316" s="4" t="str">
        <f>IF(OR(Tabela1[[#This Row],[Grau de Risco]]="Médio",Tabela1[[#This Row],[Grau de Risco]]="Baixo"),"Não","Sim")</f>
        <v>Não</v>
      </c>
    </row>
    <row r="317" spans="1:20" hidden="1">
      <c r="A317" s="4" t="s">
        <v>9</v>
      </c>
      <c r="B317" s="10" t="s">
        <v>1805</v>
      </c>
      <c r="C317" s="4" t="s">
        <v>252</v>
      </c>
      <c r="D317" s="58" t="s">
        <v>1409</v>
      </c>
      <c r="E317" s="3">
        <v>23</v>
      </c>
      <c r="F317" s="3">
        <v>1</v>
      </c>
      <c r="G317" s="3">
        <v>2025</v>
      </c>
      <c r="H317" s="36" t="s">
        <v>112</v>
      </c>
      <c r="I317" s="7" t="s">
        <v>1130</v>
      </c>
      <c r="J317" s="4" t="s">
        <v>93</v>
      </c>
      <c r="K317" s="3">
        <v>1</v>
      </c>
      <c r="L317" s="3">
        <v>0</v>
      </c>
      <c r="M317" s="4" t="s">
        <v>30</v>
      </c>
      <c r="N317" s="4"/>
      <c r="O317" s="4" t="s">
        <v>386</v>
      </c>
      <c r="P317" s="3" t="s">
        <v>31</v>
      </c>
      <c r="Q317" s="11">
        <v>10</v>
      </c>
      <c r="R317" s="3" t="s">
        <v>31</v>
      </c>
      <c r="S317" s="33" t="s">
        <v>63</v>
      </c>
      <c r="T317" s="4" t="str">
        <f>IF(OR(Tabela1[[#This Row],[Grau de Risco]]="Médio",Tabela1[[#This Row],[Grau de Risco]]="Baixo"),"Não","Sim")</f>
        <v>Não</v>
      </c>
    </row>
    <row r="318" spans="1:20" hidden="1">
      <c r="A318" s="28" t="s">
        <v>2</v>
      </c>
      <c r="B318" s="33" t="s">
        <v>1800</v>
      </c>
      <c r="C318" s="28" t="s">
        <v>252</v>
      </c>
      <c r="D318" s="38" t="s">
        <v>1320</v>
      </c>
      <c r="E318" s="32">
        <v>17</v>
      </c>
      <c r="F318" s="32">
        <v>2</v>
      </c>
      <c r="G318" s="32">
        <v>2025</v>
      </c>
      <c r="H318" s="38" t="s">
        <v>107</v>
      </c>
      <c r="I318" s="29" t="s">
        <v>1604</v>
      </c>
      <c r="J318" s="28" t="s">
        <v>84</v>
      </c>
      <c r="K318" s="32">
        <v>2</v>
      </c>
      <c r="L318" s="32" t="s">
        <v>80</v>
      </c>
      <c r="M318" s="28" t="s">
        <v>30</v>
      </c>
      <c r="N318" s="28" t="s">
        <v>80</v>
      </c>
      <c r="O318" s="28"/>
      <c r="P318" s="32" t="s">
        <v>31</v>
      </c>
      <c r="Q318" s="35">
        <v>11</v>
      </c>
      <c r="R318" s="32" t="s">
        <v>31</v>
      </c>
      <c r="S318" s="33" t="s">
        <v>56</v>
      </c>
      <c r="T318" s="4" t="str">
        <f>IF(OR(Tabela1[[#This Row],[Grau de Risco]]="Médio",Tabela1[[#This Row],[Grau de Risco]]="Baixo"),"Não","Sim")</f>
        <v>Não</v>
      </c>
    </row>
    <row r="319" spans="1:20" hidden="1">
      <c r="A319" s="4" t="s">
        <v>8</v>
      </c>
      <c r="B319" s="10" t="s">
        <v>1797</v>
      </c>
      <c r="C319" s="4" t="s">
        <v>41</v>
      </c>
      <c r="D319" s="58" t="s">
        <v>1409</v>
      </c>
      <c r="E319" s="3">
        <v>20</v>
      </c>
      <c r="F319" s="3">
        <v>3</v>
      </c>
      <c r="G319" s="3">
        <v>2025</v>
      </c>
      <c r="H319" s="34" t="s">
        <v>59</v>
      </c>
      <c r="I319" s="7" t="s">
        <v>1196</v>
      </c>
      <c r="J319" s="4" t="s">
        <v>69</v>
      </c>
      <c r="K319" s="3" t="s">
        <v>44</v>
      </c>
      <c r="L319" s="3" t="s">
        <v>44</v>
      </c>
      <c r="M319" s="4" t="s">
        <v>30</v>
      </c>
      <c r="N319" s="4" t="s">
        <v>44</v>
      </c>
      <c r="O319" s="4" t="s">
        <v>699</v>
      </c>
      <c r="P319" s="3" t="s">
        <v>52</v>
      </c>
      <c r="Q319" s="11">
        <v>14</v>
      </c>
      <c r="R319" s="3" t="s">
        <v>52</v>
      </c>
      <c r="S319" s="5" t="s">
        <v>56</v>
      </c>
      <c r="T319" s="4" t="str">
        <f>IF(OR(Tabela1[[#This Row],[Grau de Risco]]="Médio",Tabela1[[#This Row],[Grau de Risco]]="Baixo"),"Não","Sim")</f>
        <v>Não</v>
      </c>
    </row>
    <row r="320" spans="1:20" hidden="1">
      <c r="A320" s="28" t="s">
        <v>10</v>
      </c>
      <c r="B320" s="56" t="s">
        <v>1797</v>
      </c>
      <c r="C320" s="28" t="s">
        <v>41</v>
      </c>
      <c r="D320" s="38" t="s">
        <v>47</v>
      </c>
      <c r="E320" s="32">
        <v>4</v>
      </c>
      <c r="F320" s="32">
        <v>4</v>
      </c>
      <c r="G320" s="32">
        <v>2025</v>
      </c>
      <c r="H320" s="36" t="s">
        <v>112</v>
      </c>
      <c r="I320" s="29" t="s">
        <v>1249</v>
      </c>
      <c r="J320" s="28" t="s">
        <v>135</v>
      </c>
      <c r="K320" s="32"/>
      <c r="L320" s="32"/>
      <c r="M320" s="28"/>
      <c r="N320" s="28"/>
      <c r="O320" s="28" t="s">
        <v>51</v>
      </c>
      <c r="P320" s="32" t="s">
        <v>52</v>
      </c>
      <c r="Q320" s="11">
        <v>15</v>
      </c>
      <c r="R320" s="3" t="s">
        <v>52</v>
      </c>
      <c r="S320" s="10" t="s">
        <v>4</v>
      </c>
      <c r="T320" s="4" t="str">
        <f>IF(OR(Tabela1[[#This Row],[Grau de Risco]]="Médio",Tabela1[[#This Row],[Grau de Risco]]="Baixo"),"Não","Sim")</f>
        <v>Não</v>
      </c>
    </row>
    <row r="321" spans="1:20" hidden="1">
      <c r="A321" s="28" t="s">
        <v>7</v>
      </c>
      <c r="B321" s="33" t="s">
        <v>1797</v>
      </c>
      <c r="C321" s="28" t="s">
        <v>252</v>
      </c>
      <c r="D321" s="38" t="s">
        <v>1382</v>
      </c>
      <c r="E321" s="32">
        <v>28</v>
      </c>
      <c r="F321" s="32">
        <v>5</v>
      </c>
      <c r="G321" s="32">
        <v>2025</v>
      </c>
      <c r="H321" s="36" t="s">
        <v>82</v>
      </c>
      <c r="I321" s="29" t="s">
        <v>1271</v>
      </c>
      <c r="J321" s="28" t="s">
        <v>111</v>
      </c>
      <c r="K321" s="32"/>
      <c r="L321" s="32"/>
      <c r="M321" s="28"/>
      <c r="N321" s="28"/>
      <c r="O321" s="28" t="s">
        <v>45</v>
      </c>
      <c r="P321" s="32"/>
      <c r="Q321" s="11">
        <v>15</v>
      </c>
      <c r="R321" s="3" t="s">
        <v>52</v>
      </c>
      <c r="S321" s="5" t="s">
        <v>56</v>
      </c>
      <c r="T321" s="4" t="str">
        <f>IF(OR(Tabela1[[#This Row],[Grau de Risco]]="Médio",Tabela1[[#This Row],[Grau de Risco]]="Baixo"),"Não","Sim")</f>
        <v>Não</v>
      </c>
    </row>
    <row r="322" spans="1:20" hidden="1">
      <c r="A322" s="4" t="s">
        <v>10</v>
      </c>
      <c r="B322" s="10" t="s">
        <v>1793</v>
      </c>
      <c r="C322" s="4" t="s">
        <v>252</v>
      </c>
      <c r="D322" s="58" t="s">
        <v>1409</v>
      </c>
      <c r="E322" s="3">
        <v>3</v>
      </c>
      <c r="F322" s="3">
        <v>7</v>
      </c>
      <c r="G322" s="3">
        <v>2025</v>
      </c>
      <c r="H322" s="4" t="s">
        <v>27</v>
      </c>
      <c r="I322" s="7" t="s">
        <v>1332</v>
      </c>
      <c r="J322" s="4" t="s">
        <v>35</v>
      </c>
      <c r="K322" s="3">
        <v>27</v>
      </c>
      <c r="L322" s="3" t="s">
        <v>44</v>
      </c>
      <c r="M322" s="4" t="s">
        <v>25</v>
      </c>
      <c r="N322" s="4">
        <v>0</v>
      </c>
      <c r="O322" s="4" t="s">
        <v>101</v>
      </c>
      <c r="P322" s="3" t="s">
        <v>31</v>
      </c>
      <c r="Q322" s="11">
        <v>4</v>
      </c>
      <c r="R322" s="3" t="s">
        <v>102</v>
      </c>
      <c r="S322" s="10" t="s">
        <v>63</v>
      </c>
      <c r="T322" s="4" t="str">
        <f>IF(OR(Tabela1[[#This Row],[Grau de Risco]]="Médio",Tabela1[[#This Row],[Grau de Risco]]="Baixo"),"Não","Sim")</f>
        <v>Sim</v>
      </c>
    </row>
    <row r="323" spans="1:20">
      <c r="A323" s="28" t="s">
        <v>7</v>
      </c>
      <c r="B323" s="10" t="s">
        <v>1809</v>
      </c>
      <c r="C323" s="28" t="s">
        <v>81</v>
      </c>
      <c r="D323" s="38" t="s">
        <v>1320</v>
      </c>
      <c r="E323" s="32">
        <v>21</v>
      </c>
      <c r="F323" s="32">
        <v>7</v>
      </c>
      <c r="G323" s="32">
        <v>2025</v>
      </c>
      <c r="H323" s="5" t="s">
        <v>48</v>
      </c>
      <c r="I323" s="29" t="s">
        <v>1361</v>
      </c>
      <c r="J323" s="28" t="s">
        <v>91</v>
      </c>
      <c r="K323" s="32"/>
      <c r="L323" s="32"/>
      <c r="M323" s="28"/>
      <c r="N323" s="28"/>
      <c r="O323" s="28" t="s">
        <v>77</v>
      </c>
      <c r="P323" s="32"/>
      <c r="Q323" s="35">
        <v>10</v>
      </c>
      <c r="R323" s="32" t="s">
        <v>31</v>
      </c>
      <c r="S323" s="33" t="s">
        <v>63</v>
      </c>
      <c r="T323" s="4" t="str">
        <f>IF(OR(Tabela1[[#This Row],[Grau de Risco]]="Médio",Tabela1[[#This Row],[Grau de Risco]]="Baixo"),"Não","Sim")</f>
        <v>Não</v>
      </c>
    </row>
    <row r="324" spans="1:20" hidden="1">
      <c r="A324" s="28" t="s">
        <v>7</v>
      </c>
      <c r="B324" s="33" t="s">
        <v>1802</v>
      </c>
      <c r="C324" s="28" t="s">
        <v>81</v>
      </c>
      <c r="D324" s="28" t="s">
        <v>1320</v>
      </c>
      <c r="E324" s="32">
        <v>11</v>
      </c>
      <c r="F324" s="32">
        <v>8</v>
      </c>
      <c r="G324" s="32">
        <v>2025</v>
      </c>
      <c r="H324" s="34" t="s">
        <v>66</v>
      </c>
      <c r="I324" s="29" t="s">
        <v>1397</v>
      </c>
      <c r="J324" s="28" t="s">
        <v>61</v>
      </c>
      <c r="K324" s="32"/>
      <c r="L324" s="32"/>
      <c r="M324" s="28"/>
      <c r="N324" s="28"/>
      <c r="O324" s="28" t="s">
        <v>4</v>
      </c>
      <c r="P324" s="32"/>
      <c r="Q324" s="35">
        <v>14</v>
      </c>
      <c r="R324" s="32" t="s">
        <v>52</v>
      </c>
      <c r="S324" s="33" t="s">
        <v>63</v>
      </c>
      <c r="T324" s="4" t="str">
        <f>IF(OR(Tabela1[[#This Row],[Grau de Risco]]="Médio",Tabela1[[#This Row],[Grau de Risco]]="Baixo"),"Não","Sim")</f>
        <v>Não</v>
      </c>
    </row>
    <row r="325" spans="1:20" hidden="1">
      <c r="A325" s="28" t="s">
        <v>7</v>
      </c>
      <c r="B325" s="33" t="s">
        <v>1797</v>
      </c>
      <c r="C325" s="28" t="s">
        <v>81</v>
      </c>
      <c r="D325" s="28" t="s">
        <v>1393</v>
      </c>
      <c r="E325" s="32">
        <v>16</v>
      </c>
      <c r="F325" s="32">
        <v>9</v>
      </c>
      <c r="G325" s="32">
        <v>2025</v>
      </c>
      <c r="H325" s="34" t="s">
        <v>71</v>
      </c>
      <c r="I325" s="29" t="s">
        <v>1436</v>
      </c>
      <c r="J325" s="28" t="s">
        <v>111</v>
      </c>
      <c r="K325" s="32"/>
      <c r="L325" s="32"/>
      <c r="M325" s="28"/>
      <c r="N325" s="28"/>
      <c r="O325" s="28" t="s">
        <v>4</v>
      </c>
      <c r="P325" s="32"/>
      <c r="Q325" s="35">
        <v>15</v>
      </c>
      <c r="R325" s="32" t="s">
        <v>52</v>
      </c>
      <c r="S325" s="33" t="s">
        <v>63</v>
      </c>
      <c r="T325" s="4" t="str">
        <f>IF(OR(Tabela1[[#This Row],[Grau de Risco]]="Médio",Tabela1[[#This Row],[Grau de Risco]]="Baixo"),"Não","Sim")</f>
        <v>Não</v>
      </c>
    </row>
    <row r="326" spans="1:20" hidden="1">
      <c r="A326" s="28" t="s">
        <v>2</v>
      </c>
      <c r="B326" s="33" t="s">
        <v>1797</v>
      </c>
      <c r="C326" s="28" t="s">
        <v>81</v>
      </c>
      <c r="D326" s="28" t="s">
        <v>1409</v>
      </c>
      <c r="E326" s="32">
        <v>18</v>
      </c>
      <c r="F326" s="32">
        <v>9</v>
      </c>
      <c r="G326" s="32">
        <v>2025</v>
      </c>
      <c r="H326" s="34" t="s">
        <v>112</v>
      </c>
      <c r="I326" s="7" t="s">
        <v>1448</v>
      </c>
      <c r="J326" s="28" t="s">
        <v>150</v>
      </c>
      <c r="K326" s="32">
        <v>1</v>
      </c>
      <c r="L326" s="32"/>
      <c r="M326" s="28"/>
      <c r="N326" s="28"/>
      <c r="O326" s="28" t="s">
        <v>1210</v>
      </c>
      <c r="P326" s="32" t="s">
        <v>31</v>
      </c>
      <c r="Q326" s="35">
        <v>11</v>
      </c>
      <c r="R326" s="32" t="s">
        <v>31</v>
      </c>
      <c r="S326" s="33" t="s">
        <v>56</v>
      </c>
      <c r="T326" s="4" t="str">
        <f>IF(OR(Tabela1[[#This Row],[Grau de Risco]]="Médio",Tabela1[[#This Row],[Grau de Risco]]="Baixo"),"Não","Sim")</f>
        <v>Não</v>
      </c>
    </row>
    <row r="327" spans="1:20" hidden="1">
      <c r="A327" s="28" t="s">
        <v>8</v>
      </c>
      <c r="B327" s="33" t="s">
        <v>1802</v>
      </c>
      <c r="C327" s="28" t="s">
        <v>252</v>
      </c>
      <c r="D327" s="28" t="s">
        <v>1320</v>
      </c>
      <c r="E327" s="32">
        <v>27</v>
      </c>
      <c r="F327" s="32">
        <v>10</v>
      </c>
      <c r="G327" s="32">
        <v>2025</v>
      </c>
      <c r="H327" s="34" t="s">
        <v>82</v>
      </c>
      <c r="I327" s="29" t="s">
        <v>1482</v>
      </c>
      <c r="J327" s="28" t="s">
        <v>111</v>
      </c>
      <c r="K327" s="32"/>
      <c r="L327" s="32"/>
      <c r="M327" s="28"/>
      <c r="N327" s="28"/>
      <c r="O327" s="28" t="s">
        <v>45</v>
      </c>
      <c r="P327" s="3" t="s">
        <v>31</v>
      </c>
      <c r="Q327" s="35">
        <v>11</v>
      </c>
      <c r="R327" s="32" t="s">
        <v>31</v>
      </c>
      <c r="S327" s="33" t="s">
        <v>63</v>
      </c>
      <c r="T327" s="4" t="str">
        <f>IF(OR(Tabela1[[#This Row],[Grau de Risco]]="Médio",Tabela1[[#This Row],[Grau de Risco]]="Baixo"),"Não","Sim")</f>
        <v>Não</v>
      </c>
    </row>
    <row r="328" spans="1:20" hidden="1">
      <c r="A328" s="28" t="s">
        <v>9</v>
      </c>
      <c r="B328" s="33" t="s">
        <v>1793</v>
      </c>
      <c r="C328" s="28" t="s">
        <v>81</v>
      </c>
      <c r="D328" s="28" t="s">
        <v>47</v>
      </c>
      <c r="E328" s="32">
        <v>3</v>
      </c>
      <c r="F328" s="32">
        <v>10</v>
      </c>
      <c r="G328" s="32">
        <v>2025</v>
      </c>
      <c r="H328" s="34" t="s">
        <v>86</v>
      </c>
      <c r="I328" s="29" t="s">
        <v>1516</v>
      </c>
      <c r="J328" s="28" t="s">
        <v>35</v>
      </c>
      <c r="K328" s="32">
        <v>12</v>
      </c>
      <c r="L328" s="32">
        <v>0</v>
      </c>
      <c r="M328" s="28" t="s">
        <v>25</v>
      </c>
      <c r="N328" s="28"/>
      <c r="O328" s="28" t="s">
        <v>101</v>
      </c>
      <c r="P328" s="32" t="s">
        <v>31</v>
      </c>
      <c r="Q328" s="35">
        <v>5</v>
      </c>
      <c r="R328" s="3" t="s">
        <v>102</v>
      </c>
      <c r="S328" s="33" t="s">
        <v>63</v>
      </c>
      <c r="T328" s="4" t="str">
        <f>IF(OR(Tabela1[[#This Row],[Grau de Risco]]="Médio",Tabela1[[#This Row],[Grau de Risco]]="Baixo"),"Não","Sim")</f>
        <v>Sim</v>
      </c>
    </row>
    <row r="329" spans="1:20" hidden="1">
      <c r="A329" s="38" t="s">
        <v>8</v>
      </c>
      <c r="B329" s="38" t="s">
        <v>1800</v>
      </c>
      <c r="C329" s="38" t="s">
        <v>252</v>
      </c>
      <c r="D329" s="38" t="s">
        <v>1393</v>
      </c>
      <c r="E329" s="38">
        <v>17</v>
      </c>
      <c r="F329" s="38">
        <v>11</v>
      </c>
      <c r="G329" s="38">
        <v>2025</v>
      </c>
      <c r="H329" s="38" t="s">
        <v>48</v>
      </c>
      <c r="I329" t="s">
        <v>1539</v>
      </c>
      <c r="J329" s="38" t="s">
        <v>76</v>
      </c>
      <c r="K329" s="38" t="s">
        <v>80</v>
      </c>
      <c r="L329" s="38" t="s">
        <v>80</v>
      </c>
      <c r="M329" s="38" t="s">
        <v>30</v>
      </c>
      <c r="N329" s="38" t="s">
        <v>80</v>
      </c>
      <c r="O329" s="38" t="s">
        <v>88</v>
      </c>
      <c r="P329" s="38" t="s">
        <v>52</v>
      </c>
      <c r="Q329" s="38">
        <v>11</v>
      </c>
      <c r="R329" s="32" t="s">
        <v>31</v>
      </c>
      <c r="S329" s="38" t="s">
        <v>56</v>
      </c>
      <c r="T329" s="4" t="str">
        <f>IF(OR(Tabela1[[#This Row],[Grau de Risco]]="Médio",Tabela1[[#This Row],[Grau de Risco]]="Baixo"),"Não","Sim")</f>
        <v>Não</v>
      </c>
    </row>
    <row r="330" spans="1:20" hidden="1">
      <c r="A330" s="28" t="s">
        <v>7</v>
      </c>
      <c r="B330" s="10" t="s">
        <v>1797</v>
      </c>
      <c r="C330" s="4" t="s">
        <v>125</v>
      </c>
      <c r="D330" s="4" t="s">
        <v>148</v>
      </c>
      <c r="E330" s="3">
        <v>9</v>
      </c>
      <c r="F330" s="3">
        <v>11</v>
      </c>
      <c r="G330" s="3">
        <v>2025</v>
      </c>
      <c r="H330" s="21" t="s">
        <v>269</v>
      </c>
      <c r="I330" s="7" t="s">
        <v>1559</v>
      </c>
      <c r="J330" s="4" t="s">
        <v>35</v>
      </c>
      <c r="K330" s="3" t="s">
        <v>44</v>
      </c>
      <c r="L330" s="3" t="s">
        <v>44</v>
      </c>
      <c r="M330" s="4"/>
      <c r="N330" s="4" t="s">
        <v>44</v>
      </c>
      <c r="O330" s="4"/>
      <c r="P330" s="3"/>
      <c r="Q330" s="11">
        <v>14</v>
      </c>
      <c r="R330" s="3" t="str">
        <f>IF(Q330="","",IF(Q330&lt;4,"Crítico",IF(Q330&lt;9,"Alto",IF(Q330&lt;14,"Médio","Baixo"))))</f>
        <v>Baixo</v>
      </c>
      <c r="S330" s="10" t="s">
        <v>63</v>
      </c>
      <c r="T330" s="4" t="str">
        <f>IF(OR(Tabela1[[#This Row],[Grau de Risco]]="Médio",Tabela1[[#This Row],[Grau de Risco]]="Baixo"),"Não","Sim")</f>
        <v>Não</v>
      </c>
    </row>
    <row r="331" spans="1:20">
      <c r="A331" s="4" t="s">
        <v>8</v>
      </c>
      <c r="B331" s="10" t="s">
        <v>1809</v>
      </c>
      <c r="C331" s="4" t="s">
        <v>46</v>
      </c>
      <c r="D331" s="5" t="s">
        <v>36</v>
      </c>
      <c r="E331" s="3">
        <v>22</v>
      </c>
      <c r="F331" s="3">
        <v>1</v>
      </c>
      <c r="G331" s="3">
        <v>2022</v>
      </c>
      <c r="H331" s="36" t="s">
        <v>112</v>
      </c>
      <c r="I331" s="7" t="s">
        <v>288</v>
      </c>
      <c r="J331" s="4" t="s">
        <v>61</v>
      </c>
      <c r="K331" s="3">
        <v>0</v>
      </c>
      <c r="L331" s="3">
        <v>0</v>
      </c>
      <c r="M331" s="4" t="s">
        <v>30</v>
      </c>
      <c r="N331" s="4"/>
      <c r="O331" s="4" t="s">
        <v>77</v>
      </c>
      <c r="P331" s="3" t="s">
        <v>102</v>
      </c>
      <c r="Q331" s="11">
        <v>14</v>
      </c>
      <c r="R331" s="3" t="str">
        <f>IF(Q331="","",IF(Q331&lt;4,"Crítico",IF(Q331&lt;9,"Alto",IF(Q331&lt;14,"Médio","Baixo"))))</f>
        <v>Baixo</v>
      </c>
      <c r="S331" s="10" t="s">
        <v>63</v>
      </c>
      <c r="T331" s="4" t="str">
        <f>IF(OR(Tabela1[[#This Row],[Grau de Risco]]="Médio",Tabela1[[#This Row],[Grau de Risco]]="Baixo"),"Não","Sim")</f>
        <v>Não</v>
      </c>
    </row>
    <row r="332" spans="1:20" hidden="1">
      <c r="A332" s="5" t="s">
        <v>8</v>
      </c>
      <c r="B332" s="6" t="s">
        <v>1800</v>
      </c>
      <c r="C332" s="5" t="s">
        <v>81</v>
      </c>
      <c r="D332" s="38" t="s">
        <v>47</v>
      </c>
      <c r="E332" s="2">
        <v>1</v>
      </c>
      <c r="F332" s="2">
        <v>4</v>
      </c>
      <c r="G332" s="2">
        <v>2022</v>
      </c>
      <c r="H332" s="36" t="s">
        <v>66</v>
      </c>
      <c r="I332" s="5" t="s">
        <v>313</v>
      </c>
      <c r="J332" s="5" t="s">
        <v>38</v>
      </c>
      <c r="K332" s="2">
        <v>0</v>
      </c>
      <c r="L332" s="2">
        <v>0</v>
      </c>
      <c r="M332" s="5" t="s">
        <v>30</v>
      </c>
      <c r="O332" s="5" t="s">
        <v>85</v>
      </c>
      <c r="P332" s="2" t="s">
        <v>31</v>
      </c>
      <c r="Q332" s="2">
        <v>4</v>
      </c>
      <c r="R332" s="2" t="s">
        <v>102</v>
      </c>
      <c r="S332" s="5" t="s">
        <v>40</v>
      </c>
      <c r="T332" s="4" t="str">
        <f>IF(OR(Tabela1[[#This Row],[Grau de Risco]]="Médio",Tabela1[[#This Row],[Grau de Risco]]="Baixo"),"Não","Sim")</f>
        <v>Sim</v>
      </c>
    </row>
    <row r="333" spans="1:20">
      <c r="A333" s="5" t="s">
        <v>8</v>
      </c>
      <c r="B333" s="10" t="s">
        <v>1809</v>
      </c>
      <c r="C333" s="5" t="s">
        <v>81</v>
      </c>
      <c r="D333" s="38" t="s">
        <v>1393</v>
      </c>
      <c r="E333" s="2">
        <v>6</v>
      </c>
      <c r="F333" s="2">
        <v>12</v>
      </c>
      <c r="G333" s="2">
        <v>2022</v>
      </c>
      <c r="H333" s="36" t="s">
        <v>33</v>
      </c>
      <c r="I333" s="5" t="s">
        <v>1605</v>
      </c>
      <c r="J333" s="5" t="s">
        <v>54</v>
      </c>
      <c r="K333" s="2">
        <v>0</v>
      </c>
      <c r="L333" s="2">
        <v>0</v>
      </c>
      <c r="M333" s="5" t="s">
        <v>30</v>
      </c>
      <c r="Q333" s="2">
        <v>14</v>
      </c>
      <c r="R333" s="2" t="s">
        <v>52</v>
      </c>
      <c r="S333" s="10" t="s">
        <v>32</v>
      </c>
      <c r="T333" s="4" t="str">
        <f>IF(OR(Tabela1[[#This Row],[Grau de Risco]]="Médio",Tabela1[[#This Row],[Grau de Risco]]="Baixo"),"Não","Sim")</f>
        <v>Não</v>
      </c>
    </row>
    <row r="334" spans="1:20" hidden="1">
      <c r="A334" s="5" t="s">
        <v>2</v>
      </c>
      <c r="B334" s="6" t="s">
        <v>1800</v>
      </c>
      <c r="C334" s="5" t="s">
        <v>81</v>
      </c>
      <c r="D334" s="58" t="s">
        <v>1409</v>
      </c>
      <c r="E334" s="2">
        <v>1</v>
      </c>
      <c r="F334" s="2">
        <v>12</v>
      </c>
      <c r="G334" s="2">
        <v>2022</v>
      </c>
      <c r="H334" s="5" t="s">
        <v>71</v>
      </c>
      <c r="I334" s="5" t="s">
        <v>376</v>
      </c>
      <c r="J334" s="5" t="s">
        <v>84</v>
      </c>
      <c r="K334" s="2">
        <v>127</v>
      </c>
      <c r="L334" s="2">
        <v>127</v>
      </c>
      <c r="M334" s="5" t="s">
        <v>30</v>
      </c>
      <c r="O334" s="5" t="s">
        <v>99</v>
      </c>
      <c r="P334" s="2" t="s">
        <v>31</v>
      </c>
      <c r="Q334" s="2">
        <v>4</v>
      </c>
      <c r="R334" s="2" t="s">
        <v>102</v>
      </c>
      <c r="S334" s="5" t="s">
        <v>141</v>
      </c>
      <c r="T334" s="4" t="str">
        <f>IF(OR(Tabela1[[#This Row],[Grau de Risco]]="Médio",Tabela1[[#This Row],[Grau de Risco]]="Baixo"),"Não","Sim")</f>
        <v>Sim</v>
      </c>
    </row>
    <row r="335" spans="1:20">
      <c r="A335" s="4" t="s">
        <v>8</v>
      </c>
      <c r="B335" s="10" t="s">
        <v>1809</v>
      </c>
      <c r="C335" s="4" t="s">
        <v>252</v>
      </c>
      <c r="D335" s="58" t="s">
        <v>1409</v>
      </c>
      <c r="E335" s="3">
        <v>25</v>
      </c>
      <c r="F335" s="3">
        <v>5</v>
      </c>
      <c r="G335" s="3">
        <v>2023</v>
      </c>
      <c r="H335" s="36" t="s">
        <v>107</v>
      </c>
      <c r="I335" s="7" t="s">
        <v>553</v>
      </c>
      <c r="J335" s="4" t="s">
        <v>79</v>
      </c>
      <c r="K335" s="3" t="s">
        <v>62</v>
      </c>
      <c r="L335" s="3">
        <v>0</v>
      </c>
      <c r="M335" s="4" t="s">
        <v>30</v>
      </c>
      <c r="N335" s="4">
        <v>0</v>
      </c>
      <c r="O335" s="4" t="s">
        <v>51</v>
      </c>
      <c r="P335" s="3" t="s">
        <v>52</v>
      </c>
      <c r="Q335" s="11">
        <v>15</v>
      </c>
      <c r="R335" s="3" t="s">
        <v>52</v>
      </c>
      <c r="S335" s="5" t="s">
        <v>56</v>
      </c>
      <c r="T335" s="4" t="str">
        <f>IF(OR(Tabela1[[#This Row],[Grau de Risco]]="Médio",Tabela1[[#This Row],[Grau de Risco]]="Baixo"),"Não","Sim")</f>
        <v>Não</v>
      </c>
    </row>
    <row r="336" spans="1:20">
      <c r="A336" s="4" t="s">
        <v>10</v>
      </c>
      <c r="B336" s="10" t="s">
        <v>1809</v>
      </c>
      <c r="C336" s="4"/>
      <c r="D336" s="58" t="s">
        <v>1409</v>
      </c>
      <c r="E336" s="3">
        <v>14</v>
      </c>
      <c r="F336" s="3">
        <v>9</v>
      </c>
      <c r="G336" s="3">
        <v>2023</v>
      </c>
      <c r="H336" s="59" t="s">
        <v>516</v>
      </c>
      <c r="I336" s="7" t="s">
        <v>592</v>
      </c>
      <c r="J336" s="4" t="s">
        <v>111</v>
      </c>
      <c r="K336" s="3">
        <v>0</v>
      </c>
      <c r="L336" s="3">
        <v>0</v>
      </c>
      <c r="M336" s="4" t="s">
        <v>30</v>
      </c>
      <c r="N336" s="4">
        <v>0</v>
      </c>
      <c r="O336" s="4" t="s">
        <v>301</v>
      </c>
      <c r="P336" s="3" t="s">
        <v>102</v>
      </c>
      <c r="Q336" s="11">
        <v>2</v>
      </c>
      <c r="R336" s="3" t="str">
        <f>IF(Q336="","",IF(Q336&lt;4,"Crítico",IF(Q336&lt;9,"Alto",IF(Q336&lt;14,"Médio","Baixo"))))</f>
        <v>Crítico</v>
      </c>
      <c r="S336" s="10" t="s">
        <v>63</v>
      </c>
      <c r="T336" s="4" t="str">
        <f>IF(OR(Tabela1[[#This Row],[Grau de Risco]]="Médio",Tabela1[[#This Row],[Grau de Risco]]="Baixo"),"Não","Sim")</f>
        <v>Sim</v>
      </c>
    </row>
    <row r="337" spans="1:20" hidden="1">
      <c r="A337" s="4" t="s">
        <v>2</v>
      </c>
      <c r="B337" s="10" t="s">
        <v>1793</v>
      </c>
      <c r="C337" s="4" t="s">
        <v>81</v>
      </c>
      <c r="D337" s="38" t="s">
        <v>1393</v>
      </c>
      <c r="E337" s="22">
        <v>14</v>
      </c>
      <c r="F337" s="22">
        <v>2</v>
      </c>
      <c r="G337" s="3">
        <v>2023</v>
      </c>
      <c r="H337" s="5" t="s">
        <v>123</v>
      </c>
      <c r="I337" s="7" t="s">
        <v>498</v>
      </c>
      <c r="J337" s="4" t="s">
        <v>54</v>
      </c>
      <c r="K337" s="3">
        <v>60</v>
      </c>
      <c r="L337" s="3">
        <v>0</v>
      </c>
      <c r="M337" s="4" t="s">
        <v>30</v>
      </c>
      <c r="N337" s="4">
        <v>0</v>
      </c>
      <c r="O337" s="4" t="s">
        <v>55</v>
      </c>
      <c r="P337" s="3" t="s">
        <v>31</v>
      </c>
      <c r="Q337" s="11">
        <v>4</v>
      </c>
      <c r="R337" s="3" t="s">
        <v>102</v>
      </c>
      <c r="S337" s="5" t="s">
        <v>56</v>
      </c>
      <c r="T337" s="4" t="str">
        <f>IF(OR(Tabela1[[#This Row],[Grau de Risco]]="Médio",Tabela1[[#This Row],[Grau de Risco]]="Baixo"),"Não","Sim")</f>
        <v>Sim</v>
      </c>
    </row>
    <row r="338" spans="1:20" hidden="1">
      <c r="A338" s="4" t="s">
        <v>8</v>
      </c>
      <c r="B338" s="10" t="s">
        <v>1800</v>
      </c>
      <c r="C338" s="4" t="s">
        <v>41</v>
      </c>
      <c r="D338" s="58" t="s">
        <v>1409</v>
      </c>
      <c r="E338" s="3">
        <v>16</v>
      </c>
      <c r="F338" s="3">
        <v>11</v>
      </c>
      <c r="G338" s="3">
        <v>2023</v>
      </c>
      <c r="H338" s="4" t="s">
        <v>27</v>
      </c>
      <c r="I338" s="7" t="s">
        <v>640</v>
      </c>
      <c r="J338" s="4" t="s">
        <v>54</v>
      </c>
      <c r="K338" s="3">
        <v>0</v>
      </c>
      <c r="L338" s="3"/>
      <c r="M338" s="4"/>
      <c r="N338" s="4"/>
      <c r="O338" s="4" t="s">
        <v>4</v>
      </c>
      <c r="P338" s="3" t="s">
        <v>52</v>
      </c>
      <c r="Q338" s="11">
        <v>15</v>
      </c>
      <c r="R338" s="3" t="s">
        <v>52</v>
      </c>
      <c r="S338" s="5" t="s">
        <v>56</v>
      </c>
      <c r="T338" s="4" t="str">
        <f>IF(OR(Tabela1[[#This Row],[Grau de Risco]]="Médio",Tabela1[[#This Row],[Grau de Risco]]="Baixo"),"Não","Sim")</f>
        <v>Não</v>
      </c>
    </row>
    <row r="339" spans="1:20" hidden="1">
      <c r="A339" s="5" t="s">
        <v>2</v>
      </c>
      <c r="B339" s="6" t="s">
        <v>1800</v>
      </c>
      <c r="C339" s="5" t="s">
        <v>81</v>
      </c>
      <c r="D339" s="5" t="s">
        <v>36</v>
      </c>
      <c r="E339" s="2">
        <v>8</v>
      </c>
      <c r="F339" s="2">
        <v>7</v>
      </c>
      <c r="G339" s="2">
        <v>2023</v>
      </c>
      <c r="H339" s="36" t="s">
        <v>33</v>
      </c>
      <c r="I339" s="5" t="s">
        <v>645</v>
      </c>
      <c r="J339" s="5" t="s">
        <v>76</v>
      </c>
      <c r="K339" s="2">
        <v>34</v>
      </c>
      <c r="L339" s="2">
        <v>0</v>
      </c>
      <c r="M339" s="5" t="s">
        <v>30</v>
      </c>
      <c r="N339" s="5">
        <v>0</v>
      </c>
      <c r="O339" s="5" t="s">
        <v>159</v>
      </c>
      <c r="P339" s="2" t="s">
        <v>31</v>
      </c>
      <c r="Q339" s="2">
        <v>9</v>
      </c>
      <c r="R339" s="2" t="s">
        <v>31</v>
      </c>
      <c r="S339" s="5" t="s">
        <v>56</v>
      </c>
      <c r="T339" s="4" t="str">
        <f>IF(OR(Tabela1[[#This Row],[Grau de Risco]]="Médio",Tabela1[[#This Row],[Grau de Risco]]="Baixo"),"Não","Sim")</f>
        <v>Não</v>
      </c>
    </row>
    <row r="340" spans="1:20">
      <c r="A340" s="4" t="s">
        <v>2</v>
      </c>
      <c r="B340" s="10" t="s">
        <v>1809</v>
      </c>
      <c r="C340" s="4" t="s">
        <v>46</v>
      </c>
      <c r="D340" s="38" t="s">
        <v>1393</v>
      </c>
      <c r="E340" s="3">
        <v>21</v>
      </c>
      <c r="F340" s="3">
        <v>11</v>
      </c>
      <c r="G340" s="3">
        <v>2023</v>
      </c>
      <c r="H340" s="5" t="s">
        <v>48</v>
      </c>
      <c r="I340" s="7" t="s">
        <v>648</v>
      </c>
      <c r="J340" s="4" t="s">
        <v>84</v>
      </c>
      <c r="K340" s="3">
        <v>15</v>
      </c>
      <c r="L340" s="3">
        <v>0</v>
      </c>
      <c r="M340" s="4" t="s">
        <v>30</v>
      </c>
      <c r="N340" s="4">
        <v>15</v>
      </c>
      <c r="O340" s="4" t="s">
        <v>85</v>
      </c>
      <c r="P340" s="3" t="s">
        <v>102</v>
      </c>
      <c r="Q340" s="11">
        <v>2</v>
      </c>
      <c r="R340" s="3" t="str">
        <f>IF(Q340="","",IF(Q340&lt;4,"Crítico",IF(Q340&lt;9,"Alto",IF(Q340&lt;14,"Médio","Baixo"))))</f>
        <v>Crítico</v>
      </c>
      <c r="S340" s="5" t="s">
        <v>40</v>
      </c>
      <c r="T340" s="4" t="str">
        <f>IF(OR(Tabela1[[#This Row],[Grau de Risco]]="Médio",Tabela1[[#This Row],[Grau de Risco]]="Baixo"),"Não","Sim")</f>
        <v>Sim</v>
      </c>
    </row>
    <row r="341" spans="1:20" hidden="1">
      <c r="A341" s="4" t="s">
        <v>8</v>
      </c>
      <c r="B341" s="10" t="s">
        <v>1793</v>
      </c>
      <c r="C341" s="4" t="s">
        <v>125</v>
      </c>
      <c r="D341" s="38" t="s">
        <v>47</v>
      </c>
      <c r="E341" s="3">
        <v>1</v>
      </c>
      <c r="F341" s="3">
        <v>9</v>
      </c>
      <c r="G341" s="3">
        <v>2023</v>
      </c>
      <c r="H341" s="4" t="s">
        <v>27</v>
      </c>
      <c r="I341" s="7" t="s">
        <v>672</v>
      </c>
      <c r="J341" s="4" t="s">
        <v>61</v>
      </c>
      <c r="K341" s="3">
        <v>0</v>
      </c>
      <c r="L341" s="3">
        <v>0</v>
      </c>
      <c r="M341" s="4" t="s">
        <v>30</v>
      </c>
      <c r="N341" s="4">
        <v>0</v>
      </c>
      <c r="O341" s="4" t="s">
        <v>55</v>
      </c>
      <c r="P341" s="3" t="s">
        <v>52</v>
      </c>
      <c r="Q341" s="11">
        <v>11</v>
      </c>
      <c r="R341" s="3" t="str">
        <f>IF(Q341="","",IF(Q341&lt;4,"Crítico",IF(Q341&lt;9,"Alto",IF(Q341&lt;14,"Médio","Baixo"))))</f>
        <v>Médio</v>
      </c>
      <c r="S341" s="5" t="s">
        <v>56</v>
      </c>
      <c r="T341" s="4" t="str">
        <f>IF(OR(Tabela1[[#This Row],[Grau de Risco]]="Médio",Tabela1[[#This Row],[Grau de Risco]]="Baixo"),"Não","Sim")</f>
        <v>Não</v>
      </c>
    </row>
    <row r="342" spans="1:20" hidden="1">
      <c r="A342" s="4" t="s">
        <v>2</v>
      </c>
      <c r="B342" s="10" t="s">
        <v>1797</v>
      </c>
      <c r="C342" s="4" t="s">
        <v>252</v>
      </c>
      <c r="D342" s="58" t="s">
        <v>1409</v>
      </c>
      <c r="E342" s="3">
        <v>27</v>
      </c>
      <c r="F342" s="3">
        <v>6</v>
      </c>
      <c r="G342" s="3">
        <v>2024</v>
      </c>
      <c r="H342" s="4" t="s">
        <v>27</v>
      </c>
      <c r="I342" s="7" t="s">
        <v>743</v>
      </c>
      <c r="J342" s="4" t="s">
        <v>154</v>
      </c>
      <c r="K342" s="3">
        <v>3</v>
      </c>
      <c r="L342" s="3">
        <v>0</v>
      </c>
      <c r="M342" s="4" t="s">
        <v>30</v>
      </c>
      <c r="N342" s="4"/>
      <c r="O342" s="4" t="s">
        <v>51</v>
      </c>
      <c r="P342" s="3" t="s">
        <v>31</v>
      </c>
      <c r="Q342" s="11">
        <v>11</v>
      </c>
      <c r="R342" s="3" t="s">
        <v>31</v>
      </c>
      <c r="S342" s="10" t="s">
        <v>32</v>
      </c>
      <c r="T342" s="4" t="str">
        <f>IF(OR(Tabela1[[#This Row],[Grau de Risco]]="Médio",Tabela1[[#This Row],[Grau de Risco]]="Baixo"),"Não","Sim")</f>
        <v>Não</v>
      </c>
    </row>
    <row r="343" spans="1:20" hidden="1">
      <c r="A343" s="4" t="s">
        <v>2</v>
      </c>
      <c r="B343" s="10" t="s">
        <v>1793</v>
      </c>
      <c r="C343" s="4" t="s">
        <v>252</v>
      </c>
      <c r="D343" s="38" t="s">
        <v>1393</v>
      </c>
      <c r="E343" s="3">
        <v>5</v>
      </c>
      <c r="F343" s="3">
        <v>11</v>
      </c>
      <c r="G343" s="3">
        <v>2024</v>
      </c>
      <c r="H343" s="4" t="s">
        <v>27</v>
      </c>
      <c r="I343" s="7" t="s">
        <v>753</v>
      </c>
      <c r="J343" s="4" t="s">
        <v>76</v>
      </c>
      <c r="K343" s="3">
        <v>14</v>
      </c>
      <c r="L343" s="3">
        <v>0</v>
      </c>
      <c r="M343" s="4" t="s">
        <v>30</v>
      </c>
      <c r="N343" s="4"/>
      <c r="O343" s="4" t="s">
        <v>45</v>
      </c>
      <c r="P343" s="3" t="s">
        <v>52</v>
      </c>
      <c r="Q343" s="11">
        <v>11</v>
      </c>
      <c r="R343" s="3" t="s">
        <v>31</v>
      </c>
      <c r="S343" s="5" t="s">
        <v>56</v>
      </c>
      <c r="T343" s="4" t="str">
        <f>IF(OR(Tabela1[[#This Row],[Grau de Risco]]="Médio",Tabela1[[#This Row],[Grau de Risco]]="Baixo"),"Não","Sim")</f>
        <v>Não</v>
      </c>
    </row>
    <row r="344" spans="1:20" hidden="1">
      <c r="A344" s="4" t="s">
        <v>7</v>
      </c>
      <c r="B344" s="10" t="s">
        <v>1797</v>
      </c>
      <c r="C344" s="4" t="s">
        <v>81</v>
      </c>
      <c r="D344" s="38" t="s">
        <v>1382</v>
      </c>
      <c r="E344" s="3">
        <v>10</v>
      </c>
      <c r="F344" s="3">
        <v>4</v>
      </c>
      <c r="G344" s="3">
        <v>2024</v>
      </c>
      <c r="H344" s="36" t="s">
        <v>112</v>
      </c>
      <c r="I344" s="7" t="s">
        <v>800</v>
      </c>
      <c r="J344" s="4" t="s">
        <v>111</v>
      </c>
      <c r="K344" s="3" t="s">
        <v>62</v>
      </c>
      <c r="L344" s="3"/>
      <c r="M344" s="4"/>
      <c r="N344" s="4"/>
      <c r="O344" s="4" t="s">
        <v>101</v>
      </c>
      <c r="P344" s="3" t="s">
        <v>52</v>
      </c>
      <c r="Q344" s="11">
        <v>13</v>
      </c>
      <c r="R344" s="3" t="s">
        <v>31</v>
      </c>
      <c r="S344" s="10" t="s">
        <v>63</v>
      </c>
      <c r="T344" s="4" t="str">
        <f>IF(OR(Tabela1[[#This Row],[Grau de Risco]]="Médio",Tabela1[[#This Row],[Grau de Risco]]="Baixo"),"Não","Sim")</f>
        <v>Não</v>
      </c>
    </row>
    <row r="345" spans="1:20" hidden="1">
      <c r="A345" s="4" t="s">
        <v>240</v>
      </c>
      <c r="B345" s="10" t="s">
        <v>1797</v>
      </c>
      <c r="C345" s="4" t="s">
        <v>81</v>
      </c>
      <c r="D345" s="38" t="s">
        <v>1382</v>
      </c>
      <c r="E345" s="3">
        <v>31</v>
      </c>
      <c r="F345" s="3">
        <v>1</v>
      </c>
      <c r="G345" s="3">
        <v>2024</v>
      </c>
      <c r="H345" s="36" t="s">
        <v>82</v>
      </c>
      <c r="I345" s="7" t="s">
        <v>1799</v>
      </c>
      <c r="J345" s="4" t="s">
        <v>111</v>
      </c>
      <c r="K345" s="3" t="s">
        <v>62</v>
      </c>
      <c r="L345" s="3">
        <v>6000</v>
      </c>
      <c r="M345" s="4" t="s">
        <v>30</v>
      </c>
      <c r="N345" s="4">
        <v>0</v>
      </c>
      <c r="O345" s="4" t="s">
        <v>74</v>
      </c>
      <c r="P345" s="3" t="s">
        <v>102</v>
      </c>
      <c r="Q345" s="11">
        <v>2</v>
      </c>
      <c r="R345" s="3" t="str">
        <f>IF(Q345="","",IF(Q345&lt;4,"Crítico",IF(Q345&lt;9,"Alto",IF(Q345&lt;14,"Médio","Baixo"))))</f>
        <v>Crítico</v>
      </c>
      <c r="S345" s="10" t="s">
        <v>141</v>
      </c>
      <c r="T345" s="4" t="str">
        <f>IF(OR(Tabela1[[#This Row],[Grau de Risco]]="Médio",Tabela1[[#This Row],[Grau de Risco]]="Baixo"),"Não","Sim")</f>
        <v>Sim</v>
      </c>
    </row>
    <row r="346" spans="1:20" hidden="1">
      <c r="A346" s="4" t="s">
        <v>8</v>
      </c>
      <c r="B346" s="10" t="s">
        <v>1797</v>
      </c>
      <c r="C346" s="4" t="s">
        <v>81</v>
      </c>
      <c r="D346" s="38" t="s">
        <v>1393</v>
      </c>
      <c r="E346" s="3">
        <v>17</v>
      </c>
      <c r="F346" s="3">
        <v>9</v>
      </c>
      <c r="G346" s="3">
        <v>2024</v>
      </c>
      <c r="H346" s="4" t="s">
        <v>27</v>
      </c>
      <c r="I346" s="7" t="s">
        <v>824</v>
      </c>
      <c r="J346" s="4" t="s">
        <v>150</v>
      </c>
      <c r="K346" s="3">
        <v>0</v>
      </c>
      <c r="L346" s="3">
        <v>0</v>
      </c>
      <c r="M346" s="4" t="s">
        <v>25</v>
      </c>
      <c r="N346" s="4"/>
      <c r="O346" s="4" t="s">
        <v>167</v>
      </c>
      <c r="P346" s="3" t="s">
        <v>31</v>
      </c>
      <c r="Q346" s="11">
        <v>13</v>
      </c>
      <c r="R346" s="3" t="s">
        <v>31</v>
      </c>
      <c r="S346" s="5" t="s">
        <v>56</v>
      </c>
      <c r="T346" s="4" t="str">
        <f>IF(OR(Tabela1[[#This Row],[Grau de Risco]]="Médio",Tabela1[[#This Row],[Grau de Risco]]="Baixo"),"Não","Sim")</f>
        <v>Não</v>
      </c>
    </row>
    <row r="347" spans="1:20">
      <c r="A347" s="4" t="s">
        <v>2</v>
      </c>
      <c r="B347" s="10" t="s">
        <v>1809</v>
      </c>
      <c r="C347" s="4" t="s">
        <v>81</v>
      </c>
      <c r="D347" s="38" t="s">
        <v>1393</v>
      </c>
      <c r="E347" s="3">
        <v>9</v>
      </c>
      <c r="F347" s="3">
        <v>4</v>
      </c>
      <c r="G347" s="3">
        <v>2024</v>
      </c>
      <c r="H347" s="36" t="s">
        <v>66</v>
      </c>
      <c r="I347" s="7" t="s">
        <v>846</v>
      </c>
      <c r="J347" s="4" t="s">
        <v>35</v>
      </c>
      <c r="K347" s="3">
        <v>5</v>
      </c>
      <c r="L347" s="3">
        <v>0</v>
      </c>
      <c r="M347" s="4" t="s">
        <v>30</v>
      </c>
      <c r="N347" s="4">
        <v>10</v>
      </c>
      <c r="O347" s="4" t="s">
        <v>301</v>
      </c>
      <c r="P347" s="3" t="s">
        <v>52</v>
      </c>
      <c r="Q347" s="11">
        <v>4</v>
      </c>
      <c r="R347" s="3" t="s">
        <v>102</v>
      </c>
      <c r="S347" s="10" t="s">
        <v>63</v>
      </c>
      <c r="T347" s="4" t="str">
        <f>IF(OR(Tabela1[[#This Row],[Grau de Risco]]="Médio",Tabela1[[#This Row],[Grau de Risco]]="Baixo"),"Não","Sim")</f>
        <v>Sim</v>
      </c>
    </row>
    <row r="348" spans="1:20">
      <c r="A348" s="4" t="s">
        <v>7</v>
      </c>
      <c r="B348" s="10" t="s">
        <v>1809</v>
      </c>
      <c r="C348" s="4" t="s">
        <v>26</v>
      </c>
      <c r="D348" s="38" t="s">
        <v>1393</v>
      </c>
      <c r="E348" s="3">
        <v>22</v>
      </c>
      <c r="F348" s="3">
        <v>10</v>
      </c>
      <c r="G348" s="3">
        <v>2024</v>
      </c>
      <c r="I348" s="7" t="s">
        <v>882</v>
      </c>
      <c r="J348" s="4" t="s">
        <v>229</v>
      </c>
      <c r="K348" s="3"/>
      <c r="L348" s="3"/>
      <c r="M348" s="4"/>
      <c r="N348" s="4"/>
      <c r="O348" s="4" t="s">
        <v>883</v>
      </c>
      <c r="P348" s="3"/>
      <c r="Q348" s="11">
        <v>13</v>
      </c>
      <c r="R348" s="3" t="s">
        <v>31</v>
      </c>
      <c r="S348" s="10" t="s">
        <v>141</v>
      </c>
      <c r="T348" s="4" t="str">
        <f>IF(OR(Tabela1[[#This Row],[Grau de Risco]]="Médio",Tabela1[[#This Row],[Grau de Risco]]="Baixo"),"Não","Sim")</f>
        <v>Não</v>
      </c>
    </row>
    <row r="349" spans="1:20">
      <c r="A349" s="4" t="s">
        <v>7</v>
      </c>
      <c r="B349" s="10" t="s">
        <v>1809</v>
      </c>
      <c r="C349" s="4" t="s">
        <v>41</v>
      </c>
      <c r="D349" s="38" t="s">
        <v>1320</v>
      </c>
      <c r="E349" s="3">
        <v>2</v>
      </c>
      <c r="F349" s="3">
        <v>12</v>
      </c>
      <c r="G349" s="3">
        <v>2024</v>
      </c>
      <c r="H349" s="36" t="s">
        <v>66</v>
      </c>
      <c r="I349" s="7" t="s">
        <v>934</v>
      </c>
      <c r="J349" s="4" t="s">
        <v>111</v>
      </c>
      <c r="K349" s="3"/>
      <c r="L349" s="3"/>
      <c r="M349" s="4"/>
      <c r="N349" s="4"/>
      <c r="O349" s="4" t="s">
        <v>77</v>
      </c>
      <c r="P349" s="3"/>
      <c r="Q349" s="11">
        <v>10</v>
      </c>
      <c r="R349" s="3" t="s">
        <v>31</v>
      </c>
      <c r="S349" s="10" t="s">
        <v>63</v>
      </c>
      <c r="T349" s="4" t="str">
        <f>IF(OR(Tabela1[[#This Row],[Grau de Risco]]="Médio",Tabela1[[#This Row],[Grau de Risco]]="Baixo"),"Não","Sim")</f>
        <v>Não</v>
      </c>
    </row>
    <row r="350" spans="1:20">
      <c r="A350" s="4" t="s">
        <v>2</v>
      </c>
      <c r="B350" s="10" t="s">
        <v>1809</v>
      </c>
      <c r="C350" s="4" t="s">
        <v>125</v>
      </c>
      <c r="D350" s="38" t="s">
        <v>47</v>
      </c>
      <c r="E350" s="3">
        <v>15</v>
      </c>
      <c r="F350" s="3">
        <v>3</v>
      </c>
      <c r="G350" s="3">
        <v>2024</v>
      </c>
      <c r="H350" s="4" t="s">
        <v>27</v>
      </c>
      <c r="I350" s="7" t="s">
        <v>967</v>
      </c>
      <c r="J350" s="4" t="s">
        <v>73</v>
      </c>
      <c r="K350" s="3">
        <v>2</v>
      </c>
      <c r="L350" s="3">
        <v>0</v>
      </c>
      <c r="M350" s="4" t="s">
        <v>30</v>
      </c>
      <c r="N350" s="4">
        <v>0</v>
      </c>
      <c r="O350" s="4" t="s">
        <v>70</v>
      </c>
      <c r="P350" s="3" t="s">
        <v>31</v>
      </c>
      <c r="Q350" s="11">
        <v>11</v>
      </c>
      <c r="R350" s="3" t="s">
        <v>31</v>
      </c>
      <c r="S350" s="10" t="s">
        <v>141</v>
      </c>
      <c r="T350" s="4" t="str">
        <f>IF(OR(Tabela1[[#This Row],[Grau de Risco]]="Médio",Tabela1[[#This Row],[Grau de Risco]]="Baixo"),"Não","Sim")</f>
        <v>Não</v>
      </c>
    </row>
    <row r="351" spans="1:20" hidden="1">
      <c r="A351" s="4" t="s">
        <v>2</v>
      </c>
      <c r="B351" s="10" t="s">
        <v>1793</v>
      </c>
      <c r="C351" s="4" t="s">
        <v>252</v>
      </c>
      <c r="D351" s="38" t="s">
        <v>47</v>
      </c>
      <c r="E351" s="3">
        <v>16</v>
      </c>
      <c r="F351" s="3">
        <v>2</v>
      </c>
      <c r="G351" s="3">
        <v>2024</v>
      </c>
      <c r="H351" s="5" t="s">
        <v>123</v>
      </c>
      <c r="I351" s="7" t="s">
        <v>974</v>
      </c>
      <c r="J351" s="4" t="s">
        <v>154</v>
      </c>
      <c r="K351" s="3">
        <v>7</v>
      </c>
      <c r="L351" s="3">
        <v>0</v>
      </c>
      <c r="M351" s="4" t="s">
        <v>30</v>
      </c>
      <c r="N351" s="4"/>
      <c r="O351" s="4" t="s">
        <v>88</v>
      </c>
      <c r="P351" s="3" t="s">
        <v>31</v>
      </c>
      <c r="Q351" s="11">
        <v>11</v>
      </c>
      <c r="R351" s="3" t="s">
        <v>31</v>
      </c>
      <c r="S351" s="5" t="s">
        <v>56</v>
      </c>
      <c r="T351" s="4" t="str">
        <f>IF(OR(Tabela1[[#This Row],[Grau de Risco]]="Médio",Tabela1[[#This Row],[Grau de Risco]]="Baixo"),"Não","Sim")</f>
        <v>Não</v>
      </c>
    </row>
    <row r="352" spans="1:20" hidden="1">
      <c r="A352" s="4" t="s">
        <v>8</v>
      </c>
      <c r="B352" s="10" t="s">
        <v>1800</v>
      </c>
      <c r="C352" s="4" t="s">
        <v>81</v>
      </c>
      <c r="D352" s="38" t="s">
        <v>1320</v>
      </c>
      <c r="E352" s="3">
        <v>22</v>
      </c>
      <c r="F352" s="3">
        <v>1</v>
      </c>
      <c r="G352" s="3">
        <v>2024</v>
      </c>
      <c r="H352" s="5" t="s">
        <v>71</v>
      </c>
      <c r="I352" s="7" t="s">
        <v>984</v>
      </c>
      <c r="J352" s="4" t="s">
        <v>54</v>
      </c>
      <c r="K352" s="3">
        <v>0</v>
      </c>
      <c r="L352" s="3" t="s">
        <v>30</v>
      </c>
      <c r="M352" s="4" t="s">
        <v>30</v>
      </c>
      <c r="N352" s="4" t="s">
        <v>44</v>
      </c>
      <c r="O352" s="4" t="s">
        <v>70</v>
      </c>
      <c r="P352" s="3" t="s">
        <v>31</v>
      </c>
      <c r="Q352" s="11">
        <v>10</v>
      </c>
      <c r="R352" s="3" t="s">
        <v>31</v>
      </c>
      <c r="S352" s="5" t="s">
        <v>56</v>
      </c>
      <c r="T352" s="4" t="str">
        <f>IF(OR(Tabela1[[#This Row],[Grau de Risco]]="Médio",Tabela1[[#This Row],[Grau de Risco]]="Baixo"),"Não","Sim")</f>
        <v>Não</v>
      </c>
    </row>
    <row r="353" spans="1:20" hidden="1">
      <c r="A353" s="5" t="s">
        <v>7</v>
      </c>
      <c r="B353" s="10" t="s">
        <v>1800</v>
      </c>
      <c r="C353" s="4" t="s">
        <v>81</v>
      </c>
      <c r="D353" s="38" t="s">
        <v>1393</v>
      </c>
      <c r="E353" s="3">
        <v>16</v>
      </c>
      <c r="F353" s="3">
        <v>4</v>
      </c>
      <c r="G353" s="3">
        <v>2024</v>
      </c>
      <c r="H353" s="36" t="s">
        <v>66</v>
      </c>
      <c r="I353" s="7" t="s">
        <v>995</v>
      </c>
      <c r="J353" s="4" t="s">
        <v>54</v>
      </c>
      <c r="K353" s="3" t="s">
        <v>44</v>
      </c>
      <c r="L353" s="3" t="s">
        <v>44</v>
      </c>
      <c r="M353" s="4" t="s">
        <v>30</v>
      </c>
      <c r="N353" s="4" t="s">
        <v>44</v>
      </c>
      <c r="O353" s="4"/>
      <c r="P353" s="3"/>
      <c r="Q353" s="11">
        <v>10</v>
      </c>
      <c r="R353" s="3" t="s">
        <v>31</v>
      </c>
      <c r="S353" s="10" t="s">
        <v>63</v>
      </c>
      <c r="T353" s="4" t="str">
        <f>IF(OR(Tabela1[[#This Row],[Grau de Risco]]="Médio",Tabela1[[#This Row],[Grau de Risco]]="Baixo"),"Não","Sim")</f>
        <v>Não</v>
      </c>
    </row>
    <row r="354" spans="1:20" hidden="1">
      <c r="A354" s="4" t="s">
        <v>2</v>
      </c>
      <c r="B354" s="10" t="s">
        <v>1800</v>
      </c>
      <c r="C354" s="4" t="s">
        <v>41</v>
      </c>
      <c r="D354" s="38" t="s">
        <v>1382</v>
      </c>
      <c r="E354" s="3">
        <v>23</v>
      </c>
      <c r="F354" s="3">
        <v>10</v>
      </c>
      <c r="G354" s="3">
        <v>2024</v>
      </c>
      <c r="H354" s="5" t="s">
        <v>123</v>
      </c>
      <c r="I354" s="7" t="s">
        <v>1806</v>
      </c>
      <c r="J354" s="4" t="s">
        <v>54</v>
      </c>
      <c r="K354" s="3">
        <v>30</v>
      </c>
      <c r="L354" s="3"/>
      <c r="M354" s="4" t="s">
        <v>30</v>
      </c>
      <c r="N354" s="4" t="s">
        <v>80</v>
      </c>
      <c r="O354" s="4" t="s">
        <v>85</v>
      </c>
      <c r="P354" s="3" t="s">
        <v>31</v>
      </c>
      <c r="Q354" s="11">
        <v>2</v>
      </c>
      <c r="R354" s="3" t="str">
        <f>IF(Q354="","",IF(Q354&lt;4,"Crítico",IF(Q354&lt;9,"Alto",IF(Q354&lt;14,"Médio","Baixo"))))</f>
        <v>Crítico</v>
      </c>
      <c r="S354" s="5" t="s">
        <v>40</v>
      </c>
      <c r="T354" s="4" t="str">
        <f>IF(OR(Tabela1[[#This Row],[Grau de Risco]]="Médio",Tabela1[[#This Row],[Grau de Risco]]="Baixo"),"Não","Sim")</f>
        <v>Sim</v>
      </c>
    </row>
    <row r="355" spans="1:20">
      <c r="A355" s="4" t="s">
        <v>2</v>
      </c>
      <c r="B355" s="10" t="s">
        <v>1809</v>
      </c>
      <c r="C355" s="4" t="s">
        <v>252</v>
      </c>
      <c r="D355" s="38" t="s">
        <v>47</v>
      </c>
      <c r="E355" s="3">
        <v>20</v>
      </c>
      <c r="F355" s="3">
        <v>9</v>
      </c>
      <c r="G355" s="3">
        <v>2024</v>
      </c>
      <c r="H355" s="5" t="s">
        <v>71</v>
      </c>
      <c r="I355" s="7" t="s">
        <v>1052</v>
      </c>
      <c r="J355" s="4" t="s">
        <v>61</v>
      </c>
      <c r="K355" s="3">
        <v>40</v>
      </c>
      <c r="L355" s="3" t="s">
        <v>30</v>
      </c>
      <c r="M355" s="4" t="s">
        <v>30</v>
      </c>
      <c r="N355" s="4">
        <v>0</v>
      </c>
      <c r="O355" s="4" t="s">
        <v>85</v>
      </c>
      <c r="P355" s="3"/>
      <c r="Q355" s="11">
        <v>7</v>
      </c>
      <c r="R355" s="3" t="s">
        <v>102</v>
      </c>
      <c r="S355" s="5" t="s">
        <v>40</v>
      </c>
      <c r="T355" s="4" t="str">
        <f>IF(OR(Tabela1[[#This Row],[Grau de Risco]]="Médio",Tabela1[[#This Row],[Grau de Risco]]="Baixo"),"Não","Sim")</f>
        <v>Sim</v>
      </c>
    </row>
    <row r="356" spans="1:20" hidden="1">
      <c r="A356" s="28" t="s">
        <v>7</v>
      </c>
      <c r="B356" s="33" t="s">
        <v>1805</v>
      </c>
      <c r="C356" s="28" t="s">
        <v>252</v>
      </c>
      <c r="D356" s="58" t="s">
        <v>1409</v>
      </c>
      <c r="E356" s="32">
        <v>17</v>
      </c>
      <c r="F356" s="32">
        <v>4</v>
      </c>
      <c r="G356" s="32">
        <v>2025</v>
      </c>
      <c r="H356" s="34" t="s">
        <v>59</v>
      </c>
      <c r="I356" s="29" t="s">
        <v>1606</v>
      </c>
      <c r="J356" s="28" t="s">
        <v>111</v>
      </c>
      <c r="K356" s="32"/>
      <c r="L356" s="32"/>
      <c r="M356" s="28"/>
      <c r="N356" s="28"/>
      <c r="O356" s="28"/>
      <c r="P356" s="32"/>
      <c r="Q356" s="11">
        <v>15</v>
      </c>
      <c r="R356" s="32" t="s">
        <v>52</v>
      </c>
      <c r="S356" s="33" t="s">
        <v>63</v>
      </c>
      <c r="T356" s="4" t="str">
        <f>IF(OR(Tabela1[[#This Row],[Grau de Risco]]="Médio",Tabela1[[#This Row],[Grau de Risco]]="Baixo"),"Não","Sim")</f>
        <v>Não</v>
      </c>
    </row>
    <row r="357" spans="1:20" hidden="1">
      <c r="A357" s="4" t="s">
        <v>9</v>
      </c>
      <c r="B357" s="10" t="s">
        <v>1797</v>
      </c>
      <c r="C357" s="4" t="s">
        <v>252</v>
      </c>
      <c r="D357" s="38" t="s">
        <v>1320</v>
      </c>
      <c r="E357" s="3">
        <v>9</v>
      </c>
      <c r="F357" s="3">
        <v>6</v>
      </c>
      <c r="G357" s="3">
        <v>2025</v>
      </c>
      <c r="H357" s="36" t="s">
        <v>112</v>
      </c>
      <c r="I357" s="7" t="s">
        <v>1287</v>
      </c>
      <c r="J357" s="4" t="s">
        <v>79</v>
      </c>
      <c r="K357" s="3">
        <v>4</v>
      </c>
      <c r="L357" s="3">
        <v>0</v>
      </c>
      <c r="M357" s="4" t="s">
        <v>30</v>
      </c>
      <c r="N357" s="4">
        <v>0</v>
      </c>
      <c r="O357" s="4" t="s">
        <v>101</v>
      </c>
      <c r="P357" s="3" t="s">
        <v>31</v>
      </c>
      <c r="Q357" s="11">
        <v>10</v>
      </c>
      <c r="R357" s="3" t="s">
        <v>31</v>
      </c>
      <c r="S357" s="10" t="s">
        <v>63</v>
      </c>
      <c r="T357" s="4" t="str">
        <f>IF(OR(Tabela1[[#This Row],[Grau de Risco]]="Médio",Tabela1[[#This Row],[Grau de Risco]]="Baixo"),"Não","Sim")</f>
        <v>Não</v>
      </c>
    </row>
    <row r="358" spans="1:20" hidden="1">
      <c r="A358" s="28" t="s">
        <v>6</v>
      </c>
      <c r="B358" s="33" t="s">
        <v>1800</v>
      </c>
      <c r="C358" s="28" t="s">
        <v>252</v>
      </c>
      <c r="D358" s="38" t="s">
        <v>1320</v>
      </c>
      <c r="E358" s="32">
        <v>20</v>
      </c>
      <c r="F358" s="32">
        <v>10</v>
      </c>
      <c r="G358" s="32">
        <v>2025</v>
      </c>
      <c r="H358" s="38" t="s">
        <v>27</v>
      </c>
      <c r="I358" s="7" t="s">
        <v>1507</v>
      </c>
      <c r="J358" s="4" t="s">
        <v>54</v>
      </c>
      <c r="K358" s="32" t="s">
        <v>80</v>
      </c>
      <c r="L358" s="32" t="s">
        <v>80</v>
      </c>
      <c r="M358" s="28" t="s">
        <v>30</v>
      </c>
      <c r="N358" s="28" t="s">
        <v>80</v>
      </c>
      <c r="O358" s="4" t="s">
        <v>167</v>
      </c>
      <c r="P358" s="32" t="s">
        <v>44</v>
      </c>
      <c r="Q358" s="35">
        <v>7</v>
      </c>
      <c r="R358" s="3" t="s">
        <v>102</v>
      </c>
      <c r="S358" s="33" t="s">
        <v>63</v>
      </c>
      <c r="T358" s="4" t="str">
        <f>IF(OR(Tabela1[[#This Row],[Grau de Risco]]="Médio",Tabela1[[#This Row],[Grau de Risco]]="Baixo"),"Não","Sim")</f>
        <v>Sim</v>
      </c>
    </row>
    <row r="359" spans="1:20" hidden="1">
      <c r="A359" s="4" t="s">
        <v>7</v>
      </c>
      <c r="B359" s="10" t="s">
        <v>1797</v>
      </c>
      <c r="C359" s="4" t="s">
        <v>125</v>
      </c>
      <c r="D359" s="58" t="s">
        <v>1409</v>
      </c>
      <c r="E359" s="3">
        <v>12</v>
      </c>
      <c r="F359" s="3">
        <v>6</v>
      </c>
      <c r="G359" s="3">
        <v>2025</v>
      </c>
      <c r="H359" s="36" t="s">
        <v>107</v>
      </c>
      <c r="I359" s="7" t="s">
        <v>1607</v>
      </c>
      <c r="J359" s="4" t="s">
        <v>93</v>
      </c>
      <c r="K359" s="3">
        <v>0</v>
      </c>
      <c r="L359" s="3">
        <v>0</v>
      </c>
      <c r="M359" s="4" t="s">
        <v>30</v>
      </c>
      <c r="N359" s="4">
        <v>0</v>
      </c>
      <c r="O359" s="4"/>
      <c r="P359" s="3"/>
      <c r="Q359" s="11">
        <v>14</v>
      </c>
      <c r="R359" s="3" t="s">
        <v>52</v>
      </c>
      <c r="S359" s="5" t="s">
        <v>56</v>
      </c>
      <c r="T359" s="4" t="str">
        <f>IF(OR(Tabela1[[#This Row],[Grau de Risco]]="Médio",Tabela1[[#This Row],[Grau de Risco]]="Baixo"),"Não","Sim")</f>
        <v>Não</v>
      </c>
    </row>
    <row r="360" spans="1:20" hidden="1">
      <c r="A360" s="28" t="s">
        <v>7</v>
      </c>
      <c r="B360" s="33" t="s">
        <v>1797</v>
      </c>
      <c r="C360" s="28" t="s">
        <v>81</v>
      </c>
      <c r="D360" s="38" t="s">
        <v>1393</v>
      </c>
      <c r="E360" s="32">
        <v>17</v>
      </c>
      <c r="F360" s="32">
        <v>6</v>
      </c>
      <c r="G360" s="32">
        <v>2025</v>
      </c>
      <c r="H360" s="5" t="s">
        <v>48</v>
      </c>
      <c r="I360" s="29" t="s">
        <v>1308</v>
      </c>
      <c r="J360" s="28" t="s">
        <v>111</v>
      </c>
      <c r="K360" s="32"/>
      <c r="L360" s="32"/>
      <c r="M360" s="28"/>
      <c r="N360" s="28"/>
      <c r="O360" s="28" t="s">
        <v>77</v>
      </c>
      <c r="P360" s="32"/>
      <c r="Q360" s="11">
        <v>15</v>
      </c>
      <c r="R360" s="32" t="s">
        <v>52</v>
      </c>
      <c r="S360" s="10" t="s">
        <v>63</v>
      </c>
      <c r="T360" s="4" t="str">
        <f>IF(OR(Tabela1[[#This Row],[Grau de Risco]]="Médio",Tabela1[[#This Row],[Grau de Risco]]="Baixo"),"Não","Sim")</f>
        <v>Não</v>
      </c>
    </row>
    <row r="361" spans="1:20" hidden="1">
      <c r="A361" s="28" t="s">
        <v>1110</v>
      </c>
      <c r="B361" s="33" t="s">
        <v>1805</v>
      </c>
      <c r="C361" s="28" t="s">
        <v>252</v>
      </c>
      <c r="D361" s="28" t="s">
        <v>1409</v>
      </c>
      <c r="E361" s="32">
        <v>18</v>
      </c>
      <c r="F361" s="32">
        <v>9</v>
      </c>
      <c r="G361" s="32">
        <v>2025</v>
      </c>
      <c r="H361" s="34" t="s">
        <v>66</v>
      </c>
      <c r="I361" s="29" t="s">
        <v>1608</v>
      </c>
      <c r="J361" s="28" t="s">
        <v>69</v>
      </c>
      <c r="K361" s="32" t="s">
        <v>44</v>
      </c>
      <c r="L361" s="32" t="s">
        <v>44</v>
      </c>
      <c r="M361" s="28"/>
      <c r="N361" s="28" t="s">
        <v>44</v>
      </c>
      <c r="O361" s="28"/>
      <c r="P361" s="32"/>
      <c r="Q361" s="35">
        <v>16</v>
      </c>
      <c r="R361" s="32" t="s">
        <v>52</v>
      </c>
      <c r="S361" s="33" t="s">
        <v>63</v>
      </c>
      <c r="T361" s="4" t="str">
        <f>IF(OR(Tabela1[[#This Row],[Grau de Risco]]="Médio",Tabela1[[#This Row],[Grau de Risco]]="Baixo"),"Não","Sim")</f>
        <v>Não</v>
      </c>
    </row>
    <row r="362" spans="1:20" hidden="1">
      <c r="A362" s="4" t="s">
        <v>1110</v>
      </c>
      <c r="B362" s="10" t="s">
        <v>1797</v>
      </c>
      <c r="C362" s="4" t="s">
        <v>252</v>
      </c>
      <c r="D362" s="4" t="s">
        <v>148</v>
      </c>
      <c r="E362" s="3">
        <v>16</v>
      </c>
      <c r="F362" s="3">
        <v>3</v>
      </c>
      <c r="G362" s="3">
        <v>2025</v>
      </c>
      <c r="H362" s="21" t="s">
        <v>86</v>
      </c>
      <c r="I362" s="7" t="s">
        <v>1609</v>
      </c>
      <c r="J362" s="4" t="s">
        <v>50</v>
      </c>
      <c r="K362" s="3" t="s">
        <v>44</v>
      </c>
      <c r="L362" s="3" t="s">
        <v>44</v>
      </c>
      <c r="M362" s="4"/>
      <c r="N362" s="4" t="s">
        <v>44</v>
      </c>
      <c r="O362" s="4"/>
      <c r="P362" s="3"/>
      <c r="Q362" s="11">
        <v>14</v>
      </c>
      <c r="R362" s="3" t="str">
        <f>IF(Q362="","",IF(Q362&lt;4,"Crítico",IF(Q362&lt;9,"Alto",IF(Q362&lt;14,"Médio","Baixo"))))</f>
        <v>Baixo</v>
      </c>
      <c r="S362" s="10" t="s">
        <v>56</v>
      </c>
      <c r="T362" s="4" t="str">
        <f>IF(OR(Tabela1[[#This Row],[Grau de Risco]]="Médio",Tabela1[[#This Row],[Grau de Risco]]="Baixo"),"Não","Sim")</f>
        <v>Não</v>
      </c>
    </row>
    <row r="363" spans="1:20" hidden="1">
      <c r="A363" s="38" t="s">
        <v>8</v>
      </c>
      <c r="B363" s="38" t="s">
        <v>1800</v>
      </c>
      <c r="C363" s="38" t="s">
        <v>41</v>
      </c>
      <c r="D363" s="38" t="s">
        <v>1382</v>
      </c>
      <c r="E363" s="38">
        <v>19</v>
      </c>
      <c r="F363" s="38">
        <v>11</v>
      </c>
      <c r="G363" s="38">
        <v>2025</v>
      </c>
      <c r="H363" s="38" t="s">
        <v>109</v>
      </c>
      <c r="I363" s="49" t="s">
        <v>1540</v>
      </c>
      <c r="J363" s="38" t="s">
        <v>76</v>
      </c>
      <c r="K363" s="38" t="s">
        <v>80</v>
      </c>
      <c r="L363" s="38" t="s">
        <v>80</v>
      </c>
      <c r="M363" s="38" t="s">
        <v>30</v>
      </c>
      <c r="N363" s="38" t="s">
        <v>80</v>
      </c>
      <c r="O363" s="38" t="s">
        <v>45</v>
      </c>
      <c r="P363" s="3" t="s">
        <v>31</v>
      </c>
      <c r="Q363" s="38">
        <v>11</v>
      </c>
      <c r="R363" s="32" t="s">
        <v>31</v>
      </c>
      <c r="S363" s="38" t="s">
        <v>56</v>
      </c>
      <c r="T363" s="4" t="str">
        <f>IF(OR(Tabela1[[#This Row],[Grau de Risco]]="Médio",Tabela1[[#This Row],[Grau de Risco]]="Baixo"),"Não","Sim")</f>
        <v>Não</v>
      </c>
    </row>
    <row r="364" spans="1:20" hidden="1">
      <c r="A364" s="28" t="s">
        <v>7</v>
      </c>
      <c r="B364" s="32" t="s">
        <v>1797</v>
      </c>
      <c r="C364" s="32" t="s">
        <v>252</v>
      </c>
      <c r="D364" s="32" t="s">
        <v>1382</v>
      </c>
      <c r="E364" s="32">
        <v>26</v>
      </c>
      <c r="F364" s="32">
        <v>11</v>
      </c>
      <c r="G364" s="32">
        <v>2025</v>
      </c>
      <c r="H364" s="32" t="s">
        <v>27</v>
      </c>
      <c r="I364" s="29" t="s">
        <v>1610</v>
      </c>
      <c r="J364" s="32" t="s">
        <v>290</v>
      </c>
      <c r="K364" s="32">
        <v>0</v>
      </c>
      <c r="L364" s="32">
        <v>0</v>
      </c>
      <c r="M364" s="3" t="s">
        <v>30</v>
      </c>
      <c r="N364" s="3">
        <v>0</v>
      </c>
      <c r="O364" s="32"/>
      <c r="P364" s="32"/>
      <c r="Q364" s="32">
        <v>11</v>
      </c>
      <c r="R364" s="32" t="s">
        <v>31</v>
      </c>
      <c r="S364" s="28" t="s">
        <v>63</v>
      </c>
      <c r="T364" s="4" t="str">
        <f>IF(OR(Tabela1[[#This Row],[Grau de Risco]]="Médio",Tabela1[[#This Row],[Grau de Risco]]="Baixo"),"Não","Sim")</f>
        <v>Não</v>
      </c>
    </row>
    <row r="365" spans="1:20">
      <c r="A365" s="4" t="s">
        <v>2</v>
      </c>
      <c r="B365" s="10" t="s">
        <v>1809</v>
      </c>
      <c r="C365" s="4" t="s">
        <v>46</v>
      </c>
      <c r="D365" s="38" t="s">
        <v>1382</v>
      </c>
      <c r="E365" s="3">
        <v>21</v>
      </c>
      <c r="F365" s="3">
        <v>7</v>
      </c>
      <c r="G365" s="3">
        <v>2021</v>
      </c>
      <c r="H365" s="36" t="s">
        <v>33</v>
      </c>
      <c r="I365" s="7" t="s">
        <v>156</v>
      </c>
      <c r="J365" s="4" t="s">
        <v>111</v>
      </c>
      <c r="K365" s="3">
        <v>5</v>
      </c>
      <c r="L365" s="3">
        <v>0</v>
      </c>
      <c r="M365" s="4" t="s">
        <v>30</v>
      </c>
      <c r="N365" s="4"/>
      <c r="O365" s="4" t="s">
        <v>70</v>
      </c>
      <c r="P365" s="3" t="s">
        <v>31</v>
      </c>
      <c r="Q365" s="11">
        <v>9</v>
      </c>
      <c r="R365" s="3" t="str">
        <f>IF(Q365="","",IF(Q365&lt;4,"Crítico",IF(Q365&lt;9,"Alto",IF(Q365&lt;14,"Médio","Baixo"))))</f>
        <v>Médio</v>
      </c>
      <c r="S365" s="10" t="s">
        <v>63</v>
      </c>
      <c r="T365" s="4" t="str">
        <f>IF(OR(Tabela1[[#This Row],[Grau de Risco]]="Médio",Tabela1[[#This Row],[Grau de Risco]]="Baixo"),"Não","Sim")</f>
        <v>Não</v>
      </c>
    </row>
    <row r="366" spans="1:20" hidden="1">
      <c r="A366" s="4" t="s">
        <v>2</v>
      </c>
      <c r="B366" s="10" t="s">
        <v>1805</v>
      </c>
      <c r="C366" s="4" t="s">
        <v>41</v>
      </c>
      <c r="D366" s="38" t="s">
        <v>1393</v>
      </c>
      <c r="E366" s="3">
        <v>29</v>
      </c>
      <c r="F366" s="3">
        <v>8</v>
      </c>
      <c r="G366" s="3">
        <v>2023</v>
      </c>
      <c r="H366" s="36" t="s">
        <v>66</v>
      </c>
      <c r="I366" s="7" t="s">
        <v>401</v>
      </c>
      <c r="J366" s="4" t="s">
        <v>169</v>
      </c>
      <c r="K366" s="3">
        <v>1</v>
      </c>
      <c r="L366" s="3"/>
      <c r="M366" s="4"/>
      <c r="N366" s="4"/>
      <c r="O366" s="4" t="s">
        <v>45</v>
      </c>
      <c r="P366" s="3" t="s">
        <v>102</v>
      </c>
      <c r="Q366" s="11">
        <v>4</v>
      </c>
      <c r="R366" s="3" t="s">
        <v>102</v>
      </c>
      <c r="S366" s="10" t="s">
        <v>63</v>
      </c>
      <c r="T366" s="4" t="str">
        <f>IF(OR(Tabela1[[#This Row],[Grau de Risco]]="Médio",Tabela1[[#This Row],[Grau de Risco]]="Baixo"),"Não","Sim")</f>
        <v>Sim</v>
      </c>
    </row>
    <row r="367" spans="1:20" hidden="1">
      <c r="A367" s="4" t="s">
        <v>7</v>
      </c>
      <c r="B367" s="10" t="s">
        <v>1805</v>
      </c>
      <c r="C367" s="4" t="s">
        <v>252</v>
      </c>
      <c r="D367" s="38" t="s">
        <v>47</v>
      </c>
      <c r="E367" s="3">
        <v>24</v>
      </c>
      <c r="F367" s="3">
        <v>11</v>
      </c>
      <c r="G367" s="3">
        <v>2023</v>
      </c>
      <c r="H367" s="36" t="s">
        <v>66</v>
      </c>
      <c r="I367" s="7" t="s">
        <v>545</v>
      </c>
      <c r="J367" s="4" t="s">
        <v>192</v>
      </c>
      <c r="K367" s="3" t="s">
        <v>62</v>
      </c>
      <c r="L367" s="3">
        <v>0</v>
      </c>
      <c r="M367" s="4" t="s">
        <v>30</v>
      </c>
      <c r="N367" s="4">
        <v>0</v>
      </c>
      <c r="O367" s="4" t="s">
        <v>77</v>
      </c>
      <c r="P367" s="3" t="s">
        <v>52</v>
      </c>
      <c r="Q367" s="11">
        <v>2</v>
      </c>
      <c r="R367" s="3" t="str">
        <f>IF(Q367="","",IF(Q367&lt;4,"Crítico",IF(Q367&lt;9,"Alto",IF(Q367&lt;14,"Médio","Baixo"))))</f>
        <v>Crítico</v>
      </c>
      <c r="S367" s="10" t="s">
        <v>63</v>
      </c>
      <c r="T367" s="4" t="str">
        <f>IF(OR(Tabela1[[#This Row],[Grau de Risco]]="Médio",Tabela1[[#This Row],[Grau de Risco]]="Baixo"),"Não","Sim")</f>
        <v>Sim</v>
      </c>
    </row>
    <row r="368" spans="1:20">
      <c r="A368" s="4" t="s">
        <v>2</v>
      </c>
      <c r="B368" s="10" t="s">
        <v>1809</v>
      </c>
      <c r="C368" s="4" t="s">
        <v>41</v>
      </c>
      <c r="D368" s="38" t="s">
        <v>47</v>
      </c>
      <c r="E368" s="3">
        <v>8</v>
      </c>
      <c r="F368" s="3">
        <v>12</v>
      </c>
      <c r="G368" s="3">
        <v>2023</v>
      </c>
      <c r="H368" s="36" t="s">
        <v>107</v>
      </c>
      <c r="I368" s="7" t="s">
        <v>571</v>
      </c>
      <c r="J368" s="5" t="s">
        <v>169</v>
      </c>
      <c r="K368">
        <v>15</v>
      </c>
      <c r="L368">
        <v>0</v>
      </c>
      <c r="M368" t="s">
        <v>30</v>
      </c>
      <c r="N368">
        <v>15</v>
      </c>
      <c r="O368" t="s">
        <v>85</v>
      </c>
      <c r="P368" s="3" t="s">
        <v>102</v>
      </c>
      <c r="Q368" s="3">
        <v>5</v>
      </c>
      <c r="R368" s="11" t="s">
        <v>102</v>
      </c>
      <c r="S368" s="5" t="s">
        <v>40</v>
      </c>
      <c r="T368" s="4" t="str">
        <f>IF(OR(Tabela1[[#This Row],[Grau de Risco]]="Médio",Tabela1[[#This Row],[Grau de Risco]]="Baixo"),"Não","Sim")</f>
        <v>Sim</v>
      </c>
    </row>
    <row r="369" spans="1:20">
      <c r="A369" s="4" t="s">
        <v>9</v>
      </c>
      <c r="B369" s="10" t="s">
        <v>1809</v>
      </c>
      <c r="C369" s="4" t="s">
        <v>41</v>
      </c>
      <c r="D369" s="58" t="s">
        <v>1409</v>
      </c>
      <c r="E369" s="3">
        <v>14</v>
      </c>
      <c r="F369" s="3">
        <v>9</v>
      </c>
      <c r="G369" s="3">
        <v>2023</v>
      </c>
      <c r="H369" s="59" t="s">
        <v>516</v>
      </c>
      <c r="I369" s="7" t="s">
        <v>592</v>
      </c>
      <c r="J369" s="4" t="s">
        <v>111</v>
      </c>
      <c r="K369" s="3">
        <v>7</v>
      </c>
      <c r="L369" s="3">
        <v>0</v>
      </c>
      <c r="M369" s="4" t="s">
        <v>30</v>
      </c>
      <c r="N369" s="4">
        <v>0</v>
      </c>
      <c r="O369" s="4" t="s">
        <v>301</v>
      </c>
      <c r="P369" s="3" t="s">
        <v>102</v>
      </c>
      <c r="Q369" s="11">
        <v>2</v>
      </c>
      <c r="R369" s="3" t="str">
        <f>IF(Q369="","",IF(Q369&lt;4,"Crítico",IF(Q369&lt;9,"Alto",IF(Q369&lt;14,"Médio","Baixo"))))</f>
        <v>Crítico</v>
      </c>
      <c r="S369" s="10" t="s">
        <v>63</v>
      </c>
      <c r="T369" s="4" t="str">
        <f>IF(OR(Tabela1[[#This Row],[Grau de Risco]]="Médio",Tabela1[[#This Row],[Grau de Risco]]="Baixo"),"Não","Sim")</f>
        <v>Sim</v>
      </c>
    </row>
    <row r="370" spans="1:20">
      <c r="A370" s="4" t="s">
        <v>2</v>
      </c>
      <c r="B370" s="10" t="s">
        <v>1809</v>
      </c>
      <c r="C370" s="4" t="s">
        <v>81</v>
      </c>
      <c r="D370" s="58" t="s">
        <v>1409</v>
      </c>
      <c r="E370" s="3">
        <v>24</v>
      </c>
      <c r="F370" s="3">
        <v>8</v>
      </c>
      <c r="G370" s="3">
        <v>2023</v>
      </c>
      <c r="H370" s="36" t="s">
        <v>66</v>
      </c>
      <c r="I370" s="7" t="s">
        <v>643</v>
      </c>
      <c r="J370" s="4" t="s">
        <v>76</v>
      </c>
      <c r="K370" s="3">
        <v>17</v>
      </c>
      <c r="L370" s="3">
        <v>0</v>
      </c>
      <c r="M370" s="4" t="s">
        <v>30</v>
      </c>
      <c r="N370" s="4">
        <v>0</v>
      </c>
      <c r="O370" s="4" t="s">
        <v>85</v>
      </c>
      <c r="P370" s="3" t="s">
        <v>31</v>
      </c>
      <c r="Q370" s="11">
        <v>4</v>
      </c>
      <c r="R370" s="3" t="s">
        <v>102</v>
      </c>
      <c r="S370" s="5" t="s">
        <v>40</v>
      </c>
      <c r="T370" s="4" t="str">
        <f>IF(OR(Tabela1[[#This Row],[Grau de Risco]]="Médio",Tabela1[[#This Row],[Grau de Risco]]="Baixo"),"Não","Sim")</f>
        <v>Sim</v>
      </c>
    </row>
    <row r="371" spans="1:20" hidden="1">
      <c r="A371" s="4" t="s">
        <v>7</v>
      </c>
      <c r="B371" s="10" t="s">
        <v>1793</v>
      </c>
      <c r="C371" s="4" t="s">
        <v>252</v>
      </c>
      <c r="D371" s="38" t="s">
        <v>1382</v>
      </c>
      <c r="E371" s="3">
        <v>11</v>
      </c>
      <c r="F371" s="3">
        <v>10</v>
      </c>
      <c r="G371" s="3">
        <v>2023</v>
      </c>
      <c r="H371" s="4" t="s">
        <v>27</v>
      </c>
      <c r="I371" s="7" t="s">
        <v>1843</v>
      </c>
      <c r="J371" s="4" t="s">
        <v>50</v>
      </c>
      <c r="K371" s="3" t="s">
        <v>62</v>
      </c>
      <c r="L371" s="3">
        <v>0</v>
      </c>
      <c r="M371" s="4" t="s">
        <v>30</v>
      </c>
      <c r="N371" s="4">
        <v>0</v>
      </c>
      <c r="O371" s="4" t="s">
        <v>77</v>
      </c>
      <c r="P371" s="3" t="s">
        <v>31</v>
      </c>
      <c r="Q371" s="11">
        <v>14</v>
      </c>
      <c r="R371" s="3" t="s">
        <v>52</v>
      </c>
      <c r="S371" s="10" t="s">
        <v>63</v>
      </c>
      <c r="T371" s="4" t="str">
        <f>IF(OR(Tabela1[[#This Row],[Grau de Risco]]="Médio",Tabela1[[#This Row],[Grau de Risco]]="Baixo"),"Não","Sim")</f>
        <v>Não</v>
      </c>
    </row>
    <row r="372" spans="1:20" hidden="1">
      <c r="A372" s="4" t="s">
        <v>7</v>
      </c>
      <c r="B372" s="10" t="s">
        <v>1805</v>
      </c>
      <c r="C372" s="4" t="s">
        <v>41</v>
      </c>
      <c r="D372" s="38" t="s">
        <v>1382</v>
      </c>
      <c r="E372" s="3">
        <v>12</v>
      </c>
      <c r="F372" s="3">
        <v>6</v>
      </c>
      <c r="G372" s="3">
        <v>2024</v>
      </c>
      <c r="H372" s="5" t="s">
        <v>209</v>
      </c>
      <c r="I372" s="7" t="s">
        <v>763</v>
      </c>
      <c r="J372" s="4" t="s">
        <v>79</v>
      </c>
      <c r="K372" s="3">
        <v>0</v>
      </c>
      <c r="L372" s="3">
        <v>0</v>
      </c>
      <c r="M372" s="4" t="s">
        <v>30</v>
      </c>
      <c r="N372" s="4">
        <v>0</v>
      </c>
      <c r="O372" s="4" t="s">
        <v>352</v>
      </c>
      <c r="P372" s="3" t="s">
        <v>52</v>
      </c>
      <c r="Q372" s="11">
        <v>4</v>
      </c>
      <c r="R372" s="3" t="s">
        <v>102</v>
      </c>
      <c r="S372" s="10" t="s">
        <v>4</v>
      </c>
      <c r="T372" s="4" t="str">
        <f>IF(OR(Tabela1[[#This Row],[Grau de Risco]]="Médio",Tabela1[[#This Row],[Grau de Risco]]="Baixo"),"Não","Sim")</f>
        <v>Sim</v>
      </c>
    </row>
    <row r="373" spans="1:20" hidden="1">
      <c r="A373" s="4" t="s">
        <v>2</v>
      </c>
      <c r="B373" s="10" t="s">
        <v>1805</v>
      </c>
      <c r="C373" s="4" t="s">
        <v>81</v>
      </c>
      <c r="D373" s="38" t="s">
        <v>47</v>
      </c>
      <c r="E373" s="3">
        <v>12</v>
      </c>
      <c r="F373" s="3">
        <v>1</v>
      </c>
      <c r="G373" s="3">
        <v>2024</v>
      </c>
      <c r="H373" s="36" t="s">
        <v>33</v>
      </c>
      <c r="I373" s="7" t="s">
        <v>809</v>
      </c>
      <c r="J373" s="4" t="s">
        <v>61</v>
      </c>
      <c r="K373" s="3">
        <v>7</v>
      </c>
      <c r="L373" s="3">
        <v>0</v>
      </c>
      <c r="M373" s="4" t="s">
        <v>30</v>
      </c>
      <c r="N373" s="4">
        <v>0</v>
      </c>
      <c r="O373" s="4" t="s">
        <v>70</v>
      </c>
      <c r="P373" s="3" t="s">
        <v>31</v>
      </c>
      <c r="Q373" s="11">
        <v>11</v>
      </c>
      <c r="R373" s="3" t="s">
        <v>31</v>
      </c>
      <c r="S373" s="10" t="s">
        <v>4</v>
      </c>
      <c r="T373" s="4" t="str">
        <f>IF(OR(Tabela1[[#This Row],[Grau de Risco]]="Médio",Tabela1[[#This Row],[Grau de Risco]]="Baixo"),"Não","Sim")</f>
        <v>Não</v>
      </c>
    </row>
    <row r="374" spans="1:20" hidden="1">
      <c r="A374" s="4" t="s">
        <v>8</v>
      </c>
      <c r="B374" s="10" t="s">
        <v>1797</v>
      </c>
      <c r="C374" s="4" t="s">
        <v>125</v>
      </c>
      <c r="D374" s="38" t="s">
        <v>1393</v>
      </c>
      <c r="E374" s="3">
        <v>25</v>
      </c>
      <c r="F374" s="3">
        <v>6</v>
      </c>
      <c r="G374" s="3">
        <v>2024</v>
      </c>
      <c r="H374" s="5" t="s">
        <v>71</v>
      </c>
      <c r="I374" s="7" t="s">
        <v>905</v>
      </c>
      <c r="J374" s="4" t="s">
        <v>79</v>
      </c>
      <c r="K374" s="3" t="s">
        <v>44</v>
      </c>
      <c r="L374" s="3" t="s">
        <v>44</v>
      </c>
      <c r="M374" s="4"/>
      <c r="N374" s="4" t="s">
        <v>44</v>
      </c>
      <c r="O374" s="4" t="s">
        <v>88</v>
      </c>
      <c r="P374" s="3" t="s">
        <v>52</v>
      </c>
      <c r="Q374" s="11">
        <v>14</v>
      </c>
      <c r="R374" s="3" t="s">
        <v>52</v>
      </c>
      <c r="S374" s="10" t="s">
        <v>32</v>
      </c>
      <c r="T374" s="4" t="str">
        <f>IF(OR(Tabela1[[#This Row],[Grau de Risco]]="Médio",Tabela1[[#This Row],[Grau de Risco]]="Baixo"),"Não","Sim")</f>
        <v>Não</v>
      </c>
    </row>
    <row r="375" spans="1:20" hidden="1">
      <c r="A375" s="5" t="s">
        <v>7</v>
      </c>
      <c r="B375" s="33" t="s">
        <v>1800</v>
      </c>
      <c r="C375" s="4" t="s">
        <v>252</v>
      </c>
      <c r="D375" s="58" t="s">
        <v>1409</v>
      </c>
      <c r="E375" s="44">
        <v>28</v>
      </c>
      <c r="F375" s="32">
        <v>11</v>
      </c>
      <c r="G375" s="32">
        <v>2024</v>
      </c>
      <c r="H375" s="4" t="s">
        <v>27</v>
      </c>
      <c r="I375" s="29" t="s">
        <v>1611</v>
      </c>
      <c r="J375" s="28" t="s">
        <v>54</v>
      </c>
      <c r="K375" s="32" t="s">
        <v>80</v>
      </c>
      <c r="L375" s="32" t="s">
        <v>80</v>
      </c>
      <c r="M375" s="28" t="s">
        <v>30</v>
      </c>
      <c r="N375" s="28" t="s">
        <v>80</v>
      </c>
      <c r="O375" s="28"/>
      <c r="P375" s="32" t="s">
        <v>52</v>
      </c>
      <c r="Q375" s="35">
        <v>11</v>
      </c>
      <c r="R375" s="3" t="s">
        <v>31</v>
      </c>
      <c r="S375" s="5" t="s">
        <v>56</v>
      </c>
      <c r="T375" s="4" t="str">
        <f>IF(OR(Tabela1[[#This Row],[Grau de Risco]]="Médio",Tabela1[[#This Row],[Grau de Risco]]="Baixo"),"Não","Sim")</f>
        <v>Não</v>
      </c>
    </row>
    <row r="376" spans="1:20">
      <c r="A376" s="4" t="s">
        <v>2</v>
      </c>
      <c r="B376" s="10" t="s">
        <v>1809</v>
      </c>
      <c r="C376" s="4" t="s">
        <v>252</v>
      </c>
      <c r="D376" s="38" t="s">
        <v>47</v>
      </c>
      <c r="E376" s="3">
        <v>5</v>
      </c>
      <c r="F376" s="3">
        <v>4</v>
      </c>
      <c r="G376" s="3">
        <v>2024</v>
      </c>
      <c r="H376" s="36" t="s">
        <v>66</v>
      </c>
      <c r="I376" s="7" t="s">
        <v>1033</v>
      </c>
      <c r="J376" s="4" t="s">
        <v>76</v>
      </c>
      <c r="K376" s="3">
        <v>14</v>
      </c>
      <c r="L376" s="3">
        <v>0</v>
      </c>
      <c r="M376" s="4" t="s">
        <v>30</v>
      </c>
      <c r="N376" s="4"/>
      <c r="O376" s="4" t="s">
        <v>85</v>
      </c>
      <c r="P376" s="3" t="s">
        <v>31</v>
      </c>
      <c r="Q376" s="11">
        <v>4</v>
      </c>
      <c r="R376" s="3" t="s">
        <v>102</v>
      </c>
      <c r="S376" s="5" t="s">
        <v>40</v>
      </c>
      <c r="T376" s="4" t="str">
        <f>IF(OR(Tabela1[[#This Row],[Grau de Risco]]="Médio",Tabela1[[#This Row],[Grau de Risco]]="Baixo"),"Não","Sim")</f>
        <v>Sim</v>
      </c>
    </row>
    <row r="377" spans="1:20" hidden="1">
      <c r="A377" s="28" t="s">
        <v>8</v>
      </c>
      <c r="B377" s="33" t="s">
        <v>1800</v>
      </c>
      <c r="C377" s="28" t="s">
        <v>252</v>
      </c>
      <c r="D377" s="38" t="s">
        <v>1320</v>
      </c>
      <c r="E377" s="32">
        <v>27</v>
      </c>
      <c r="F377" s="32">
        <v>1</v>
      </c>
      <c r="G377" s="32">
        <v>2025</v>
      </c>
      <c r="H377" s="38" t="s">
        <v>1132</v>
      </c>
      <c r="I377" s="29" t="s">
        <v>1133</v>
      </c>
      <c r="J377" s="28" t="s">
        <v>54</v>
      </c>
      <c r="K377" s="32" t="s">
        <v>80</v>
      </c>
      <c r="L377" s="32" t="s">
        <v>80</v>
      </c>
      <c r="M377" s="28" t="s">
        <v>30</v>
      </c>
      <c r="N377" s="28" t="s">
        <v>80</v>
      </c>
      <c r="O377" s="28" t="s">
        <v>4</v>
      </c>
      <c r="P377" s="32" t="s">
        <v>31</v>
      </c>
      <c r="Q377" s="35">
        <v>10</v>
      </c>
      <c r="R377" s="32" t="s">
        <v>31</v>
      </c>
      <c r="S377" s="33" t="s">
        <v>178</v>
      </c>
      <c r="T377" s="4" t="str">
        <f>IF(OR(Tabela1[[#This Row],[Grau de Risco]]="Médio",Tabela1[[#This Row],[Grau de Risco]]="Baixo"),"Não","Sim")</f>
        <v>Não</v>
      </c>
    </row>
    <row r="378" spans="1:20">
      <c r="A378" s="28" t="s">
        <v>7</v>
      </c>
      <c r="B378" s="10" t="s">
        <v>1809</v>
      </c>
      <c r="C378" s="28" t="s">
        <v>81</v>
      </c>
      <c r="D378" s="38" t="s">
        <v>1393</v>
      </c>
      <c r="E378" s="32">
        <v>12</v>
      </c>
      <c r="F378" s="32">
        <v>2</v>
      </c>
      <c r="G378" s="32">
        <v>2025</v>
      </c>
      <c r="H378" s="36" t="s">
        <v>107</v>
      </c>
      <c r="I378" s="29" t="s">
        <v>1158</v>
      </c>
      <c r="J378" s="28" t="s">
        <v>61</v>
      </c>
      <c r="K378" s="32"/>
      <c r="L378" s="32"/>
      <c r="M378" s="28"/>
      <c r="N378" s="28"/>
      <c r="O378" s="28" t="s">
        <v>77</v>
      </c>
      <c r="P378" s="32"/>
      <c r="Q378" s="35">
        <v>13</v>
      </c>
      <c r="R378" s="32" t="s">
        <v>31</v>
      </c>
      <c r="S378" s="33" t="s">
        <v>63</v>
      </c>
      <c r="T378" s="4" t="str">
        <f>IF(OR(Tabela1[[#This Row],[Grau de Risco]]="Médio",Tabela1[[#This Row],[Grau de Risco]]="Baixo"),"Não","Sim")</f>
        <v>Não</v>
      </c>
    </row>
    <row r="379" spans="1:20" hidden="1">
      <c r="A379" s="4" t="s">
        <v>8</v>
      </c>
      <c r="B379" s="10" t="s">
        <v>1797</v>
      </c>
      <c r="C379" s="4" t="s">
        <v>41</v>
      </c>
      <c r="D379" s="38" t="s">
        <v>1393</v>
      </c>
      <c r="E379" s="3">
        <v>18</v>
      </c>
      <c r="F379" s="3">
        <v>2</v>
      </c>
      <c r="G379" s="3">
        <v>2025</v>
      </c>
      <c r="H379" s="4" t="s">
        <v>27</v>
      </c>
      <c r="I379" s="7" t="s">
        <v>1167</v>
      </c>
      <c r="J379" s="4" t="s">
        <v>290</v>
      </c>
      <c r="K379" s="3">
        <v>0</v>
      </c>
      <c r="L379" s="3">
        <v>0</v>
      </c>
      <c r="M379" s="4" t="s">
        <v>30</v>
      </c>
      <c r="N379" s="4">
        <v>0</v>
      </c>
      <c r="O379" s="4" t="s">
        <v>88</v>
      </c>
      <c r="P379" s="3" t="s">
        <v>52</v>
      </c>
      <c r="Q379" s="11">
        <v>11</v>
      </c>
      <c r="R379" s="3" t="s">
        <v>31</v>
      </c>
      <c r="S379" s="5" t="s">
        <v>56</v>
      </c>
      <c r="T379" s="4" t="str">
        <f>IF(OR(Tabela1[[#This Row],[Grau de Risco]]="Médio",Tabela1[[#This Row],[Grau de Risco]]="Baixo"),"Não","Sim")</f>
        <v>Não</v>
      </c>
    </row>
    <row r="380" spans="1:20" hidden="1">
      <c r="A380" s="28" t="s">
        <v>8</v>
      </c>
      <c r="B380" s="33" t="s">
        <v>1800</v>
      </c>
      <c r="C380" s="4" t="s">
        <v>41</v>
      </c>
      <c r="D380" s="38" t="s">
        <v>1382</v>
      </c>
      <c r="E380" s="32">
        <v>19</v>
      </c>
      <c r="F380" s="32">
        <v>2</v>
      </c>
      <c r="G380" s="32">
        <v>2025</v>
      </c>
      <c r="H380" s="38" t="s">
        <v>48</v>
      </c>
      <c r="I380" s="29" t="s">
        <v>1612</v>
      </c>
      <c r="J380" s="28" t="s">
        <v>69</v>
      </c>
      <c r="K380" s="32" t="s">
        <v>80</v>
      </c>
      <c r="L380" s="32" t="s">
        <v>80</v>
      </c>
      <c r="M380" s="28" t="s">
        <v>30</v>
      </c>
      <c r="N380" s="28" t="s">
        <v>80</v>
      </c>
      <c r="O380" s="28"/>
      <c r="P380" s="32" t="s">
        <v>52</v>
      </c>
      <c r="Q380" s="35">
        <v>11</v>
      </c>
      <c r="R380" s="32" t="s">
        <v>31</v>
      </c>
      <c r="S380" s="33" t="s">
        <v>63</v>
      </c>
      <c r="T380" s="4" t="str">
        <f>IF(OR(Tabela1[[#This Row],[Grau de Risco]]="Médio",Tabela1[[#This Row],[Grau de Risco]]="Baixo"),"Não","Sim")</f>
        <v>Não</v>
      </c>
    </row>
    <row r="381" spans="1:20" hidden="1">
      <c r="A381" s="4" t="s">
        <v>7</v>
      </c>
      <c r="B381" s="10" t="s">
        <v>1805</v>
      </c>
      <c r="C381" s="4" t="s">
        <v>252</v>
      </c>
      <c r="D381" s="38" t="s">
        <v>1382</v>
      </c>
      <c r="E381" s="3">
        <v>19</v>
      </c>
      <c r="F381" s="3">
        <v>3</v>
      </c>
      <c r="G381" s="3">
        <v>2025</v>
      </c>
      <c r="H381" s="36" t="s">
        <v>82</v>
      </c>
      <c r="I381" s="7" t="s">
        <v>1613</v>
      </c>
      <c r="J381" s="4" t="s">
        <v>69</v>
      </c>
      <c r="K381" s="3" t="s">
        <v>44</v>
      </c>
      <c r="L381" s="3" t="s">
        <v>44</v>
      </c>
      <c r="M381" s="4"/>
      <c r="N381" s="4" t="s">
        <v>44</v>
      </c>
      <c r="O381" s="4"/>
      <c r="P381" s="3"/>
      <c r="Q381" s="11">
        <v>14</v>
      </c>
      <c r="R381" s="3" t="s">
        <v>52</v>
      </c>
      <c r="S381" s="10" t="s">
        <v>56</v>
      </c>
      <c r="T381" s="4" t="str">
        <f>IF(OR(Tabela1[[#This Row],[Grau de Risco]]="Médio",Tabela1[[#This Row],[Grau de Risco]]="Baixo"),"Não","Sim")</f>
        <v>Não</v>
      </c>
    </row>
    <row r="382" spans="1:20" hidden="1">
      <c r="A382" s="28" t="s">
        <v>8</v>
      </c>
      <c r="B382" s="33" t="s">
        <v>1800</v>
      </c>
      <c r="C382" s="28" t="s">
        <v>252</v>
      </c>
      <c r="D382" s="38" t="s">
        <v>1409</v>
      </c>
      <c r="E382" s="32">
        <v>31</v>
      </c>
      <c r="F382" s="32">
        <v>7</v>
      </c>
      <c r="G382" s="32">
        <v>2025</v>
      </c>
      <c r="H382" s="38" t="s">
        <v>107</v>
      </c>
      <c r="I382" s="29" t="s">
        <v>1372</v>
      </c>
      <c r="J382" s="28" t="s">
        <v>76</v>
      </c>
      <c r="K382" s="32" t="s">
        <v>80</v>
      </c>
      <c r="L382" s="32" t="s">
        <v>80</v>
      </c>
      <c r="M382" s="28" t="s">
        <v>30</v>
      </c>
      <c r="N382" s="28" t="s">
        <v>80</v>
      </c>
      <c r="O382" s="4" t="s">
        <v>45</v>
      </c>
      <c r="P382" s="32" t="s">
        <v>31</v>
      </c>
      <c r="Q382" s="35">
        <v>11</v>
      </c>
      <c r="R382" s="32" t="s">
        <v>31</v>
      </c>
      <c r="S382" s="33" t="s">
        <v>32</v>
      </c>
      <c r="T382" s="4" t="str">
        <f>IF(OR(Tabela1[[#This Row],[Grau de Risco]]="Médio",Tabela1[[#This Row],[Grau de Risco]]="Baixo"),"Não","Sim")</f>
        <v>Não</v>
      </c>
    </row>
    <row r="383" spans="1:20" hidden="1">
      <c r="A383" s="28" t="s">
        <v>9</v>
      </c>
      <c r="B383" s="33" t="s">
        <v>1800</v>
      </c>
      <c r="C383" s="28" t="s">
        <v>41</v>
      </c>
      <c r="D383" s="38" t="s">
        <v>1320</v>
      </c>
      <c r="E383" s="32">
        <v>30</v>
      </c>
      <c r="F383" s="32">
        <v>9</v>
      </c>
      <c r="G383" s="32">
        <v>2025</v>
      </c>
      <c r="H383" s="38" t="s">
        <v>375</v>
      </c>
      <c r="I383" s="7" t="s">
        <v>1461</v>
      </c>
      <c r="J383" s="28" t="s">
        <v>76</v>
      </c>
      <c r="K383" s="32">
        <v>5</v>
      </c>
      <c r="L383" s="32" t="s">
        <v>80</v>
      </c>
      <c r="M383" s="28" t="s">
        <v>30</v>
      </c>
      <c r="N383" s="28" t="s">
        <v>80</v>
      </c>
      <c r="O383" s="4" t="s">
        <v>77</v>
      </c>
      <c r="P383" s="32" t="s">
        <v>52</v>
      </c>
      <c r="Q383" s="35">
        <v>11</v>
      </c>
      <c r="R383" s="32" t="s">
        <v>31</v>
      </c>
      <c r="S383" s="33" t="s">
        <v>63</v>
      </c>
      <c r="T383" s="4" t="str">
        <f>IF(OR(Tabela1[[#This Row],[Grau de Risco]]="Médio",Tabela1[[#This Row],[Grau de Risco]]="Baixo"),"Não","Sim")</f>
        <v>Não</v>
      </c>
    </row>
    <row r="384" spans="1:20" hidden="1">
      <c r="A384" s="28" t="s">
        <v>11</v>
      </c>
      <c r="B384" s="33" t="s">
        <v>1793</v>
      </c>
      <c r="C384" s="28" t="s">
        <v>125</v>
      </c>
      <c r="D384" s="28" t="s">
        <v>36</v>
      </c>
      <c r="E384" s="32">
        <v>26</v>
      </c>
      <c r="F384" s="32">
        <v>7</v>
      </c>
      <c r="G384" s="32">
        <v>2025</v>
      </c>
      <c r="H384" s="34" t="s">
        <v>127</v>
      </c>
      <c r="I384" s="29" t="s">
        <v>1614</v>
      </c>
      <c r="J384" s="28" t="s">
        <v>29</v>
      </c>
      <c r="K384" s="32">
        <v>0</v>
      </c>
      <c r="L384" s="32">
        <v>6000</v>
      </c>
      <c r="M384" s="28"/>
      <c r="N384" s="28" t="s">
        <v>44</v>
      </c>
      <c r="O384" s="28"/>
      <c r="P384" s="32" t="s">
        <v>102</v>
      </c>
      <c r="Q384" s="35">
        <v>4</v>
      </c>
      <c r="R384" s="3" t="s">
        <v>102</v>
      </c>
      <c r="S384" s="33" t="s">
        <v>63</v>
      </c>
      <c r="T384" s="4" t="str">
        <f>IF(OR(Tabela1[[#This Row],[Grau de Risco]]="Médio",Tabela1[[#This Row],[Grau de Risco]]="Baixo"),"Não","Sim")</f>
        <v>Sim</v>
      </c>
    </row>
    <row r="385" spans="1:20" hidden="1">
      <c r="A385" s="28" t="s">
        <v>7</v>
      </c>
      <c r="B385" s="33" t="s">
        <v>1800</v>
      </c>
      <c r="C385" s="28" t="s">
        <v>41</v>
      </c>
      <c r="D385" s="38" t="s">
        <v>47</v>
      </c>
      <c r="E385" s="32">
        <v>3</v>
      </c>
      <c r="F385" s="32">
        <v>10</v>
      </c>
      <c r="G385" s="32">
        <v>2025</v>
      </c>
      <c r="H385" s="38" t="s">
        <v>48</v>
      </c>
      <c r="I385" s="29" t="s">
        <v>1493</v>
      </c>
      <c r="J385" s="28" t="s">
        <v>69</v>
      </c>
      <c r="K385" s="32" t="s">
        <v>80</v>
      </c>
      <c r="L385" s="32" t="s">
        <v>80</v>
      </c>
      <c r="M385" s="28" t="s">
        <v>30</v>
      </c>
      <c r="N385" s="28" t="s">
        <v>80</v>
      </c>
      <c r="O385" s="4" t="s">
        <v>77</v>
      </c>
      <c r="P385" s="32" t="s">
        <v>52</v>
      </c>
      <c r="Q385" s="35">
        <v>14</v>
      </c>
      <c r="R385" s="32" t="s">
        <v>52</v>
      </c>
      <c r="S385" s="33" t="s">
        <v>63</v>
      </c>
      <c r="T385" s="4" t="str">
        <f>IF(OR(Tabela1[[#This Row],[Grau de Risco]]="Médio",Tabela1[[#This Row],[Grau de Risco]]="Baixo"),"Não","Sim")</f>
        <v>Não</v>
      </c>
    </row>
    <row r="386" spans="1:20" hidden="1">
      <c r="A386" s="38" t="s">
        <v>10</v>
      </c>
      <c r="B386" s="58" t="s">
        <v>1800</v>
      </c>
      <c r="C386" s="38" t="s">
        <v>252</v>
      </c>
      <c r="D386" s="38" t="s">
        <v>1393</v>
      </c>
      <c r="E386" s="38">
        <v>4</v>
      </c>
      <c r="F386" s="38">
        <v>11</v>
      </c>
      <c r="G386" s="38">
        <v>2025</v>
      </c>
      <c r="H386" s="38" t="s">
        <v>109</v>
      </c>
      <c r="I386" s="49" t="s">
        <v>1534</v>
      </c>
      <c r="J386" s="38" t="s">
        <v>69</v>
      </c>
      <c r="K386" s="38" t="s">
        <v>80</v>
      </c>
      <c r="L386" s="38" t="s">
        <v>80</v>
      </c>
      <c r="M386" s="38" t="s">
        <v>30</v>
      </c>
      <c r="N386" s="38" t="s">
        <v>80</v>
      </c>
      <c r="O386" s="42" t="s">
        <v>77</v>
      </c>
      <c r="P386" s="38" t="s">
        <v>52</v>
      </c>
      <c r="Q386" s="38">
        <v>11</v>
      </c>
      <c r="R386" s="32" t="s">
        <v>31</v>
      </c>
      <c r="S386" s="38" t="s">
        <v>63</v>
      </c>
      <c r="T386" s="4" t="str">
        <f>IF(OR(Tabela1[[#This Row],[Grau de Risco]]="Médio",Tabela1[[#This Row],[Grau de Risco]]="Baixo"),"Não","Sim")</f>
        <v>Não</v>
      </c>
    </row>
    <row r="387" spans="1:20" hidden="1">
      <c r="A387" s="28" t="s">
        <v>7</v>
      </c>
      <c r="B387" s="10" t="s">
        <v>1797</v>
      </c>
      <c r="C387" s="4" t="s">
        <v>252</v>
      </c>
      <c r="D387" s="4" t="s">
        <v>1393</v>
      </c>
      <c r="E387" s="3">
        <v>11</v>
      </c>
      <c r="F387" s="3">
        <v>11</v>
      </c>
      <c r="G387" s="3">
        <v>2025</v>
      </c>
      <c r="H387" s="21" t="s">
        <v>27</v>
      </c>
      <c r="I387" s="7" t="s">
        <v>1615</v>
      </c>
      <c r="J387" s="4" t="s">
        <v>69</v>
      </c>
      <c r="K387" s="3" t="s">
        <v>44</v>
      </c>
      <c r="L387" s="3" t="s">
        <v>44</v>
      </c>
      <c r="M387" s="4"/>
      <c r="N387" s="4" t="s">
        <v>44</v>
      </c>
      <c r="O387" s="4"/>
      <c r="P387" s="3"/>
      <c r="Q387" s="11">
        <v>14</v>
      </c>
      <c r="R387" s="3" t="str">
        <f t="shared" ref="R387:R392" si="0">IF(Q387="","",IF(Q387&lt;4,"Crítico",IF(Q387&lt;9,"Alto",IF(Q387&lt;14,"Médio","Baixo"))))</f>
        <v>Baixo</v>
      </c>
      <c r="S387" s="10" t="s">
        <v>56</v>
      </c>
      <c r="T387" s="4" t="str">
        <f>IF(OR(Tabela1[[#This Row],[Grau de Risco]]="Médio",Tabela1[[#This Row],[Grau de Risco]]="Baixo"),"Não","Sim")</f>
        <v>Não</v>
      </c>
    </row>
    <row r="388" spans="1:20">
      <c r="A388" s="28" t="s">
        <v>7</v>
      </c>
      <c r="B388" s="10" t="s">
        <v>1809</v>
      </c>
      <c r="C388" s="4" t="s">
        <v>81</v>
      </c>
      <c r="D388" s="4" t="s">
        <v>1320</v>
      </c>
      <c r="E388" s="3">
        <v>17</v>
      </c>
      <c r="F388" s="3">
        <v>11</v>
      </c>
      <c r="G388" s="3">
        <v>2025</v>
      </c>
      <c r="H388" s="21" t="s">
        <v>71</v>
      </c>
      <c r="I388" s="7" t="s">
        <v>1561</v>
      </c>
      <c r="J388" s="4" t="s">
        <v>76</v>
      </c>
      <c r="K388" s="3" t="s">
        <v>44</v>
      </c>
      <c r="L388" s="3" t="s">
        <v>44</v>
      </c>
      <c r="M388" s="4"/>
      <c r="N388" s="4" t="s">
        <v>44</v>
      </c>
      <c r="O388" s="4"/>
      <c r="P388" s="3"/>
      <c r="Q388" s="11">
        <v>11</v>
      </c>
      <c r="R388" s="3" t="str">
        <f t="shared" si="0"/>
        <v>Médio</v>
      </c>
      <c r="S388" s="10" t="s">
        <v>56</v>
      </c>
      <c r="T388" s="4" t="str">
        <f>IF(OR(Tabela1[[#This Row],[Grau de Risco]]="Médio",Tabela1[[#This Row],[Grau de Risco]]="Baixo"),"Não","Sim")</f>
        <v>Não</v>
      </c>
    </row>
    <row r="389" spans="1:20" hidden="1">
      <c r="A389" s="28" t="s">
        <v>7</v>
      </c>
      <c r="B389" s="10" t="s">
        <v>1805</v>
      </c>
      <c r="C389" s="4" t="s">
        <v>252</v>
      </c>
      <c r="D389" s="4" t="s">
        <v>47</v>
      </c>
      <c r="E389" s="3">
        <v>28</v>
      </c>
      <c r="F389" s="3">
        <v>11</v>
      </c>
      <c r="G389" s="3">
        <v>2025</v>
      </c>
      <c r="H389" s="21" t="s">
        <v>127</v>
      </c>
      <c r="I389" s="7" t="s">
        <v>1563</v>
      </c>
      <c r="J389" s="4" t="s">
        <v>29</v>
      </c>
      <c r="K389" s="3" t="s">
        <v>44</v>
      </c>
      <c r="L389" s="3" t="s">
        <v>44</v>
      </c>
      <c r="M389" s="4"/>
      <c r="N389" s="4" t="s">
        <v>44</v>
      </c>
      <c r="O389" s="4"/>
      <c r="P389" s="3"/>
      <c r="Q389" s="11">
        <v>10</v>
      </c>
      <c r="R389" s="3" t="str">
        <f t="shared" si="0"/>
        <v>Médio</v>
      </c>
      <c r="S389" s="10" t="s">
        <v>56</v>
      </c>
      <c r="T389" s="4" t="str">
        <f>IF(OR(Tabela1[[#This Row],[Grau de Risco]]="Médio",Tabela1[[#This Row],[Grau de Risco]]="Baixo"),"Não","Sim")</f>
        <v>Não</v>
      </c>
    </row>
    <row r="390" spans="1:20">
      <c r="A390" s="4" t="s">
        <v>2</v>
      </c>
      <c r="B390" s="10" t="s">
        <v>1809</v>
      </c>
      <c r="C390" s="4" t="s">
        <v>46</v>
      </c>
      <c r="D390" s="38" t="s">
        <v>47</v>
      </c>
      <c r="E390" s="3">
        <v>29</v>
      </c>
      <c r="F390" s="3">
        <v>4</v>
      </c>
      <c r="G390" s="3">
        <v>2022</v>
      </c>
      <c r="H390" s="5" t="s">
        <v>48</v>
      </c>
      <c r="I390" s="7" t="s">
        <v>285</v>
      </c>
      <c r="J390" s="4" t="s">
        <v>61</v>
      </c>
      <c r="K390" s="3">
        <v>15</v>
      </c>
      <c r="L390" s="3">
        <v>0</v>
      </c>
      <c r="M390" s="4" t="s">
        <v>30</v>
      </c>
      <c r="N390" s="4"/>
      <c r="O390" s="4" t="s">
        <v>70</v>
      </c>
      <c r="P390" s="3" t="s">
        <v>31</v>
      </c>
      <c r="Q390" s="11">
        <v>17</v>
      </c>
      <c r="R390" s="3" t="str">
        <f t="shared" si="0"/>
        <v>Baixo</v>
      </c>
      <c r="S390" s="5" t="s">
        <v>56</v>
      </c>
      <c r="T390" s="4" t="str">
        <f>IF(OR(Tabela1[[#This Row],[Grau de Risco]]="Médio",Tabela1[[#This Row],[Grau de Risco]]="Baixo"),"Não","Sim")</f>
        <v>Não</v>
      </c>
    </row>
    <row r="391" spans="1:20">
      <c r="A391" s="4" t="s">
        <v>2</v>
      </c>
      <c r="B391" s="10" t="s">
        <v>1809</v>
      </c>
      <c r="C391" s="4"/>
      <c r="D391" s="5" t="s">
        <v>36</v>
      </c>
      <c r="E391" s="3">
        <v>10</v>
      </c>
      <c r="F391" s="3">
        <v>12</v>
      </c>
      <c r="G391" s="3">
        <v>2022</v>
      </c>
      <c r="H391" s="36" t="s">
        <v>112</v>
      </c>
      <c r="I391" s="7" t="s">
        <v>299</v>
      </c>
      <c r="J391" s="4" t="s">
        <v>61</v>
      </c>
      <c r="K391" s="3">
        <v>77</v>
      </c>
      <c r="L391" s="3">
        <v>0</v>
      </c>
      <c r="M391" s="4" t="s">
        <v>30</v>
      </c>
      <c r="N391" s="4"/>
      <c r="O391" s="4" t="s">
        <v>159</v>
      </c>
      <c r="P391" s="3" t="s">
        <v>31</v>
      </c>
      <c r="Q391" s="11">
        <v>9</v>
      </c>
      <c r="R391" s="3" t="str">
        <f t="shared" si="0"/>
        <v>Médio</v>
      </c>
      <c r="S391" s="10" t="s">
        <v>63</v>
      </c>
      <c r="T391" s="4" t="str">
        <f>IF(OR(Tabela1[[#This Row],[Grau de Risco]]="Médio",Tabela1[[#This Row],[Grau de Risco]]="Baixo"),"Não","Sim")</f>
        <v>Não</v>
      </c>
    </row>
    <row r="392" spans="1:20">
      <c r="A392" s="4" t="s">
        <v>2</v>
      </c>
      <c r="B392" s="10" t="s">
        <v>1809</v>
      </c>
      <c r="C392" s="4"/>
      <c r="D392" s="4" t="s">
        <v>148</v>
      </c>
      <c r="E392" s="3">
        <v>4</v>
      </c>
      <c r="F392" s="3">
        <v>9</v>
      </c>
      <c r="G392" s="3">
        <v>2022</v>
      </c>
      <c r="H392" s="5" t="s">
        <v>48</v>
      </c>
      <c r="I392" s="7" t="s">
        <v>350</v>
      </c>
      <c r="J392" s="4" t="s">
        <v>61</v>
      </c>
      <c r="K392" s="3">
        <v>14</v>
      </c>
      <c r="L392" s="3">
        <v>0</v>
      </c>
      <c r="M392" s="4" t="s">
        <v>30</v>
      </c>
      <c r="N392" s="4"/>
      <c r="O392" s="4" t="s">
        <v>70</v>
      </c>
      <c r="P392" s="3" t="s">
        <v>31</v>
      </c>
      <c r="Q392" s="11">
        <v>9</v>
      </c>
      <c r="R392" s="3" t="str">
        <f t="shared" si="0"/>
        <v>Médio</v>
      </c>
      <c r="S392" s="10" t="s">
        <v>63</v>
      </c>
      <c r="T392" s="4" t="str">
        <f>IF(OR(Tabela1[[#This Row],[Grau de Risco]]="Médio",Tabela1[[#This Row],[Grau de Risco]]="Baixo"),"Não","Sim")</f>
        <v>Não</v>
      </c>
    </row>
    <row r="393" spans="1:20" hidden="1">
      <c r="A393" s="4" t="s">
        <v>7</v>
      </c>
      <c r="B393" s="10" t="s">
        <v>1793</v>
      </c>
      <c r="C393" s="4" t="s">
        <v>81</v>
      </c>
      <c r="D393" s="38" t="s">
        <v>47</v>
      </c>
      <c r="E393" s="3">
        <v>17</v>
      </c>
      <c r="F393" s="3">
        <v>11</v>
      </c>
      <c r="G393" s="3">
        <v>2023</v>
      </c>
      <c r="H393" s="36" t="s">
        <v>375</v>
      </c>
      <c r="I393" s="7" t="s">
        <v>486</v>
      </c>
      <c r="J393" s="4" t="s">
        <v>93</v>
      </c>
      <c r="K393" s="3" t="s">
        <v>62</v>
      </c>
      <c r="L393" s="3">
        <v>0</v>
      </c>
      <c r="M393" s="4" t="s">
        <v>30</v>
      </c>
      <c r="N393" s="4">
        <v>0</v>
      </c>
      <c r="O393" s="4" t="s">
        <v>386</v>
      </c>
      <c r="P393" s="3" t="s">
        <v>31</v>
      </c>
      <c r="Q393" s="11">
        <v>11</v>
      </c>
      <c r="R393" s="3" t="s">
        <v>31</v>
      </c>
      <c r="S393" s="10" t="s">
        <v>63</v>
      </c>
      <c r="T393" s="4" t="str">
        <f>IF(OR(Tabela1[[#This Row],[Grau de Risco]]="Médio",Tabela1[[#This Row],[Grau de Risco]]="Baixo"),"Não","Sim")</f>
        <v>Não</v>
      </c>
    </row>
    <row r="394" spans="1:20">
      <c r="A394" s="4" t="s">
        <v>9</v>
      </c>
      <c r="B394" s="10" t="s">
        <v>1809</v>
      </c>
      <c r="C394" s="4" t="s">
        <v>41</v>
      </c>
      <c r="D394" s="58" t="s">
        <v>1409</v>
      </c>
      <c r="E394" s="3">
        <v>14</v>
      </c>
      <c r="F394" s="3">
        <v>9</v>
      </c>
      <c r="G394" s="3">
        <v>2023</v>
      </c>
      <c r="H394" s="59" t="s">
        <v>516</v>
      </c>
      <c r="I394" s="7" t="s">
        <v>592</v>
      </c>
      <c r="J394" s="4" t="s">
        <v>111</v>
      </c>
      <c r="K394" s="3">
        <v>2</v>
      </c>
      <c r="L394" s="3">
        <v>0</v>
      </c>
      <c r="M394" s="4" t="s">
        <v>30</v>
      </c>
      <c r="N394" s="4">
        <v>0</v>
      </c>
      <c r="O394" s="4" t="s">
        <v>301</v>
      </c>
      <c r="P394" s="3" t="s">
        <v>102</v>
      </c>
      <c r="Q394" s="11">
        <v>2</v>
      </c>
      <c r="R394" s="3" t="str">
        <f>IF(Q394="","",IF(Q394&lt;4,"Crítico",IF(Q394&lt;9,"Alto",IF(Q394&lt;14,"Médio","Baixo"))))</f>
        <v>Crítico</v>
      </c>
      <c r="S394" s="10" t="s">
        <v>63</v>
      </c>
      <c r="T394" s="4" t="str">
        <f>IF(OR(Tabela1[[#This Row],[Grau de Risco]]="Médio",Tabela1[[#This Row],[Grau de Risco]]="Baixo"),"Não","Sim")</f>
        <v>Sim</v>
      </c>
    </row>
    <row r="395" spans="1:20" hidden="1">
      <c r="A395" s="4" t="s">
        <v>9</v>
      </c>
      <c r="B395" s="10" t="s">
        <v>1797</v>
      </c>
      <c r="C395" s="4" t="s">
        <v>252</v>
      </c>
      <c r="D395" s="38" t="s">
        <v>1320</v>
      </c>
      <c r="E395" s="3">
        <v>1</v>
      </c>
      <c r="F395" s="3">
        <v>7</v>
      </c>
      <c r="G395" s="3">
        <v>2024</v>
      </c>
      <c r="H395" s="36" t="s">
        <v>112</v>
      </c>
      <c r="I395" s="7" t="s">
        <v>738</v>
      </c>
      <c r="J395" s="4" t="s">
        <v>100</v>
      </c>
      <c r="K395" s="3">
        <v>2</v>
      </c>
      <c r="L395" s="3">
        <v>0</v>
      </c>
      <c r="M395" s="4" t="s">
        <v>30</v>
      </c>
      <c r="N395" s="4">
        <v>0</v>
      </c>
      <c r="O395" s="4" t="s">
        <v>101</v>
      </c>
      <c r="P395" s="3" t="s">
        <v>31</v>
      </c>
      <c r="Q395" s="11">
        <v>7</v>
      </c>
      <c r="R395" s="3" t="s">
        <v>102</v>
      </c>
      <c r="S395" s="10" t="s">
        <v>63</v>
      </c>
      <c r="T395" s="4" t="str">
        <f>IF(OR(Tabela1[[#This Row],[Grau de Risco]]="Médio",Tabela1[[#This Row],[Grau de Risco]]="Baixo"),"Não","Sim")</f>
        <v>Sim</v>
      </c>
    </row>
    <row r="396" spans="1:20">
      <c r="A396" s="4" t="s">
        <v>7</v>
      </c>
      <c r="B396" s="10" t="s">
        <v>1809</v>
      </c>
      <c r="C396" s="4" t="s">
        <v>41</v>
      </c>
      <c r="D396" s="38" t="s">
        <v>1320</v>
      </c>
      <c r="E396" s="3">
        <v>11</v>
      </c>
      <c r="F396" s="3">
        <v>11</v>
      </c>
      <c r="G396" s="3">
        <v>2024</v>
      </c>
      <c r="H396" s="34" t="s">
        <v>59</v>
      </c>
      <c r="I396" s="7" t="s">
        <v>1616</v>
      </c>
      <c r="J396" s="4" t="s">
        <v>69</v>
      </c>
      <c r="K396" s="3" t="s">
        <v>44</v>
      </c>
      <c r="L396" s="3" t="s">
        <v>44</v>
      </c>
      <c r="M396" s="4"/>
      <c r="N396" s="4" t="s">
        <v>44</v>
      </c>
      <c r="O396" s="4"/>
      <c r="P396" s="3"/>
      <c r="Q396" s="11">
        <v>11</v>
      </c>
      <c r="R396" s="3" t="s">
        <v>31</v>
      </c>
      <c r="S396" s="10" t="s">
        <v>63</v>
      </c>
      <c r="T396" s="4" t="str">
        <f>IF(OR(Tabela1[[#This Row],[Grau de Risco]]="Médio",Tabela1[[#This Row],[Grau de Risco]]="Baixo"),"Não","Sim")</f>
        <v>Não</v>
      </c>
    </row>
    <row r="397" spans="1:20" hidden="1">
      <c r="A397" s="4" t="s">
        <v>7</v>
      </c>
      <c r="B397" s="10" t="s">
        <v>1805</v>
      </c>
      <c r="C397" s="4" t="s">
        <v>81</v>
      </c>
      <c r="D397" s="58" t="s">
        <v>1409</v>
      </c>
      <c r="E397" s="3">
        <v>28</v>
      </c>
      <c r="F397" s="3">
        <v>11</v>
      </c>
      <c r="G397" s="3">
        <v>2024</v>
      </c>
      <c r="H397" s="5" t="s">
        <v>48</v>
      </c>
      <c r="I397" s="7" t="s">
        <v>831</v>
      </c>
      <c r="J397" s="4" t="s">
        <v>29</v>
      </c>
      <c r="K397" s="3" t="s">
        <v>44</v>
      </c>
      <c r="L397" s="3" t="s">
        <v>44</v>
      </c>
      <c r="M397" s="4"/>
      <c r="N397" s="4" t="s">
        <v>44</v>
      </c>
      <c r="O397" s="4"/>
      <c r="P397" s="3" t="s">
        <v>52</v>
      </c>
      <c r="Q397" s="11">
        <v>11</v>
      </c>
      <c r="R397" s="3" t="s">
        <v>31</v>
      </c>
      <c r="S397" s="10" t="s">
        <v>63</v>
      </c>
      <c r="T397" s="4" t="str">
        <f>IF(OR(Tabela1[[#This Row],[Grau de Risco]]="Médio",Tabela1[[#This Row],[Grau de Risco]]="Baixo"),"Não","Sim")</f>
        <v>Não</v>
      </c>
    </row>
    <row r="398" spans="1:20" hidden="1">
      <c r="A398" s="4" t="s">
        <v>8</v>
      </c>
      <c r="B398" s="10" t="s">
        <v>1797</v>
      </c>
      <c r="C398" s="4" t="s">
        <v>41</v>
      </c>
      <c r="D398" s="38" t="s">
        <v>47</v>
      </c>
      <c r="E398" s="3">
        <v>26</v>
      </c>
      <c r="F398" s="3">
        <v>1</v>
      </c>
      <c r="G398" s="3">
        <v>2024</v>
      </c>
      <c r="H398" s="36" t="s">
        <v>33</v>
      </c>
      <c r="I398" s="7" t="s">
        <v>855</v>
      </c>
      <c r="J398" s="4" t="s">
        <v>61</v>
      </c>
      <c r="K398" s="3">
        <v>0</v>
      </c>
      <c r="L398" s="3">
        <v>0</v>
      </c>
      <c r="M398" s="4" t="s">
        <v>30</v>
      </c>
      <c r="N398" s="4">
        <v>0</v>
      </c>
      <c r="O398" s="4" t="s">
        <v>99</v>
      </c>
      <c r="P398" s="3" t="s">
        <v>31</v>
      </c>
      <c r="Q398" s="11">
        <v>5</v>
      </c>
      <c r="R398" s="3" t="s">
        <v>102</v>
      </c>
      <c r="S398" s="10" t="s">
        <v>141</v>
      </c>
      <c r="T398" s="4" t="str">
        <f>IF(OR(Tabela1[[#This Row],[Grau de Risco]]="Médio",Tabela1[[#This Row],[Grau de Risco]]="Baixo"),"Não","Sim")</f>
        <v>Sim</v>
      </c>
    </row>
    <row r="399" spans="1:20" hidden="1">
      <c r="A399" s="4" t="s">
        <v>2</v>
      </c>
      <c r="B399" s="10" t="s">
        <v>1797</v>
      </c>
      <c r="C399" s="4" t="s">
        <v>41</v>
      </c>
      <c r="D399" s="58" t="s">
        <v>1409</v>
      </c>
      <c r="E399" s="3">
        <v>18</v>
      </c>
      <c r="F399" s="3">
        <v>1</v>
      </c>
      <c r="G399" s="3">
        <v>2024</v>
      </c>
      <c r="H399" s="4" t="s">
        <v>86</v>
      </c>
      <c r="I399" s="7" t="s">
        <v>867</v>
      </c>
      <c r="J399" s="4" t="s">
        <v>61</v>
      </c>
      <c r="K399" s="3">
        <v>16</v>
      </c>
      <c r="L399" s="3">
        <v>0</v>
      </c>
      <c r="M399" s="4" t="s">
        <v>30</v>
      </c>
      <c r="N399" s="4">
        <v>0</v>
      </c>
      <c r="O399" s="4" t="s">
        <v>419</v>
      </c>
      <c r="P399" s="3" t="s">
        <v>31</v>
      </c>
      <c r="Q399" s="11">
        <v>11</v>
      </c>
      <c r="R399" s="3" t="s">
        <v>31</v>
      </c>
      <c r="S399" s="10" t="s">
        <v>4</v>
      </c>
      <c r="T399" s="4" t="str">
        <f>IF(OR(Tabela1[[#This Row],[Grau de Risco]]="Médio",Tabela1[[#This Row],[Grau de Risco]]="Baixo"),"Não","Sim")</f>
        <v>Não</v>
      </c>
    </row>
    <row r="400" spans="1:20">
      <c r="A400" s="4" t="s">
        <v>9</v>
      </c>
      <c r="B400" s="10" t="s">
        <v>1809</v>
      </c>
      <c r="C400" s="4" t="s">
        <v>41</v>
      </c>
      <c r="D400" s="38" t="s">
        <v>47</v>
      </c>
      <c r="E400" s="3">
        <v>16</v>
      </c>
      <c r="F400" s="3">
        <v>8</v>
      </c>
      <c r="G400" s="3">
        <v>2024</v>
      </c>
      <c r="H400" s="36" t="s">
        <v>82</v>
      </c>
      <c r="I400" s="7" t="s">
        <v>871</v>
      </c>
      <c r="J400" s="4" t="s">
        <v>61</v>
      </c>
      <c r="K400" s="3">
        <v>3</v>
      </c>
      <c r="L400" s="3">
        <v>0</v>
      </c>
      <c r="M400" s="4" t="s">
        <v>30</v>
      </c>
      <c r="N400" s="4">
        <v>0</v>
      </c>
      <c r="O400" s="4" t="s">
        <v>386</v>
      </c>
      <c r="P400" s="3" t="s">
        <v>31</v>
      </c>
      <c r="Q400" s="11">
        <v>10</v>
      </c>
      <c r="R400" s="3" t="s">
        <v>31</v>
      </c>
      <c r="S400" s="10" t="s">
        <v>63</v>
      </c>
      <c r="T400" s="4" t="str">
        <f>IF(OR(Tabela1[[#This Row],[Grau de Risco]]="Médio",Tabela1[[#This Row],[Grau de Risco]]="Baixo"),"Não","Sim")</f>
        <v>Não</v>
      </c>
    </row>
    <row r="401" spans="1:20" hidden="1">
      <c r="A401" s="28" t="s">
        <v>2</v>
      </c>
      <c r="B401" s="33" t="s">
        <v>1800</v>
      </c>
      <c r="C401" s="28" t="s">
        <v>41</v>
      </c>
      <c r="D401" s="38" t="s">
        <v>1393</v>
      </c>
      <c r="E401" s="32">
        <v>2</v>
      </c>
      <c r="F401" s="32">
        <v>7</v>
      </c>
      <c r="G401" s="32">
        <v>2024</v>
      </c>
      <c r="H401" s="5" t="s">
        <v>71</v>
      </c>
      <c r="I401" s="29" t="s">
        <v>888</v>
      </c>
      <c r="J401" s="28" t="s">
        <v>69</v>
      </c>
      <c r="K401" s="32">
        <v>16</v>
      </c>
      <c r="L401" s="32" t="s">
        <v>80</v>
      </c>
      <c r="M401" s="28" t="s">
        <v>30</v>
      </c>
      <c r="N401" s="28" t="s">
        <v>80</v>
      </c>
      <c r="O401" s="28" t="s">
        <v>167</v>
      </c>
      <c r="P401" s="32" t="s">
        <v>31</v>
      </c>
      <c r="Q401" s="35">
        <v>10</v>
      </c>
      <c r="R401" s="32" t="s">
        <v>31</v>
      </c>
      <c r="S401" s="33" t="s">
        <v>178</v>
      </c>
      <c r="T401" s="4" t="str">
        <f>IF(OR(Tabela1[[#This Row],[Grau de Risco]]="Médio",Tabela1[[#This Row],[Grau de Risco]]="Baixo"),"Não","Sim")</f>
        <v>Não</v>
      </c>
    </row>
    <row r="402" spans="1:20" hidden="1">
      <c r="A402" s="4" t="s">
        <v>7</v>
      </c>
      <c r="B402" s="10" t="s">
        <v>1797</v>
      </c>
      <c r="C402" s="4" t="s">
        <v>41</v>
      </c>
      <c r="D402" s="58" t="s">
        <v>1409</v>
      </c>
      <c r="E402" s="3">
        <v>19</v>
      </c>
      <c r="F402" s="3">
        <v>9</v>
      </c>
      <c r="G402" s="3">
        <v>2024</v>
      </c>
      <c r="H402" s="5" t="s">
        <v>675</v>
      </c>
      <c r="I402" s="7" t="s">
        <v>1617</v>
      </c>
      <c r="J402" s="4" t="s">
        <v>69</v>
      </c>
      <c r="K402" s="3" t="s">
        <v>44</v>
      </c>
      <c r="L402" s="3" t="s">
        <v>44</v>
      </c>
      <c r="M402" s="4"/>
      <c r="N402" s="4" t="s">
        <v>44</v>
      </c>
      <c r="O402" s="4"/>
      <c r="P402" s="3"/>
      <c r="Q402" s="11">
        <v>15</v>
      </c>
      <c r="R402" s="3" t="s">
        <v>52</v>
      </c>
      <c r="S402" s="10" t="s">
        <v>63</v>
      </c>
      <c r="T402" s="4" t="str">
        <f>IF(OR(Tabela1[[#This Row],[Grau de Risco]]="Médio",Tabela1[[#This Row],[Grau de Risco]]="Baixo"),"Não","Sim")</f>
        <v>Não</v>
      </c>
    </row>
    <row r="403" spans="1:20" hidden="1">
      <c r="A403" s="4" t="s">
        <v>7</v>
      </c>
      <c r="B403" s="10" t="s">
        <v>1797</v>
      </c>
      <c r="C403" s="4" t="s">
        <v>41</v>
      </c>
      <c r="D403" s="5" t="s">
        <v>36</v>
      </c>
      <c r="E403" s="3">
        <v>14</v>
      </c>
      <c r="F403" s="3">
        <v>9</v>
      </c>
      <c r="G403" s="3">
        <v>2024</v>
      </c>
      <c r="H403" s="60" t="s">
        <v>109</v>
      </c>
      <c r="I403" s="7" t="s">
        <v>1618</v>
      </c>
      <c r="J403" s="4" t="s">
        <v>69</v>
      </c>
      <c r="K403" s="3" t="s">
        <v>44</v>
      </c>
      <c r="L403" s="3" t="s">
        <v>44</v>
      </c>
      <c r="M403" s="4"/>
      <c r="N403" s="4" t="s">
        <v>44</v>
      </c>
      <c r="O403" s="4"/>
      <c r="P403" s="3"/>
      <c r="Q403" s="11">
        <v>15</v>
      </c>
      <c r="R403" s="3" t="s">
        <v>52</v>
      </c>
      <c r="S403" s="10" t="s">
        <v>63</v>
      </c>
      <c r="T403" s="4" t="str">
        <f>IF(OR(Tabela1[[#This Row],[Grau de Risco]]="Médio",Tabela1[[#This Row],[Grau de Risco]]="Baixo"),"Não","Sim")</f>
        <v>Não</v>
      </c>
    </row>
    <row r="404" spans="1:20" hidden="1">
      <c r="A404" s="5" t="s">
        <v>7</v>
      </c>
      <c r="B404" s="40" t="s">
        <v>1800</v>
      </c>
      <c r="C404" s="28" t="s">
        <v>41</v>
      </c>
      <c r="D404" s="38" t="s">
        <v>1393</v>
      </c>
      <c r="E404" s="32">
        <v>30</v>
      </c>
      <c r="F404" s="32">
        <v>7</v>
      </c>
      <c r="G404" s="32">
        <v>2024</v>
      </c>
      <c r="H404" s="5" t="s">
        <v>123</v>
      </c>
      <c r="I404" s="29" t="s">
        <v>896</v>
      </c>
      <c r="J404" s="28" t="s">
        <v>61</v>
      </c>
      <c r="K404" s="3" t="s">
        <v>44</v>
      </c>
      <c r="L404" s="32" t="s">
        <v>80</v>
      </c>
      <c r="M404" s="28" t="s">
        <v>30</v>
      </c>
      <c r="N404" s="28" t="s">
        <v>80</v>
      </c>
      <c r="O404" s="28" t="s">
        <v>51</v>
      </c>
      <c r="P404" s="32" t="s">
        <v>52</v>
      </c>
      <c r="Q404" s="35">
        <v>15</v>
      </c>
      <c r="R404" s="32" t="s">
        <v>52</v>
      </c>
      <c r="S404" s="33" t="s">
        <v>4</v>
      </c>
      <c r="T404" s="4" t="str">
        <f>IF(OR(Tabela1[[#This Row],[Grau de Risco]]="Médio",Tabela1[[#This Row],[Grau de Risco]]="Baixo"),"Não","Sim")</f>
        <v>Não</v>
      </c>
    </row>
    <row r="405" spans="1:20" hidden="1">
      <c r="A405" s="4" t="s">
        <v>8</v>
      </c>
      <c r="B405" s="10" t="s">
        <v>1797</v>
      </c>
      <c r="C405" s="4" t="s">
        <v>252</v>
      </c>
      <c r="D405" s="38" t="s">
        <v>1320</v>
      </c>
      <c r="E405" s="3">
        <v>3</v>
      </c>
      <c r="F405" s="3">
        <v>6</v>
      </c>
      <c r="G405" s="3">
        <v>2024</v>
      </c>
      <c r="H405" s="36" t="s">
        <v>107</v>
      </c>
      <c r="I405" s="7" t="s">
        <v>906</v>
      </c>
      <c r="J405" s="4" t="s">
        <v>79</v>
      </c>
      <c r="K405" s="3" t="s">
        <v>44</v>
      </c>
      <c r="L405" s="3" t="s">
        <v>44</v>
      </c>
      <c r="M405" s="4"/>
      <c r="N405" s="4" t="s">
        <v>44</v>
      </c>
      <c r="O405" s="4" t="s">
        <v>45</v>
      </c>
      <c r="P405" s="3" t="s">
        <v>52</v>
      </c>
      <c r="Q405" s="11">
        <v>16</v>
      </c>
      <c r="R405" s="3" t="s">
        <v>52</v>
      </c>
      <c r="S405" s="5" t="s">
        <v>56</v>
      </c>
      <c r="T405" s="4" t="str">
        <f>IF(OR(Tabela1[[#This Row],[Grau de Risco]]="Médio",Tabela1[[#This Row],[Grau de Risco]]="Baixo"),"Não","Sim")</f>
        <v>Não</v>
      </c>
    </row>
    <row r="406" spans="1:20">
      <c r="A406" s="4" t="s">
        <v>7</v>
      </c>
      <c r="B406" s="10" t="s">
        <v>1809</v>
      </c>
      <c r="C406" s="4" t="s">
        <v>81</v>
      </c>
      <c r="D406" s="5" t="s">
        <v>148</v>
      </c>
      <c r="E406" s="3">
        <v>28</v>
      </c>
      <c r="F406" s="3">
        <v>7</v>
      </c>
      <c r="G406" s="3">
        <v>2024</v>
      </c>
      <c r="H406" s="4" t="s">
        <v>27</v>
      </c>
      <c r="I406" s="7" t="s">
        <v>969</v>
      </c>
      <c r="J406" s="4" t="s">
        <v>61</v>
      </c>
      <c r="K406" s="3" t="s">
        <v>62</v>
      </c>
      <c r="L406" s="3"/>
      <c r="M406" s="4"/>
      <c r="N406" s="4"/>
      <c r="O406" s="4" t="s">
        <v>4</v>
      </c>
      <c r="P406" s="3"/>
      <c r="Q406" s="11">
        <v>15</v>
      </c>
      <c r="R406" s="3" t="s">
        <v>52</v>
      </c>
      <c r="S406" s="10" t="s">
        <v>141</v>
      </c>
      <c r="T406" s="4" t="str">
        <f>IF(OR(Tabela1[[#This Row],[Grau de Risco]]="Médio",Tabela1[[#This Row],[Grau de Risco]]="Baixo"),"Não","Sim")</f>
        <v>Não</v>
      </c>
    </row>
    <row r="407" spans="1:20" hidden="1">
      <c r="A407" s="4" t="s">
        <v>7</v>
      </c>
      <c r="B407" s="10" t="s">
        <v>1805</v>
      </c>
      <c r="C407" s="4" t="s">
        <v>252</v>
      </c>
      <c r="D407" s="58" t="s">
        <v>1409</v>
      </c>
      <c r="E407" s="3">
        <v>11</v>
      </c>
      <c r="F407" s="3">
        <v>4</v>
      </c>
      <c r="G407" s="3">
        <v>2024</v>
      </c>
      <c r="H407" s="4" t="s">
        <v>86</v>
      </c>
      <c r="I407" s="7" t="s">
        <v>1093</v>
      </c>
      <c r="J407" s="4" t="s">
        <v>61</v>
      </c>
      <c r="K407" s="3" t="s">
        <v>62</v>
      </c>
      <c r="L407" s="3"/>
      <c r="M407" s="4"/>
      <c r="N407" s="4"/>
      <c r="O407" s="4" t="s">
        <v>498</v>
      </c>
      <c r="P407" s="3" t="s">
        <v>52</v>
      </c>
      <c r="Q407" s="11">
        <v>11</v>
      </c>
      <c r="R407" s="3" t="s">
        <v>31</v>
      </c>
      <c r="S407" s="10" t="s">
        <v>4</v>
      </c>
      <c r="T407" s="4" t="str">
        <f>IF(OR(Tabela1[[#This Row],[Grau de Risco]]="Médio",Tabela1[[#This Row],[Grau de Risco]]="Baixo"),"Não","Sim")</f>
        <v>Não</v>
      </c>
    </row>
    <row r="408" spans="1:20">
      <c r="A408" s="28" t="s">
        <v>7</v>
      </c>
      <c r="B408" s="10" t="s">
        <v>1809</v>
      </c>
      <c r="C408" s="28" t="s">
        <v>41</v>
      </c>
      <c r="D408" s="38" t="s">
        <v>1382</v>
      </c>
      <c r="E408" s="32">
        <v>29</v>
      </c>
      <c r="F408" s="32">
        <v>1</v>
      </c>
      <c r="G408" s="32">
        <v>2025</v>
      </c>
      <c r="H408" s="4" t="s">
        <v>27</v>
      </c>
      <c r="I408" s="29" t="s">
        <v>1137</v>
      </c>
      <c r="J408" s="28" t="s">
        <v>61</v>
      </c>
      <c r="K408" s="32"/>
      <c r="L408" s="32"/>
      <c r="M408" s="28"/>
      <c r="N408" s="28"/>
      <c r="O408" s="28" t="s">
        <v>77</v>
      </c>
      <c r="P408" s="32"/>
      <c r="Q408" s="35">
        <v>13</v>
      </c>
      <c r="R408" s="32" t="s">
        <v>31</v>
      </c>
      <c r="S408" s="33" t="s">
        <v>63</v>
      </c>
      <c r="T408" s="4" t="str">
        <f>IF(OR(Tabela1[[#This Row],[Grau de Risco]]="Médio",Tabela1[[#This Row],[Grau de Risco]]="Baixo"),"Não","Sim")</f>
        <v>Não</v>
      </c>
    </row>
    <row r="409" spans="1:20" hidden="1">
      <c r="A409" s="4" t="s">
        <v>2</v>
      </c>
      <c r="B409" s="10" t="s">
        <v>1797</v>
      </c>
      <c r="C409" s="4" t="s">
        <v>41</v>
      </c>
      <c r="D409" s="38" t="s">
        <v>1320</v>
      </c>
      <c r="E409" s="3">
        <v>17</v>
      </c>
      <c r="F409" s="3">
        <v>2</v>
      </c>
      <c r="G409" s="3">
        <v>2025</v>
      </c>
      <c r="H409" s="36" t="s">
        <v>112</v>
      </c>
      <c r="I409" s="7" t="s">
        <v>1165</v>
      </c>
      <c r="J409" s="4" t="s">
        <v>69</v>
      </c>
      <c r="K409" s="3">
        <v>2</v>
      </c>
      <c r="L409" s="3">
        <v>0</v>
      </c>
      <c r="M409" s="4" t="s">
        <v>30</v>
      </c>
      <c r="N409" s="4"/>
      <c r="O409" s="4" t="s">
        <v>70</v>
      </c>
      <c r="P409" s="3" t="s">
        <v>31</v>
      </c>
      <c r="Q409" s="11">
        <v>11</v>
      </c>
      <c r="R409" s="3" t="s">
        <v>31</v>
      </c>
      <c r="S409" s="5" t="s">
        <v>56</v>
      </c>
      <c r="T409" s="4" t="str">
        <f>IF(OR(Tabela1[[#This Row],[Grau de Risco]]="Médio",Tabela1[[#This Row],[Grau de Risco]]="Baixo"),"Não","Sim")</f>
        <v>Não</v>
      </c>
    </row>
    <row r="410" spans="1:20" hidden="1">
      <c r="A410" s="28" t="s">
        <v>10</v>
      </c>
      <c r="B410" s="33" t="s">
        <v>1800</v>
      </c>
      <c r="C410" s="4" t="s">
        <v>41</v>
      </c>
      <c r="D410" s="38" t="s">
        <v>1320</v>
      </c>
      <c r="E410" s="32">
        <v>17</v>
      </c>
      <c r="F410" s="32">
        <v>2</v>
      </c>
      <c r="G410" s="32">
        <v>2025</v>
      </c>
      <c r="H410" s="38" t="s">
        <v>375</v>
      </c>
      <c r="I410" s="29" t="s">
        <v>1166</v>
      </c>
      <c r="J410" s="28" t="s">
        <v>54</v>
      </c>
      <c r="K410" s="32" t="s">
        <v>80</v>
      </c>
      <c r="L410" s="32" t="s">
        <v>80</v>
      </c>
      <c r="M410" s="28" t="s">
        <v>30</v>
      </c>
      <c r="N410" s="28" t="s">
        <v>80</v>
      </c>
      <c r="O410" s="28"/>
      <c r="P410" s="32" t="s">
        <v>31</v>
      </c>
      <c r="Q410" s="35">
        <v>11</v>
      </c>
      <c r="R410" s="32" t="s">
        <v>31</v>
      </c>
      <c r="S410" s="33" t="s">
        <v>56</v>
      </c>
      <c r="T410" s="4" t="str">
        <f>IF(OR(Tabela1[[#This Row],[Grau de Risco]]="Médio",Tabela1[[#This Row],[Grau de Risco]]="Baixo"),"Não","Sim")</f>
        <v>Não</v>
      </c>
    </row>
    <row r="411" spans="1:20" hidden="1">
      <c r="A411" s="4" t="s">
        <v>9</v>
      </c>
      <c r="B411" s="10" t="s">
        <v>1805</v>
      </c>
      <c r="C411" s="4" t="s">
        <v>41</v>
      </c>
      <c r="D411" s="38" t="s">
        <v>1382</v>
      </c>
      <c r="E411" s="3">
        <v>26</v>
      </c>
      <c r="F411" s="3">
        <v>2</v>
      </c>
      <c r="G411" s="3">
        <v>2025</v>
      </c>
      <c r="H411" s="36" t="s">
        <v>112</v>
      </c>
      <c r="I411" s="7" t="s">
        <v>1180</v>
      </c>
      <c r="J411" s="4" t="s">
        <v>93</v>
      </c>
      <c r="K411" s="3">
        <v>4</v>
      </c>
      <c r="L411" s="3">
        <v>0</v>
      </c>
      <c r="M411" s="4" t="s">
        <v>30</v>
      </c>
      <c r="N411" s="4">
        <v>0</v>
      </c>
      <c r="O411" s="4" t="s">
        <v>101</v>
      </c>
      <c r="P411" s="3" t="s">
        <v>31</v>
      </c>
      <c r="Q411" s="11">
        <v>10</v>
      </c>
      <c r="R411" s="3" t="s">
        <v>31</v>
      </c>
      <c r="S411" s="10" t="s">
        <v>63</v>
      </c>
      <c r="T411" s="4" t="str">
        <f>IF(OR(Tabela1[[#This Row],[Grau de Risco]]="Médio",Tabela1[[#This Row],[Grau de Risco]]="Baixo"),"Não","Sim")</f>
        <v>Não</v>
      </c>
    </row>
    <row r="412" spans="1:20">
      <c r="A412" s="28" t="s">
        <v>7</v>
      </c>
      <c r="B412" s="10" t="s">
        <v>1809</v>
      </c>
      <c r="C412" s="28" t="s">
        <v>252</v>
      </c>
      <c r="D412" s="58" t="s">
        <v>1409</v>
      </c>
      <c r="E412" s="32">
        <v>27</v>
      </c>
      <c r="F412" s="32">
        <v>2</v>
      </c>
      <c r="G412" s="32">
        <v>2025</v>
      </c>
      <c r="H412" s="36" t="s">
        <v>33</v>
      </c>
      <c r="I412" s="29" t="s">
        <v>1815</v>
      </c>
      <c r="J412" s="28" t="s">
        <v>61</v>
      </c>
      <c r="K412" s="32"/>
      <c r="L412" s="32"/>
      <c r="M412" s="28"/>
      <c r="N412" s="28"/>
      <c r="O412" s="28" t="s">
        <v>498</v>
      </c>
      <c r="P412" s="3"/>
      <c r="Q412" s="35">
        <v>7</v>
      </c>
      <c r="R412" s="32" t="s">
        <v>102</v>
      </c>
      <c r="S412" s="5" t="s">
        <v>40</v>
      </c>
      <c r="T412" s="4" t="str">
        <f>IF(OR(Tabela1[[#This Row],[Grau de Risco]]="Médio",Tabela1[[#This Row],[Grau de Risco]]="Baixo"),"Não","Sim")</f>
        <v>Sim</v>
      </c>
    </row>
    <row r="413" spans="1:20" ht="72" hidden="1">
      <c r="A413" s="28" t="s">
        <v>7</v>
      </c>
      <c r="B413" s="33" t="s">
        <v>1800</v>
      </c>
      <c r="C413" s="28" t="s">
        <v>41</v>
      </c>
      <c r="D413" s="38" t="s">
        <v>1382</v>
      </c>
      <c r="E413" s="32">
        <v>7</v>
      </c>
      <c r="F413" s="32">
        <v>5</v>
      </c>
      <c r="G413" s="32">
        <v>2025</v>
      </c>
      <c r="H413" s="38" t="s">
        <v>48</v>
      </c>
      <c r="I413" s="100" t="s">
        <v>1619</v>
      </c>
      <c r="J413" s="28" t="s">
        <v>111</v>
      </c>
      <c r="K413" s="32" t="s">
        <v>80</v>
      </c>
      <c r="L413" s="32" t="s">
        <v>80</v>
      </c>
      <c r="M413" s="28" t="s">
        <v>30</v>
      </c>
      <c r="N413" s="28" t="s">
        <v>80</v>
      </c>
      <c r="O413" s="28"/>
      <c r="P413" s="32" t="s">
        <v>52</v>
      </c>
      <c r="Q413" s="35">
        <v>5</v>
      </c>
      <c r="R413" s="32" t="s">
        <v>102</v>
      </c>
      <c r="S413" s="5" t="s">
        <v>40</v>
      </c>
      <c r="T413" s="4" t="str">
        <f>IF(OR(Tabela1[[#This Row],[Grau de Risco]]="Médio",Tabela1[[#This Row],[Grau de Risco]]="Baixo"),"Não","Sim")</f>
        <v>Sim</v>
      </c>
    </row>
    <row r="414" spans="1:20">
      <c r="A414" s="28" t="s">
        <v>7</v>
      </c>
      <c r="B414" s="10" t="s">
        <v>1809</v>
      </c>
      <c r="C414" s="28" t="s">
        <v>252</v>
      </c>
      <c r="D414" s="28" t="s">
        <v>1393</v>
      </c>
      <c r="E414" s="32">
        <v>23</v>
      </c>
      <c r="F414" s="32">
        <v>9</v>
      </c>
      <c r="G414" s="32">
        <v>2025</v>
      </c>
      <c r="H414" s="34" t="s">
        <v>66</v>
      </c>
      <c r="I414" s="29" t="s">
        <v>1306</v>
      </c>
      <c r="J414" s="28" t="s">
        <v>91</v>
      </c>
      <c r="K414" s="32"/>
      <c r="L414" s="32"/>
      <c r="M414" s="28"/>
      <c r="N414" s="28"/>
      <c r="O414" s="28" t="s">
        <v>51</v>
      </c>
      <c r="P414" s="32"/>
      <c r="Q414" s="35">
        <v>14</v>
      </c>
      <c r="R414" s="32" t="s">
        <v>52</v>
      </c>
      <c r="S414" s="10" t="s">
        <v>56</v>
      </c>
      <c r="T414" s="4" t="str">
        <f>IF(OR(Tabela1[[#This Row],[Grau de Risco]]="Médio",Tabela1[[#This Row],[Grau de Risco]]="Baixo"),"Não","Sim")</f>
        <v>Não</v>
      </c>
    </row>
    <row r="415" spans="1:20">
      <c r="A415" s="4" t="s">
        <v>7</v>
      </c>
      <c r="B415" s="10" t="s">
        <v>1809</v>
      </c>
      <c r="C415" s="4" t="s">
        <v>252</v>
      </c>
      <c r="D415" s="38" t="s">
        <v>1382</v>
      </c>
      <c r="E415" s="3">
        <v>18</v>
      </c>
      <c r="F415" s="3">
        <v>6</v>
      </c>
      <c r="G415" s="3">
        <v>2025</v>
      </c>
      <c r="H415" s="36" t="s">
        <v>33</v>
      </c>
      <c r="I415" s="7" t="s">
        <v>1620</v>
      </c>
      <c r="J415" s="4" t="s">
        <v>76</v>
      </c>
      <c r="K415" s="3" t="s">
        <v>44</v>
      </c>
      <c r="L415" s="3" t="s">
        <v>44</v>
      </c>
      <c r="M415" s="4"/>
      <c r="N415" s="4" t="s">
        <v>44</v>
      </c>
      <c r="O415" s="4"/>
      <c r="P415" s="3"/>
      <c r="Q415" s="11">
        <v>11</v>
      </c>
      <c r="R415" s="3" t="s">
        <v>31</v>
      </c>
      <c r="S415" s="5" t="s">
        <v>56</v>
      </c>
      <c r="T415" s="4" t="str">
        <f>IF(OR(Tabela1[[#This Row],[Grau de Risco]]="Médio",Tabela1[[#This Row],[Grau de Risco]]="Baixo"),"Não","Sim")</f>
        <v>Não</v>
      </c>
    </row>
    <row r="416" spans="1:20">
      <c r="A416" s="4" t="s">
        <v>7</v>
      </c>
      <c r="B416" s="10" t="s">
        <v>1809</v>
      </c>
      <c r="C416" s="4" t="s">
        <v>81</v>
      </c>
      <c r="D416" s="5" t="s">
        <v>148</v>
      </c>
      <c r="E416" s="3">
        <v>22</v>
      </c>
      <c r="F416" s="3">
        <v>6</v>
      </c>
      <c r="G416" s="3">
        <v>2025</v>
      </c>
      <c r="H416" s="36" t="s">
        <v>82</v>
      </c>
      <c r="I416" s="7" t="s">
        <v>1317</v>
      </c>
      <c r="J416" s="4" t="s">
        <v>93</v>
      </c>
      <c r="K416" s="3">
        <v>0</v>
      </c>
      <c r="L416" s="3">
        <v>0</v>
      </c>
      <c r="M416" s="4" t="s">
        <v>30</v>
      </c>
      <c r="N416" s="4">
        <v>0</v>
      </c>
      <c r="O416" s="4"/>
      <c r="P416" s="3"/>
      <c r="Q416" s="11">
        <v>15</v>
      </c>
      <c r="R416" s="3" t="s">
        <v>52</v>
      </c>
      <c r="S416" s="5" t="s">
        <v>56</v>
      </c>
      <c r="T416" s="4" t="str">
        <f>IF(OR(Tabela1[[#This Row],[Grau de Risco]]="Médio",Tabela1[[#This Row],[Grau de Risco]]="Baixo"),"Não","Sim")</f>
        <v>Não</v>
      </c>
    </row>
    <row r="417" spans="1:20" hidden="1">
      <c r="A417" s="28" t="s">
        <v>7</v>
      </c>
      <c r="B417" s="33" t="s">
        <v>1797</v>
      </c>
      <c r="C417" s="28" t="s">
        <v>81</v>
      </c>
      <c r="D417" s="36" t="s">
        <v>47</v>
      </c>
      <c r="E417" s="32">
        <v>18</v>
      </c>
      <c r="F417" s="32">
        <v>7</v>
      </c>
      <c r="G417" s="32">
        <v>2025</v>
      </c>
      <c r="H417" s="36" t="s">
        <v>112</v>
      </c>
      <c r="I417" s="29" t="s">
        <v>1621</v>
      </c>
      <c r="J417" s="28" t="s">
        <v>169</v>
      </c>
      <c r="K417" s="32" t="s">
        <v>44</v>
      </c>
      <c r="L417" s="32" t="s">
        <v>44</v>
      </c>
      <c r="M417" s="28" t="s">
        <v>30</v>
      </c>
      <c r="N417" s="28" t="s">
        <v>44</v>
      </c>
      <c r="O417" s="28"/>
      <c r="P417" s="32"/>
      <c r="Q417" s="35">
        <v>15</v>
      </c>
      <c r="R417" s="32" t="s">
        <v>52</v>
      </c>
      <c r="S417" s="33" t="s">
        <v>63</v>
      </c>
      <c r="T417" s="4" t="str">
        <f>IF(OR(Tabela1[[#This Row],[Grau de Risco]]="Médio",Tabela1[[#This Row],[Grau de Risco]]="Baixo"),"Não","Sim")</f>
        <v>Não</v>
      </c>
    </row>
    <row r="418" spans="1:20">
      <c r="A418" s="28" t="s">
        <v>7</v>
      </c>
      <c r="B418" s="10" t="s">
        <v>1809</v>
      </c>
      <c r="C418" s="28" t="s">
        <v>41</v>
      </c>
      <c r="D418" s="28" t="s">
        <v>1409</v>
      </c>
      <c r="E418" s="32">
        <v>1</v>
      </c>
      <c r="F418" s="32">
        <v>8</v>
      </c>
      <c r="G418" s="32">
        <v>2025</v>
      </c>
      <c r="H418" s="34" t="s">
        <v>112</v>
      </c>
      <c r="I418" s="29" t="s">
        <v>1374</v>
      </c>
      <c r="J418" s="28" t="s">
        <v>61</v>
      </c>
      <c r="K418" s="32"/>
      <c r="L418" s="32"/>
      <c r="M418" s="28"/>
      <c r="N418" s="28"/>
      <c r="O418" s="28" t="s">
        <v>51</v>
      </c>
      <c r="P418" s="32"/>
      <c r="Q418" s="35">
        <v>5</v>
      </c>
      <c r="R418" s="32" t="s">
        <v>102</v>
      </c>
      <c r="S418" s="33" t="s">
        <v>63</v>
      </c>
      <c r="T418" s="4" t="str">
        <f>IF(OR(Tabela1[[#This Row],[Grau de Risco]]="Médio",Tabela1[[#This Row],[Grau de Risco]]="Baixo"),"Não","Sim")</f>
        <v>Sim</v>
      </c>
    </row>
    <row r="419" spans="1:20">
      <c r="A419" s="28" t="s">
        <v>10</v>
      </c>
      <c r="B419" s="10" t="s">
        <v>1809</v>
      </c>
      <c r="C419" s="28" t="s">
        <v>252</v>
      </c>
      <c r="D419" s="36" t="s">
        <v>1393</v>
      </c>
      <c r="E419" s="32">
        <v>5</v>
      </c>
      <c r="F419" s="32">
        <v>8</v>
      </c>
      <c r="G419" s="32">
        <v>2025</v>
      </c>
      <c r="H419" s="36" t="s">
        <v>103</v>
      </c>
      <c r="I419" s="29" t="s">
        <v>1846</v>
      </c>
      <c r="J419" s="28" t="s">
        <v>54</v>
      </c>
      <c r="K419" s="32" t="s">
        <v>44</v>
      </c>
      <c r="L419" s="32" t="s">
        <v>44</v>
      </c>
      <c r="M419" s="28" t="s">
        <v>30</v>
      </c>
      <c r="N419" s="28" t="s">
        <v>44</v>
      </c>
      <c r="O419" s="28" t="s">
        <v>1378</v>
      </c>
      <c r="P419" s="32" t="s">
        <v>52</v>
      </c>
      <c r="Q419" s="35">
        <v>11</v>
      </c>
      <c r="R419" s="32" t="s">
        <v>31</v>
      </c>
      <c r="S419" s="33" t="s">
        <v>56</v>
      </c>
      <c r="T419" s="4" t="str">
        <f>IF(OR(Tabela1[[#This Row],[Grau de Risco]]="Médio",Tabela1[[#This Row],[Grau de Risco]]="Baixo"),"Não","Sim")</f>
        <v>Não</v>
      </c>
    </row>
    <row r="420" spans="1:20" hidden="1">
      <c r="A420" s="28" t="s">
        <v>7</v>
      </c>
      <c r="B420" s="33" t="s">
        <v>1797</v>
      </c>
      <c r="C420" s="28" t="s">
        <v>81</v>
      </c>
      <c r="D420" s="28" t="s">
        <v>1382</v>
      </c>
      <c r="E420" s="32">
        <v>24</v>
      </c>
      <c r="F420" s="32">
        <v>9</v>
      </c>
      <c r="G420" s="32">
        <v>2025</v>
      </c>
      <c r="H420" s="34" t="s">
        <v>450</v>
      </c>
      <c r="I420" s="7" t="s">
        <v>1622</v>
      </c>
      <c r="J420" s="28" t="s">
        <v>290</v>
      </c>
      <c r="K420" s="3">
        <v>0</v>
      </c>
      <c r="L420" s="3">
        <v>0</v>
      </c>
      <c r="M420" s="4" t="s">
        <v>25</v>
      </c>
      <c r="N420" s="4">
        <v>0</v>
      </c>
      <c r="O420" s="28"/>
      <c r="P420" s="32"/>
      <c r="Q420" s="35">
        <v>14</v>
      </c>
      <c r="R420" s="32" t="s">
        <v>52</v>
      </c>
      <c r="S420" s="33" t="s">
        <v>63</v>
      </c>
      <c r="T420" s="4" t="str">
        <f>IF(OR(Tabela1[[#This Row],[Grau de Risco]]="Médio",Tabela1[[#This Row],[Grau de Risco]]="Baixo"),"Não","Sim")</f>
        <v>Não</v>
      </c>
    </row>
    <row r="421" spans="1:20" hidden="1">
      <c r="A421" s="5" t="s">
        <v>2</v>
      </c>
      <c r="B421" s="4" t="s">
        <v>1800</v>
      </c>
      <c r="C421" s="4" t="s">
        <v>41</v>
      </c>
      <c r="D421" s="38" t="s">
        <v>1320</v>
      </c>
      <c r="E421" s="3">
        <v>13</v>
      </c>
      <c r="F421" s="2">
        <v>9</v>
      </c>
      <c r="G421" s="3">
        <v>2021</v>
      </c>
      <c r="H421" s="4" t="s">
        <v>27</v>
      </c>
      <c r="I421" s="7" t="s">
        <v>222</v>
      </c>
      <c r="J421" s="4" t="s">
        <v>76</v>
      </c>
      <c r="K421" s="3">
        <v>46</v>
      </c>
      <c r="L421" s="3">
        <v>0</v>
      </c>
      <c r="M421" s="5" t="s">
        <v>30</v>
      </c>
      <c r="N421" s="4">
        <v>46</v>
      </c>
      <c r="O421" s="4" t="s">
        <v>45</v>
      </c>
      <c r="P421" s="3" t="s">
        <v>31</v>
      </c>
      <c r="Q421" s="3">
        <v>12</v>
      </c>
      <c r="R421" s="2" t="s">
        <v>31</v>
      </c>
      <c r="S421" s="10" t="s">
        <v>32</v>
      </c>
      <c r="T421" s="4" t="str">
        <f>IF(OR(Tabela1[[#This Row],[Grau de Risco]]="Médio",Tabela1[[#This Row],[Grau de Risco]]="Baixo"),"Não","Sim")</f>
        <v>Não</v>
      </c>
    </row>
    <row r="422" spans="1:20">
      <c r="A422" s="4" t="s">
        <v>240</v>
      </c>
      <c r="B422" s="10" t="s">
        <v>1809</v>
      </c>
      <c r="C422" s="4" t="s">
        <v>89</v>
      </c>
      <c r="D422" s="38" t="s">
        <v>148</v>
      </c>
      <c r="E422" s="3">
        <v>5</v>
      </c>
      <c r="F422" s="3">
        <v>6</v>
      </c>
      <c r="G422" s="3">
        <v>2022</v>
      </c>
      <c r="H422" s="34" t="s">
        <v>59</v>
      </c>
      <c r="I422" s="7" t="s">
        <v>1816</v>
      </c>
      <c r="J422" s="4" t="s">
        <v>91</v>
      </c>
      <c r="K422" s="3">
        <v>0</v>
      </c>
      <c r="L422" s="3">
        <v>6000</v>
      </c>
      <c r="M422" s="4" t="s">
        <v>30</v>
      </c>
      <c r="N422" s="4"/>
      <c r="O422" s="4" t="s">
        <v>4</v>
      </c>
      <c r="P422" s="3" t="s">
        <v>102</v>
      </c>
      <c r="Q422" s="11">
        <v>2</v>
      </c>
      <c r="R422" s="3" t="str">
        <f>IF(Q422="","",IF(Q422&lt;4,"Crítico",IF(Q422&lt;9,"Alto",IF(Q422&lt;14,"Médio","Baixo"))))</f>
        <v>Crítico</v>
      </c>
      <c r="S422" s="10" t="s">
        <v>63</v>
      </c>
      <c r="T422" s="4" t="str">
        <f>IF(OR(Tabela1[[#This Row],[Grau de Risco]]="Médio",Tabela1[[#This Row],[Grau de Risco]]="Baixo"),"Não","Sim")</f>
        <v>Sim</v>
      </c>
    </row>
    <row r="423" spans="1:20" hidden="1">
      <c r="A423" s="5" t="s">
        <v>2</v>
      </c>
      <c r="B423" s="6" t="s">
        <v>1805</v>
      </c>
      <c r="C423" s="5" t="s">
        <v>26</v>
      </c>
      <c r="D423" s="38" t="s">
        <v>1382</v>
      </c>
      <c r="E423" s="2">
        <v>26</v>
      </c>
      <c r="F423" s="2">
        <v>1</v>
      </c>
      <c r="G423" s="2">
        <v>2022</v>
      </c>
      <c r="H423" s="36" t="s">
        <v>82</v>
      </c>
      <c r="I423" s="5" t="s">
        <v>267</v>
      </c>
      <c r="J423" s="5" t="s">
        <v>54</v>
      </c>
      <c r="K423" s="2">
        <v>19</v>
      </c>
      <c r="L423" s="2">
        <v>19</v>
      </c>
      <c r="M423" s="5" t="s">
        <v>30</v>
      </c>
      <c r="N423" s="5">
        <v>0</v>
      </c>
      <c r="O423" s="5" t="s">
        <v>39</v>
      </c>
      <c r="P423" s="2" t="s">
        <v>31</v>
      </c>
      <c r="Q423" s="2">
        <v>4</v>
      </c>
      <c r="R423" s="2" t="s">
        <v>102</v>
      </c>
      <c r="S423" s="5" t="s">
        <v>180</v>
      </c>
      <c r="T423" s="4" t="str">
        <f>IF(OR(Tabela1[[#This Row],[Grau de Risco]]="Médio",Tabela1[[#This Row],[Grau de Risco]]="Baixo"),"Não","Sim")</f>
        <v>Sim</v>
      </c>
    </row>
    <row r="424" spans="1:20" hidden="1">
      <c r="A424" s="5" t="s">
        <v>8</v>
      </c>
      <c r="B424" s="6" t="s">
        <v>1805</v>
      </c>
      <c r="C424" s="5" t="s">
        <v>26</v>
      </c>
      <c r="D424" s="38" t="s">
        <v>1382</v>
      </c>
      <c r="E424" s="2">
        <v>28</v>
      </c>
      <c r="F424" s="2">
        <v>9</v>
      </c>
      <c r="G424" s="2">
        <v>2022</v>
      </c>
      <c r="H424" s="4" t="s">
        <v>27</v>
      </c>
      <c r="I424" s="5" t="s">
        <v>277</v>
      </c>
      <c r="J424" s="5" t="s">
        <v>54</v>
      </c>
      <c r="K424" s="2">
        <v>0</v>
      </c>
      <c r="L424" s="2">
        <v>0</v>
      </c>
      <c r="M424" s="5" t="s">
        <v>30</v>
      </c>
      <c r="N424" s="5">
        <v>0</v>
      </c>
      <c r="O424" s="5" t="s">
        <v>129</v>
      </c>
      <c r="P424" s="3" t="s">
        <v>52</v>
      </c>
      <c r="Q424" s="2">
        <v>6</v>
      </c>
      <c r="R424" s="2" t="s">
        <v>52</v>
      </c>
      <c r="S424" s="5" t="s">
        <v>56</v>
      </c>
      <c r="T424" s="4" t="str">
        <f>IF(OR(Tabela1[[#This Row],[Grau de Risco]]="Médio",Tabela1[[#This Row],[Grau de Risco]]="Baixo"),"Não","Sim")</f>
        <v>Não</v>
      </c>
    </row>
    <row r="425" spans="1:20">
      <c r="A425" s="5" t="s">
        <v>2</v>
      </c>
      <c r="B425" s="10" t="s">
        <v>1809</v>
      </c>
      <c r="C425" s="5" t="s">
        <v>26</v>
      </c>
      <c r="D425" s="38" t="s">
        <v>1320</v>
      </c>
      <c r="E425" s="3">
        <v>5</v>
      </c>
      <c r="F425" s="2">
        <v>12</v>
      </c>
      <c r="G425" s="3">
        <v>2022</v>
      </c>
      <c r="H425" s="36" t="s">
        <v>107</v>
      </c>
      <c r="I425" s="7" t="s">
        <v>314</v>
      </c>
      <c r="J425" s="4" t="s">
        <v>76</v>
      </c>
      <c r="K425" s="3">
        <v>6</v>
      </c>
      <c r="L425" s="3">
        <v>0</v>
      </c>
      <c r="M425" s="5" t="s">
        <v>30</v>
      </c>
      <c r="N425" s="4">
        <v>6</v>
      </c>
      <c r="O425" s="4" t="s">
        <v>301</v>
      </c>
      <c r="P425" s="3" t="s">
        <v>31</v>
      </c>
      <c r="Q425" s="3">
        <v>13</v>
      </c>
      <c r="R425" s="2" t="s">
        <v>31</v>
      </c>
      <c r="S425" s="10" t="s">
        <v>32</v>
      </c>
      <c r="T425" s="4" t="str">
        <f>IF(OR(Tabela1[[#This Row],[Grau de Risco]]="Médio",Tabela1[[#This Row],[Grau de Risco]]="Baixo"),"Não","Sim")</f>
        <v>Não</v>
      </c>
    </row>
    <row r="426" spans="1:20">
      <c r="A426" s="4" t="s">
        <v>8</v>
      </c>
      <c r="B426" s="10" t="s">
        <v>1809</v>
      </c>
      <c r="C426" s="4" t="s">
        <v>46</v>
      </c>
      <c r="D426" s="58" t="s">
        <v>1409</v>
      </c>
      <c r="E426" s="3">
        <v>7</v>
      </c>
      <c r="F426" s="3">
        <v>6</v>
      </c>
      <c r="G426" s="3">
        <v>2023</v>
      </c>
      <c r="H426" s="34" t="s">
        <v>59</v>
      </c>
      <c r="I426" s="7" t="s">
        <v>488</v>
      </c>
      <c r="J426" s="4" t="s">
        <v>111</v>
      </c>
      <c r="K426" s="3">
        <v>0</v>
      </c>
      <c r="L426" s="3">
        <v>0</v>
      </c>
      <c r="M426" s="4" t="s">
        <v>30</v>
      </c>
      <c r="N426" s="4"/>
      <c r="O426" s="4" t="s">
        <v>4</v>
      </c>
      <c r="P426" s="3" t="s">
        <v>52</v>
      </c>
      <c r="Q426" s="11">
        <v>4</v>
      </c>
      <c r="R426" s="3" t="str">
        <f>IF(Q426="","",IF(Q426&lt;4,"Crítico",IF(Q426&lt;9,"Alto",IF(Q426&lt;14,"Médio","Baixo"))))</f>
        <v>Alto</v>
      </c>
      <c r="S426" s="10" t="s">
        <v>63</v>
      </c>
      <c r="T426" s="4" t="str">
        <f>IF(OR(Tabela1[[#This Row],[Grau de Risco]]="Médio",Tabela1[[#This Row],[Grau de Risco]]="Baixo"),"Não","Sim")</f>
        <v>Sim</v>
      </c>
    </row>
    <row r="427" spans="1:20">
      <c r="A427" s="5" t="s">
        <v>7</v>
      </c>
      <c r="B427" s="10" t="s">
        <v>1809</v>
      </c>
      <c r="C427" s="5" t="s">
        <v>26</v>
      </c>
      <c r="D427" s="5" t="s">
        <v>36</v>
      </c>
      <c r="E427" s="3">
        <v>16</v>
      </c>
      <c r="F427" s="3">
        <v>9</v>
      </c>
      <c r="G427" s="3">
        <v>2023</v>
      </c>
      <c r="H427" s="36" t="s">
        <v>66</v>
      </c>
      <c r="I427" s="7" t="s">
        <v>543</v>
      </c>
      <c r="J427" s="4" t="s">
        <v>84</v>
      </c>
      <c r="K427" s="3" t="s">
        <v>44</v>
      </c>
      <c r="L427" s="3" t="s">
        <v>80</v>
      </c>
      <c r="M427" s="4"/>
      <c r="N427" s="4" t="s">
        <v>80</v>
      </c>
      <c r="O427" s="4" t="s">
        <v>85</v>
      </c>
      <c r="P427" s="3"/>
      <c r="Q427" s="11">
        <v>4</v>
      </c>
      <c r="R427" s="3" t="s">
        <v>102</v>
      </c>
      <c r="S427" s="5" t="s">
        <v>40</v>
      </c>
      <c r="T427" s="4" t="str">
        <f>IF(OR(Tabela1[[#This Row],[Grau de Risco]]="Médio",Tabela1[[#This Row],[Grau de Risco]]="Baixo"),"Não","Sim")</f>
        <v>Sim</v>
      </c>
    </row>
    <row r="428" spans="1:20" hidden="1">
      <c r="A428" s="5" t="s">
        <v>7</v>
      </c>
      <c r="B428" s="10" t="s">
        <v>1805</v>
      </c>
      <c r="C428" s="4" t="s">
        <v>252</v>
      </c>
      <c r="D428" s="58" t="s">
        <v>1409</v>
      </c>
      <c r="E428" s="3">
        <v>7</v>
      </c>
      <c r="F428" s="3">
        <v>12</v>
      </c>
      <c r="G428" s="3">
        <v>2023</v>
      </c>
      <c r="H428" s="36" t="s">
        <v>82</v>
      </c>
      <c r="I428" s="7" t="s">
        <v>547</v>
      </c>
      <c r="J428" s="4" t="s">
        <v>69</v>
      </c>
      <c r="K428" s="3" t="s">
        <v>44</v>
      </c>
      <c r="L428" s="3" t="s">
        <v>44</v>
      </c>
      <c r="M428" s="4" t="s">
        <v>30</v>
      </c>
      <c r="N428" s="4" t="s">
        <v>44</v>
      </c>
      <c r="O428" s="4"/>
      <c r="P428" s="3"/>
      <c r="Q428" s="3">
        <v>11</v>
      </c>
      <c r="R428" s="3" t="s">
        <v>31</v>
      </c>
      <c r="S428" s="10" t="s">
        <v>4</v>
      </c>
      <c r="T428" s="4" t="str">
        <f>IF(OR(Tabela1[[#This Row],[Grau de Risco]]="Médio",Tabela1[[#This Row],[Grau de Risco]]="Baixo"),"Não","Sim")</f>
        <v>Não</v>
      </c>
    </row>
    <row r="429" spans="1:20" hidden="1">
      <c r="A429" s="4" t="s">
        <v>2</v>
      </c>
      <c r="B429" s="10" t="s">
        <v>1800</v>
      </c>
      <c r="C429" s="4" t="s">
        <v>81</v>
      </c>
      <c r="D429" s="38" t="s">
        <v>1393</v>
      </c>
      <c r="E429" s="3">
        <v>19</v>
      </c>
      <c r="F429" s="3">
        <v>9</v>
      </c>
      <c r="G429" s="3">
        <v>2023</v>
      </c>
      <c r="H429" s="5" t="s">
        <v>123</v>
      </c>
      <c r="I429" s="7" t="s">
        <v>629</v>
      </c>
      <c r="J429" s="4" t="s">
        <v>54</v>
      </c>
      <c r="K429" s="3">
        <v>7</v>
      </c>
      <c r="L429" s="3">
        <v>7</v>
      </c>
      <c r="M429" s="4"/>
      <c r="N429" s="4" t="s">
        <v>80</v>
      </c>
      <c r="O429" s="4" t="s">
        <v>45</v>
      </c>
      <c r="P429" s="3" t="s">
        <v>52</v>
      </c>
      <c r="Q429" s="11">
        <v>14</v>
      </c>
      <c r="R429" s="3" t="s">
        <v>52</v>
      </c>
      <c r="S429" s="5" t="s">
        <v>56</v>
      </c>
      <c r="T429" s="4" t="str">
        <f>IF(OR(Tabela1[[#This Row],[Grau de Risco]]="Médio",Tabela1[[#This Row],[Grau de Risco]]="Baixo"),"Não","Sim")</f>
        <v>Não</v>
      </c>
    </row>
    <row r="430" spans="1:20">
      <c r="A430" s="5" t="s">
        <v>7</v>
      </c>
      <c r="B430" s="10" t="s">
        <v>1809</v>
      </c>
      <c r="C430" s="4" t="s">
        <v>125</v>
      </c>
      <c r="D430" s="5" t="s">
        <v>36</v>
      </c>
      <c r="E430" s="3">
        <v>14</v>
      </c>
      <c r="F430" s="3">
        <v>10</v>
      </c>
      <c r="G430" s="3">
        <v>2023</v>
      </c>
      <c r="H430" s="36" t="s">
        <v>33</v>
      </c>
      <c r="I430" s="7" t="s">
        <v>1623</v>
      </c>
      <c r="J430" s="4" t="s">
        <v>76</v>
      </c>
      <c r="K430" s="3" t="s">
        <v>44</v>
      </c>
      <c r="L430" s="3" t="s">
        <v>44</v>
      </c>
      <c r="M430" s="4" t="s">
        <v>30</v>
      </c>
      <c r="N430" s="4" t="s">
        <v>44</v>
      </c>
      <c r="O430" s="4"/>
      <c r="P430" s="3"/>
      <c r="Q430" s="3">
        <v>6</v>
      </c>
      <c r="R430" s="11" t="s">
        <v>102</v>
      </c>
      <c r="S430" s="10" t="s">
        <v>63</v>
      </c>
      <c r="T430" s="4" t="str">
        <f>IF(OR(Tabela1[[#This Row],[Grau de Risco]]="Médio",Tabela1[[#This Row],[Grau de Risco]]="Baixo"),"Não","Sim")</f>
        <v>Sim</v>
      </c>
    </row>
    <row r="431" spans="1:20">
      <c r="A431" s="4" t="s">
        <v>2</v>
      </c>
      <c r="B431" s="10" t="s">
        <v>1809</v>
      </c>
      <c r="C431" s="4" t="s">
        <v>252</v>
      </c>
      <c r="D431" s="38" t="s">
        <v>1382</v>
      </c>
      <c r="E431" s="3">
        <v>6</v>
      </c>
      <c r="F431" s="3">
        <v>12</v>
      </c>
      <c r="G431" s="3">
        <v>2023</v>
      </c>
      <c r="H431" s="34" t="s">
        <v>59</v>
      </c>
      <c r="I431" s="7" t="s">
        <v>659</v>
      </c>
      <c r="J431" s="4" t="s">
        <v>43</v>
      </c>
      <c r="K431" s="3">
        <v>2</v>
      </c>
      <c r="L431" s="3">
        <v>0</v>
      </c>
      <c r="M431" s="4" t="s">
        <v>30</v>
      </c>
      <c r="N431" s="4">
        <v>0</v>
      </c>
      <c r="O431" s="4" t="s">
        <v>45</v>
      </c>
      <c r="P431" s="3" t="s">
        <v>52</v>
      </c>
      <c r="Q431" s="3">
        <v>14</v>
      </c>
      <c r="R431" s="11" t="s">
        <v>52</v>
      </c>
      <c r="S431" s="10" t="s">
        <v>32</v>
      </c>
      <c r="T431" s="4" t="str">
        <f>IF(OR(Tabela1[[#This Row],[Grau de Risco]]="Médio",Tabela1[[#This Row],[Grau de Risco]]="Baixo"),"Não","Sim")</f>
        <v>Não</v>
      </c>
    </row>
    <row r="432" spans="1:20">
      <c r="A432" s="4" t="s">
        <v>9</v>
      </c>
      <c r="B432" s="10" t="s">
        <v>1809</v>
      </c>
      <c r="C432" s="4"/>
      <c r="D432" s="38" t="s">
        <v>1393</v>
      </c>
      <c r="E432" s="3">
        <v>19</v>
      </c>
      <c r="F432" s="3">
        <v>11</v>
      </c>
      <c r="G432" s="3">
        <v>2024</v>
      </c>
      <c r="H432" s="36" t="s">
        <v>375</v>
      </c>
      <c r="I432" s="7" t="s">
        <v>850</v>
      </c>
      <c r="J432" s="4" t="s">
        <v>79</v>
      </c>
      <c r="K432" s="3">
        <v>13</v>
      </c>
      <c r="L432" s="3"/>
      <c r="M432" s="4"/>
      <c r="N432" s="4"/>
      <c r="O432" s="4" t="s">
        <v>101</v>
      </c>
      <c r="P432" s="3" t="s">
        <v>31</v>
      </c>
      <c r="Q432" s="11">
        <v>5</v>
      </c>
      <c r="R432" s="3" t="s">
        <v>102</v>
      </c>
      <c r="S432" s="10" t="s">
        <v>63</v>
      </c>
      <c r="T432" s="4" t="str">
        <f>IF(OR(Tabela1[[#This Row],[Grau de Risco]]="Médio",Tabela1[[#This Row],[Grau de Risco]]="Baixo"),"Não","Sim")</f>
        <v>Sim</v>
      </c>
    </row>
    <row r="433" spans="1:20" hidden="1">
      <c r="A433" s="5" t="s">
        <v>7</v>
      </c>
      <c r="B433" s="33" t="s">
        <v>1800</v>
      </c>
      <c r="C433" s="4" t="s">
        <v>81</v>
      </c>
      <c r="D433" s="38" t="s">
        <v>47</v>
      </c>
      <c r="E433" s="32">
        <v>26</v>
      </c>
      <c r="F433" s="32">
        <v>7</v>
      </c>
      <c r="G433" s="32">
        <v>2024</v>
      </c>
      <c r="H433" s="36" t="s">
        <v>33</v>
      </c>
      <c r="I433" s="29" t="s">
        <v>885</v>
      </c>
      <c r="J433" s="28" t="s">
        <v>79</v>
      </c>
      <c r="K433" s="3" t="s">
        <v>44</v>
      </c>
      <c r="L433" s="32"/>
      <c r="M433" s="28"/>
      <c r="N433" s="28"/>
      <c r="O433" s="4" t="s">
        <v>77</v>
      </c>
      <c r="P433" s="32" t="s">
        <v>52</v>
      </c>
      <c r="Q433" s="35">
        <v>15</v>
      </c>
      <c r="R433" s="32" t="s">
        <v>52</v>
      </c>
      <c r="S433" s="33" t="s">
        <v>63</v>
      </c>
      <c r="T433" s="4" t="str">
        <f>IF(OR(Tabela1[[#This Row],[Grau de Risco]]="Médio",Tabela1[[#This Row],[Grau de Risco]]="Baixo"),"Não","Sim")</f>
        <v>Não</v>
      </c>
    </row>
    <row r="434" spans="1:20" hidden="1">
      <c r="A434" s="4" t="s">
        <v>2</v>
      </c>
      <c r="B434" s="10" t="s">
        <v>1805</v>
      </c>
      <c r="C434" s="4" t="s">
        <v>41</v>
      </c>
      <c r="D434" s="38" t="s">
        <v>47</v>
      </c>
      <c r="E434" s="3">
        <v>23</v>
      </c>
      <c r="F434" s="3">
        <v>8</v>
      </c>
      <c r="G434" s="3">
        <v>2024</v>
      </c>
      <c r="H434" s="5" t="s">
        <v>256</v>
      </c>
      <c r="I434" s="7" t="s">
        <v>892</v>
      </c>
      <c r="J434" s="4" t="s">
        <v>69</v>
      </c>
      <c r="K434" s="3">
        <v>15</v>
      </c>
      <c r="L434" s="3">
        <v>0</v>
      </c>
      <c r="M434" s="4" t="s">
        <v>30</v>
      </c>
      <c r="N434" s="4"/>
      <c r="O434" s="4" t="s">
        <v>88</v>
      </c>
      <c r="P434" s="3" t="s">
        <v>52</v>
      </c>
      <c r="Q434" s="11">
        <v>14</v>
      </c>
      <c r="R434" s="3" t="s">
        <v>52</v>
      </c>
      <c r="S434" s="5" t="s">
        <v>56</v>
      </c>
      <c r="T434" s="4" t="str">
        <f>IF(OR(Tabela1[[#This Row],[Grau de Risco]]="Médio",Tabela1[[#This Row],[Grau de Risco]]="Baixo"),"Não","Sim")</f>
        <v>Não</v>
      </c>
    </row>
    <row r="435" spans="1:20" hidden="1">
      <c r="A435" s="4" t="s">
        <v>9</v>
      </c>
      <c r="B435" s="10" t="s">
        <v>1805</v>
      </c>
      <c r="C435" s="4" t="s">
        <v>41</v>
      </c>
      <c r="D435" s="38" t="s">
        <v>47</v>
      </c>
      <c r="E435" s="3">
        <v>20</v>
      </c>
      <c r="F435" s="3">
        <v>12</v>
      </c>
      <c r="G435" s="3">
        <v>2024</v>
      </c>
      <c r="H435" s="36" t="s">
        <v>112</v>
      </c>
      <c r="I435" s="7" t="s">
        <v>922</v>
      </c>
      <c r="J435" s="4" t="s">
        <v>150</v>
      </c>
      <c r="K435" s="3">
        <v>14</v>
      </c>
      <c r="L435" s="3"/>
      <c r="M435" s="4" t="s">
        <v>30</v>
      </c>
      <c r="N435" s="4"/>
      <c r="O435" s="4" t="s">
        <v>386</v>
      </c>
      <c r="P435" s="3" t="s">
        <v>31</v>
      </c>
      <c r="Q435" s="11">
        <v>11</v>
      </c>
      <c r="R435" s="3" t="s">
        <v>31</v>
      </c>
      <c r="S435" s="5" t="s">
        <v>56</v>
      </c>
      <c r="T435" s="4" t="str">
        <f>IF(OR(Tabela1[[#This Row],[Grau de Risco]]="Médio",Tabela1[[#This Row],[Grau de Risco]]="Baixo"),"Não","Sim")</f>
        <v>Não</v>
      </c>
    </row>
    <row r="436" spans="1:20">
      <c r="A436" s="5" t="s">
        <v>7</v>
      </c>
      <c r="B436" s="10" t="s">
        <v>1809</v>
      </c>
      <c r="C436" s="28" t="s">
        <v>81</v>
      </c>
      <c r="D436" s="38" t="s">
        <v>47</v>
      </c>
      <c r="E436" s="32">
        <v>14</v>
      </c>
      <c r="F436" s="32">
        <v>6</v>
      </c>
      <c r="G436" s="32">
        <v>2024</v>
      </c>
      <c r="H436" s="36" t="s">
        <v>112</v>
      </c>
      <c r="I436" s="29" t="s">
        <v>977</v>
      </c>
      <c r="J436" s="28" t="s">
        <v>54</v>
      </c>
      <c r="K436" s="3" t="s">
        <v>44</v>
      </c>
      <c r="L436" s="32" t="s">
        <v>30</v>
      </c>
      <c r="M436" s="28" t="s">
        <v>30</v>
      </c>
      <c r="N436" s="28" t="s">
        <v>44</v>
      </c>
      <c r="O436" s="28"/>
      <c r="P436" s="32"/>
      <c r="Q436" s="35">
        <v>11</v>
      </c>
      <c r="R436" s="3" t="s">
        <v>31</v>
      </c>
      <c r="S436" s="33" t="s">
        <v>63</v>
      </c>
      <c r="T436" s="4" t="str">
        <f>IF(OR(Tabela1[[#This Row],[Grau de Risco]]="Médio",Tabela1[[#This Row],[Grau de Risco]]="Baixo"),"Não","Sim")</f>
        <v>Não</v>
      </c>
    </row>
    <row r="437" spans="1:20" hidden="1">
      <c r="A437" s="47" t="s">
        <v>8</v>
      </c>
      <c r="B437" s="47" t="s">
        <v>1797</v>
      </c>
      <c r="C437" s="47" t="s">
        <v>81</v>
      </c>
      <c r="D437" s="58" t="s">
        <v>1409</v>
      </c>
      <c r="E437" s="31">
        <v>29</v>
      </c>
      <c r="F437" s="31">
        <v>8</v>
      </c>
      <c r="G437" s="31">
        <v>2024</v>
      </c>
      <c r="H437" s="5" t="s">
        <v>71</v>
      </c>
      <c r="I437" s="47" t="s">
        <v>1624</v>
      </c>
      <c r="J437" s="47" t="s">
        <v>54</v>
      </c>
      <c r="K437" s="3">
        <v>0</v>
      </c>
      <c r="L437" s="41" t="s">
        <v>30</v>
      </c>
      <c r="M437" s="47" t="s">
        <v>30</v>
      </c>
      <c r="N437" s="41" t="s">
        <v>44</v>
      </c>
      <c r="O437" s="47"/>
      <c r="P437" s="47" t="s">
        <v>52</v>
      </c>
      <c r="Q437" s="47">
        <v>11</v>
      </c>
      <c r="R437" s="32" t="s">
        <v>31</v>
      </c>
      <c r="S437" s="10" t="s">
        <v>32</v>
      </c>
      <c r="T437" s="4" t="str">
        <f>IF(OR(Tabela1[[#This Row],[Grau de Risco]]="Médio",Tabela1[[#This Row],[Grau de Risco]]="Baixo"),"Não","Sim")</f>
        <v>Não</v>
      </c>
    </row>
    <row r="438" spans="1:20">
      <c r="A438" s="4" t="s">
        <v>7</v>
      </c>
      <c r="B438" s="10" t="s">
        <v>1809</v>
      </c>
      <c r="C438" s="4" t="s">
        <v>252</v>
      </c>
      <c r="D438" s="38" t="s">
        <v>1320</v>
      </c>
      <c r="E438" s="3">
        <v>5</v>
      </c>
      <c r="F438" s="3">
        <v>2</v>
      </c>
      <c r="G438" s="3">
        <v>2024</v>
      </c>
      <c r="H438" s="5" t="s">
        <v>123</v>
      </c>
      <c r="I438" s="7" t="s">
        <v>1035</v>
      </c>
      <c r="J438" s="4" t="s">
        <v>73</v>
      </c>
      <c r="K438" s="3" t="s">
        <v>62</v>
      </c>
      <c r="L438" s="3"/>
      <c r="M438" s="4"/>
      <c r="N438" s="4"/>
      <c r="O438" s="4" t="s">
        <v>4</v>
      </c>
      <c r="P438" s="3" t="s">
        <v>80</v>
      </c>
      <c r="Q438" s="11">
        <v>16</v>
      </c>
      <c r="R438" s="3" t="s">
        <v>52</v>
      </c>
      <c r="S438" s="5" t="s">
        <v>40</v>
      </c>
      <c r="T438" s="4" t="str">
        <f>IF(OR(Tabela1[[#This Row],[Grau de Risco]]="Médio",Tabela1[[#This Row],[Grau de Risco]]="Baixo"),"Não","Sim")</f>
        <v>Não</v>
      </c>
    </row>
    <row r="439" spans="1:20">
      <c r="A439" s="4" t="s">
        <v>9</v>
      </c>
      <c r="B439" s="10" t="s">
        <v>1809</v>
      </c>
      <c r="C439" s="4" t="s">
        <v>81</v>
      </c>
      <c r="D439" s="38" t="s">
        <v>1382</v>
      </c>
      <c r="E439" s="3">
        <v>19</v>
      </c>
      <c r="F439" s="3">
        <v>6</v>
      </c>
      <c r="G439" s="3">
        <v>2024</v>
      </c>
      <c r="H439" s="5" t="s">
        <v>71</v>
      </c>
      <c r="I439" s="7" t="s">
        <v>1059</v>
      </c>
      <c r="J439" s="4" t="s">
        <v>50</v>
      </c>
      <c r="K439" s="3">
        <v>412</v>
      </c>
      <c r="L439" s="3">
        <v>0</v>
      </c>
      <c r="M439" s="4" t="s">
        <v>30</v>
      </c>
      <c r="N439" s="4">
        <v>0</v>
      </c>
      <c r="O439" s="4" t="s">
        <v>386</v>
      </c>
      <c r="P439" s="3" t="s">
        <v>31</v>
      </c>
      <c r="Q439" s="11">
        <v>5</v>
      </c>
      <c r="R439" s="3" t="s">
        <v>102</v>
      </c>
      <c r="S439" s="10" t="s">
        <v>63</v>
      </c>
      <c r="T439" s="4" t="str">
        <f>IF(OR(Tabela1[[#This Row],[Grau de Risco]]="Médio",Tabela1[[#This Row],[Grau de Risco]]="Baixo"),"Não","Sim")</f>
        <v>Sim</v>
      </c>
    </row>
    <row r="440" spans="1:20" hidden="1">
      <c r="A440" s="4" t="s">
        <v>2</v>
      </c>
      <c r="B440" s="10" t="s">
        <v>1805</v>
      </c>
      <c r="C440" s="4" t="s">
        <v>41</v>
      </c>
      <c r="D440" s="38" t="s">
        <v>1382</v>
      </c>
      <c r="E440" s="3">
        <v>3</v>
      </c>
      <c r="F440" s="3">
        <v>1</v>
      </c>
      <c r="G440" s="3">
        <v>2024</v>
      </c>
      <c r="H440" s="5" t="s">
        <v>675</v>
      </c>
      <c r="I440" s="7" t="s">
        <v>1066</v>
      </c>
      <c r="J440" s="4" t="s">
        <v>61</v>
      </c>
      <c r="K440" s="3">
        <v>2</v>
      </c>
      <c r="L440" s="3">
        <v>0</v>
      </c>
      <c r="M440" s="4" t="s">
        <v>30</v>
      </c>
      <c r="N440" s="4">
        <v>0</v>
      </c>
      <c r="O440" s="4" t="s">
        <v>498</v>
      </c>
      <c r="P440" s="3" t="s">
        <v>31</v>
      </c>
      <c r="Q440" s="11">
        <v>11</v>
      </c>
      <c r="R440" s="3" t="s">
        <v>31</v>
      </c>
      <c r="S440" s="10" t="s">
        <v>4</v>
      </c>
      <c r="T440" s="4" t="str">
        <f>IF(OR(Tabela1[[#This Row],[Grau de Risco]]="Médio",Tabela1[[#This Row],[Grau de Risco]]="Baixo"),"Não","Sim")</f>
        <v>Não</v>
      </c>
    </row>
    <row r="441" spans="1:20">
      <c r="A441" s="4" t="s">
        <v>9</v>
      </c>
      <c r="B441" s="10" t="s">
        <v>1809</v>
      </c>
      <c r="C441" s="4" t="s">
        <v>252</v>
      </c>
      <c r="D441" s="38" t="s">
        <v>47</v>
      </c>
      <c r="E441" s="3">
        <v>31</v>
      </c>
      <c r="F441" s="3">
        <v>1</v>
      </c>
      <c r="G441" s="3">
        <v>2025</v>
      </c>
      <c r="H441" s="36" t="s">
        <v>375</v>
      </c>
      <c r="I441" s="7" t="s">
        <v>1141</v>
      </c>
      <c r="J441" s="4" t="s">
        <v>43</v>
      </c>
      <c r="K441" s="3">
        <v>4</v>
      </c>
      <c r="L441" s="3">
        <v>0</v>
      </c>
      <c r="M441" s="4" t="s">
        <v>30</v>
      </c>
      <c r="N441" s="4"/>
      <c r="O441" s="4" t="s">
        <v>101</v>
      </c>
      <c r="P441" s="3" t="s">
        <v>31</v>
      </c>
      <c r="Q441" s="11">
        <v>11</v>
      </c>
      <c r="R441" s="3" t="s">
        <v>31</v>
      </c>
      <c r="S441" s="33" t="s">
        <v>63</v>
      </c>
      <c r="T441" s="4" t="str">
        <f>IF(OR(Tabela1[[#This Row],[Grau de Risco]]="Médio",Tabela1[[#This Row],[Grau de Risco]]="Baixo"),"Não","Sim")</f>
        <v>Não</v>
      </c>
    </row>
    <row r="442" spans="1:20" hidden="1">
      <c r="A442" s="28" t="s">
        <v>9</v>
      </c>
      <c r="B442" s="33" t="s">
        <v>1805</v>
      </c>
      <c r="C442" s="28" t="s">
        <v>252</v>
      </c>
      <c r="D442" s="38" t="s">
        <v>47</v>
      </c>
      <c r="E442" s="32">
        <v>28</v>
      </c>
      <c r="F442" s="32">
        <v>3</v>
      </c>
      <c r="G442" s="32">
        <v>2025</v>
      </c>
      <c r="H442" s="5" t="s">
        <v>71</v>
      </c>
      <c r="I442" s="29" t="s">
        <v>1212</v>
      </c>
      <c r="J442" s="28" t="s">
        <v>73</v>
      </c>
      <c r="K442" s="32">
        <v>4</v>
      </c>
      <c r="L442" s="32"/>
      <c r="M442" s="28"/>
      <c r="N442" s="28"/>
      <c r="O442" s="28" t="s">
        <v>101</v>
      </c>
      <c r="P442" s="3" t="s">
        <v>31</v>
      </c>
      <c r="Q442" s="11">
        <v>13</v>
      </c>
      <c r="R442" s="3" t="s">
        <v>31</v>
      </c>
      <c r="S442" s="33" t="s">
        <v>63</v>
      </c>
      <c r="T442" s="4" t="str">
        <f>IF(OR(Tabela1[[#This Row],[Grau de Risco]]="Médio",Tabela1[[#This Row],[Grau de Risco]]="Baixo"),"Não","Sim")</f>
        <v>Não</v>
      </c>
    </row>
    <row r="443" spans="1:20">
      <c r="A443" s="47" t="s">
        <v>6</v>
      </c>
      <c r="B443" s="10" t="s">
        <v>1809</v>
      </c>
      <c r="C443" s="28" t="s">
        <v>81</v>
      </c>
      <c r="D443" s="38" t="s">
        <v>47</v>
      </c>
      <c r="E443" s="32">
        <v>6</v>
      </c>
      <c r="F443" s="32">
        <v>6</v>
      </c>
      <c r="G443" s="32">
        <v>2025</v>
      </c>
      <c r="H443" s="36" t="s">
        <v>82</v>
      </c>
      <c r="I443" s="29" t="s">
        <v>1283</v>
      </c>
      <c r="J443" s="28" t="s">
        <v>38</v>
      </c>
      <c r="K443" s="32"/>
      <c r="L443" s="32" t="s">
        <v>44</v>
      </c>
      <c r="M443" s="28" t="s">
        <v>30</v>
      </c>
      <c r="N443" s="28" t="s">
        <v>44</v>
      </c>
      <c r="O443" s="28"/>
      <c r="P443" s="32"/>
      <c r="Q443" s="35">
        <v>4</v>
      </c>
      <c r="R443" s="3" t="s">
        <v>102</v>
      </c>
      <c r="S443" s="33" t="s">
        <v>141</v>
      </c>
      <c r="T443" s="4" t="str">
        <f>IF(OR(Tabela1[[#This Row],[Grau de Risco]]="Médio",Tabela1[[#This Row],[Grau de Risco]]="Baixo"),"Não","Sim")</f>
        <v>Sim</v>
      </c>
    </row>
    <row r="444" spans="1:20" hidden="1">
      <c r="A444" s="28" t="s">
        <v>175</v>
      </c>
      <c r="B444" s="33" t="s">
        <v>1793</v>
      </c>
      <c r="C444" s="28" t="s">
        <v>252</v>
      </c>
      <c r="D444" s="36" t="s">
        <v>1393</v>
      </c>
      <c r="E444" s="32">
        <v>15</v>
      </c>
      <c r="F444" s="32">
        <v>4</v>
      </c>
      <c r="G444" s="32">
        <v>2025</v>
      </c>
      <c r="H444" s="36"/>
      <c r="I444" s="29" t="s">
        <v>1228</v>
      </c>
      <c r="J444" s="28" t="s">
        <v>38</v>
      </c>
      <c r="K444" s="32">
        <v>101</v>
      </c>
      <c r="L444" s="32" t="s">
        <v>44</v>
      </c>
      <c r="M444" s="28" t="s">
        <v>30</v>
      </c>
      <c r="N444" s="28" t="s">
        <v>44</v>
      </c>
      <c r="O444" s="28" t="s">
        <v>1789</v>
      </c>
      <c r="P444" s="3" t="s">
        <v>31</v>
      </c>
      <c r="Q444" s="11">
        <v>13</v>
      </c>
      <c r="R444" s="3" t="str">
        <f>IF(Q444="","",IF(Q444&lt;4,"Crítico",IF(Q444&lt;9,"Alto",IF(Q444&lt;14,"Médio","Baixo"))))</f>
        <v>Médio</v>
      </c>
      <c r="S444" s="33" t="s">
        <v>32</v>
      </c>
      <c r="T444" s="4" t="str">
        <f>IF(OR(Tabela1[[#This Row],[Grau de Risco]]="Médio",Tabela1[[#This Row],[Grau de Risco]]="Baixo"),"Não","Sim")</f>
        <v>Não</v>
      </c>
    </row>
    <row r="445" spans="1:20" hidden="1">
      <c r="A445" s="4" t="s">
        <v>8</v>
      </c>
      <c r="B445" s="10" t="s">
        <v>1805</v>
      </c>
      <c r="C445" s="4" t="s">
        <v>252</v>
      </c>
      <c r="D445" s="38" t="s">
        <v>47</v>
      </c>
      <c r="E445" s="3">
        <v>2</v>
      </c>
      <c r="F445" s="3">
        <v>5</v>
      </c>
      <c r="G445" s="3">
        <v>2025</v>
      </c>
      <c r="H445" s="36" t="s">
        <v>107</v>
      </c>
      <c r="I445" s="7" t="s">
        <v>1625</v>
      </c>
      <c r="J445" s="4" t="s">
        <v>817</v>
      </c>
      <c r="K445" s="3"/>
      <c r="L445" s="3"/>
      <c r="M445" s="4"/>
      <c r="N445" s="4"/>
      <c r="O445" s="4"/>
      <c r="P445" s="3" t="s">
        <v>52</v>
      </c>
      <c r="Q445" s="11">
        <v>15</v>
      </c>
      <c r="R445" s="3" t="s">
        <v>52</v>
      </c>
      <c r="S445" s="10" t="s">
        <v>56</v>
      </c>
      <c r="T445" s="4" t="str">
        <f>IF(OR(Tabela1[[#This Row],[Grau de Risco]]="Médio",Tabela1[[#This Row],[Grau de Risco]]="Baixo"),"Não","Sim")</f>
        <v>Não</v>
      </c>
    </row>
    <row r="446" spans="1:20" hidden="1">
      <c r="A446" s="4" t="s">
        <v>7</v>
      </c>
      <c r="B446" s="10" t="s">
        <v>1805</v>
      </c>
      <c r="C446" s="4" t="s">
        <v>252</v>
      </c>
      <c r="D446" s="38" t="s">
        <v>1320</v>
      </c>
      <c r="E446" s="3">
        <v>5</v>
      </c>
      <c r="F446" s="3">
        <v>5</v>
      </c>
      <c r="G446" s="3">
        <v>2025</v>
      </c>
      <c r="H446" s="36" t="s">
        <v>107</v>
      </c>
      <c r="I446" s="7" t="s">
        <v>1248</v>
      </c>
      <c r="J446" s="4" t="s">
        <v>93</v>
      </c>
      <c r="K446" s="3"/>
      <c r="L446" s="3"/>
      <c r="M446" s="4"/>
      <c r="N446" s="4"/>
      <c r="O446" s="4"/>
      <c r="P446" s="3"/>
      <c r="Q446" s="11">
        <v>15</v>
      </c>
      <c r="R446" s="3" t="s">
        <v>52</v>
      </c>
      <c r="S446" s="10" t="s">
        <v>63</v>
      </c>
      <c r="T446" s="4" t="str">
        <f>IF(OR(Tabela1[[#This Row],[Grau de Risco]]="Médio",Tabela1[[#This Row],[Grau de Risco]]="Baixo"),"Não","Sim")</f>
        <v>Não</v>
      </c>
    </row>
    <row r="447" spans="1:20" hidden="1">
      <c r="A447" s="28" t="s">
        <v>7</v>
      </c>
      <c r="B447" s="33" t="s">
        <v>1797</v>
      </c>
      <c r="C447" s="28" t="s">
        <v>81</v>
      </c>
      <c r="D447" s="58" t="s">
        <v>1409</v>
      </c>
      <c r="E447" s="32">
        <v>12</v>
      </c>
      <c r="F447" s="32">
        <v>6</v>
      </c>
      <c r="G447" s="32">
        <v>2025</v>
      </c>
      <c r="H447" s="36" t="s">
        <v>112</v>
      </c>
      <c r="I447" s="29" t="s">
        <v>1298</v>
      </c>
      <c r="J447" s="28" t="s">
        <v>229</v>
      </c>
      <c r="K447" s="32"/>
      <c r="L447" s="32"/>
      <c r="M447" s="28"/>
      <c r="N447" s="28"/>
      <c r="O447" s="28" t="s">
        <v>312</v>
      </c>
      <c r="P447" s="32"/>
      <c r="Q447" s="35">
        <v>14</v>
      </c>
      <c r="R447" s="32" t="s">
        <v>52</v>
      </c>
      <c r="S447" s="10" t="s">
        <v>63</v>
      </c>
      <c r="T447" s="4" t="str">
        <f>IF(OR(Tabela1[[#This Row],[Grau de Risco]]="Médio",Tabela1[[#This Row],[Grau de Risco]]="Baixo"),"Não","Sim")</f>
        <v>Não</v>
      </c>
    </row>
    <row r="448" spans="1:20">
      <c r="A448" s="4" t="s">
        <v>7</v>
      </c>
      <c r="B448" s="10" t="s">
        <v>1809</v>
      </c>
      <c r="C448" s="4" t="s">
        <v>81</v>
      </c>
      <c r="D448" s="5" t="s">
        <v>148</v>
      </c>
      <c r="E448" s="3">
        <v>22</v>
      </c>
      <c r="F448" s="3">
        <v>6</v>
      </c>
      <c r="G448" s="3">
        <v>2025</v>
      </c>
      <c r="H448" s="36" t="s">
        <v>82</v>
      </c>
      <c r="I448" s="7" t="s">
        <v>1318</v>
      </c>
      <c r="J448" s="4" t="s">
        <v>93</v>
      </c>
      <c r="K448" s="3">
        <v>0</v>
      </c>
      <c r="L448" s="3">
        <v>0</v>
      </c>
      <c r="M448" s="4" t="s">
        <v>30</v>
      </c>
      <c r="N448" s="4">
        <v>0</v>
      </c>
      <c r="O448" s="4"/>
      <c r="P448" s="3" t="s">
        <v>52</v>
      </c>
      <c r="Q448" s="11">
        <v>15</v>
      </c>
      <c r="R448" s="3" t="s">
        <v>52</v>
      </c>
      <c r="S448" s="5" t="s">
        <v>56</v>
      </c>
      <c r="T448" s="4" t="str">
        <f>IF(OR(Tabela1[[#This Row],[Grau de Risco]]="Médio",Tabela1[[#This Row],[Grau de Risco]]="Baixo"),"Não","Sim")</f>
        <v>Não</v>
      </c>
    </row>
    <row r="449" spans="1:20" hidden="1">
      <c r="A449" s="28" t="s">
        <v>7</v>
      </c>
      <c r="B449" s="33" t="s">
        <v>1797</v>
      </c>
      <c r="C449" s="28" t="s">
        <v>41</v>
      </c>
      <c r="D449" s="38" t="s">
        <v>1382</v>
      </c>
      <c r="E449" s="32">
        <v>3</v>
      </c>
      <c r="F449" s="32">
        <v>7</v>
      </c>
      <c r="G449" s="32">
        <v>2025</v>
      </c>
      <c r="H449" s="36" t="s">
        <v>82</v>
      </c>
      <c r="I449" s="29" t="s">
        <v>1333</v>
      </c>
      <c r="J449" s="28" t="s">
        <v>229</v>
      </c>
      <c r="K449" s="32"/>
      <c r="L449" s="32"/>
      <c r="M449" s="28"/>
      <c r="N449" s="28"/>
      <c r="O449" s="28" t="s">
        <v>77</v>
      </c>
      <c r="P449" s="32"/>
      <c r="Q449" s="35">
        <v>6</v>
      </c>
      <c r="R449" s="32" t="s">
        <v>102</v>
      </c>
      <c r="S449" s="33" t="s">
        <v>63</v>
      </c>
      <c r="T449" s="4" t="str">
        <f>IF(OR(Tabela1[[#This Row],[Grau de Risco]]="Médio",Tabela1[[#This Row],[Grau de Risco]]="Baixo"),"Não","Sim")</f>
        <v>Sim</v>
      </c>
    </row>
    <row r="450" spans="1:20">
      <c r="A450" s="4" t="s">
        <v>7</v>
      </c>
      <c r="B450" s="10" t="s">
        <v>1809</v>
      </c>
      <c r="C450" s="4" t="s">
        <v>252</v>
      </c>
      <c r="D450" s="38" t="s">
        <v>47</v>
      </c>
      <c r="E450" s="3">
        <v>4</v>
      </c>
      <c r="F450" s="3">
        <v>7</v>
      </c>
      <c r="G450" s="3">
        <v>2025</v>
      </c>
      <c r="H450" s="5" t="s">
        <v>71</v>
      </c>
      <c r="I450" s="7" t="s">
        <v>1626</v>
      </c>
      <c r="J450" s="4" t="s">
        <v>76</v>
      </c>
      <c r="K450" s="3" t="s">
        <v>44</v>
      </c>
      <c r="L450" s="3" t="s">
        <v>44</v>
      </c>
      <c r="M450" s="4"/>
      <c r="N450" s="4" t="s">
        <v>44</v>
      </c>
      <c r="O450" s="4"/>
      <c r="P450" s="3"/>
      <c r="Q450" s="11">
        <v>4</v>
      </c>
      <c r="R450" s="3" t="s">
        <v>102</v>
      </c>
      <c r="S450" s="5" t="s">
        <v>56</v>
      </c>
      <c r="T450" s="4" t="str">
        <f>IF(OR(Tabela1[[#This Row],[Grau de Risco]]="Médio",Tabela1[[#This Row],[Grau de Risco]]="Baixo"),"Não","Sim")</f>
        <v>Sim</v>
      </c>
    </row>
    <row r="451" spans="1:20" hidden="1">
      <c r="A451" s="28" t="s">
        <v>7</v>
      </c>
      <c r="B451" s="33" t="s">
        <v>1797</v>
      </c>
      <c r="C451" s="28" t="s">
        <v>252</v>
      </c>
      <c r="D451" s="28" t="s">
        <v>148</v>
      </c>
      <c r="E451" s="32">
        <v>6</v>
      </c>
      <c r="F451" s="32">
        <v>7</v>
      </c>
      <c r="G451" s="32">
        <v>2025</v>
      </c>
      <c r="H451" s="36" t="s">
        <v>375</v>
      </c>
      <c r="I451" s="29" t="s">
        <v>1337</v>
      </c>
      <c r="J451" s="28" t="s">
        <v>115</v>
      </c>
      <c r="K451" s="32"/>
      <c r="L451" s="32"/>
      <c r="M451" s="28"/>
      <c r="N451" s="28"/>
      <c r="O451" s="28" t="s">
        <v>51</v>
      </c>
      <c r="P451" s="32" t="s">
        <v>52</v>
      </c>
      <c r="Q451" s="35">
        <v>11</v>
      </c>
      <c r="R451" s="32" t="s">
        <v>31</v>
      </c>
      <c r="S451" s="10" t="s">
        <v>63</v>
      </c>
      <c r="T451" s="4" t="str">
        <f>IF(OR(Tabela1[[#This Row],[Grau de Risco]]="Médio",Tabela1[[#This Row],[Grau de Risco]]="Baixo"),"Não","Sim")</f>
        <v>Não</v>
      </c>
    </row>
    <row r="452" spans="1:20" hidden="1">
      <c r="A452" s="28" t="s">
        <v>1110</v>
      </c>
      <c r="B452" s="10" t="s">
        <v>1805</v>
      </c>
      <c r="C452" s="4" t="s">
        <v>26</v>
      </c>
      <c r="D452" s="4" t="s">
        <v>47</v>
      </c>
      <c r="E452" s="3">
        <v>22</v>
      </c>
      <c r="F452" s="3">
        <v>8</v>
      </c>
      <c r="G452" s="3">
        <v>2025</v>
      </c>
      <c r="H452" s="21" t="s">
        <v>212</v>
      </c>
      <c r="I452" s="7" t="s">
        <v>1405</v>
      </c>
      <c r="J452" s="4" t="s">
        <v>50</v>
      </c>
      <c r="K452" s="3" t="s">
        <v>44</v>
      </c>
      <c r="L452" s="3" t="s">
        <v>44</v>
      </c>
      <c r="M452" s="4"/>
      <c r="N452" s="4" t="s">
        <v>44</v>
      </c>
      <c r="O452" s="4"/>
      <c r="P452" s="3"/>
      <c r="Q452" s="11">
        <v>7</v>
      </c>
      <c r="R452" s="3" t="str">
        <f>IF(Q452="","",IF(Q452&lt;4,"Crítico",IF(Q452&lt;9,"Alto",IF(Q452&lt;14,"Médio","Baixo"))))</f>
        <v>Alto</v>
      </c>
      <c r="S452" s="10" t="s">
        <v>63</v>
      </c>
      <c r="T452" s="4" t="str">
        <f>IF(OR(Tabela1[[#This Row],[Grau de Risco]]="Médio",Tabela1[[#This Row],[Grau de Risco]]="Baixo"),"Não","Sim")</f>
        <v>Sim</v>
      </c>
    </row>
    <row r="453" spans="1:20" hidden="1">
      <c r="A453" s="28" t="s">
        <v>2</v>
      </c>
      <c r="B453" s="33" t="s">
        <v>1805</v>
      </c>
      <c r="C453" s="28" t="s">
        <v>252</v>
      </c>
      <c r="D453" s="36" t="s">
        <v>47</v>
      </c>
      <c r="E453" s="32">
        <v>29</v>
      </c>
      <c r="F453" s="32">
        <v>8</v>
      </c>
      <c r="G453" s="32">
        <v>2025</v>
      </c>
      <c r="H453" s="36" t="s">
        <v>71</v>
      </c>
      <c r="I453" s="29" t="s">
        <v>1412</v>
      </c>
      <c r="J453" s="28" t="s">
        <v>54</v>
      </c>
      <c r="K453" s="36">
        <v>6</v>
      </c>
      <c r="L453" s="32" t="s">
        <v>44</v>
      </c>
      <c r="M453" s="28" t="s">
        <v>30</v>
      </c>
      <c r="N453" s="28" t="s">
        <v>44</v>
      </c>
      <c r="O453" s="28" t="s">
        <v>1413</v>
      </c>
      <c r="P453" s="32" t="s">
        <v>102</v>
      </c>
      <c r="Q453" s="35">
        <v>2</v>
      </c>
      <c r="R453" s="3" t="str">
        <f>IF(Q453="","",IF(Q453&lt;4,"Crítico",IF(Q453&lt;9,"Alto",IF(Q453&lt;14,"Médio","Baixo"))))</f>
        <v>Crítico</v>
      </c>
      <c r="S453" s="5" t="s">
        <v>40</v>
      </c>
      <c r="T453" s="4" t="str">
        <f>IF(OR(Tabela1[[#This Row],[Grau de Risco]]="Médio",Tabela1[[#This Row],[Grau de Risco]]="Baixo"),"Não","Sim")</f>
        <v>Sim</v>
      </c>
    </row>
    <row r="454" spans="1:20" hidden="1">
      <c r="A454" s="28" t="s">
        <v>8</v>
      </c>
      <c r="B454" s="33" t="s">
        <v>1804</v>
      </c>
      <c r="C454" s="28" t="s">
        <v>252</v>
      </c>
      <c r="D454" s="28" t="s">
        <v>1382</v>
      </c>
      <c r="E454" s="32">
        <v>3</v>
      </c>
      <c r="F454" s="32">
        <v>9</v>
      </c>
      <c r="G454" s="32">
        <v>2025</v>
      </c>
      <c r="H454" s="34" t="s">
        <v>107</v>
      </c>
      <c r="I454" s="7" t="s">
        <v>1430</v>
      </c>
      <c r="J454" s="28" t="s">
        <v>93</v>
      </c>
      <c r="K454" s="32">
        <v>0</v>
      </c>
      <c r="L454" s="32">
        <v>0</v>
      </c>
      <c r="M454" s="4" t="s">
        <v>30</v>
      </c>
      <c r="N454" s="4">
        <v>0</v>
      </c>
      <c r="O454" s="28" t="s">
        <v>51</v>
      </c>
      <c r="P454" s="32" t="s">
        <v>52</v>
      </c>
      <c r="Q454" s="35">
        <v>14</v>
      </c>
      <c r="R454" s="32" t="s">
        <v>52</v>
      </c>
      <c r="S454" s="33" t="s">
        <v>56</v>
      </c>
      <c r="T454" s="4" t="str">
        <f>IF(OR(Tabela1[[#This Row],[Grau de Risco]]="Médio",Tabela1[[#This Row],[Grau de Risco]]="Baixo"),"Não","Sim")</f>
        <v>Não</v>
      </c>
    </row>
    <row r="455" spans="1:20" hidden="1">
      <c r="A455" s="5" t="s">
        <v>2</v>
      </c>
      <c r="B455" s="4" t="s">
        <v>1805</v>
      </c>
      <c r="C455" s="5" t="s">
        <v>26</v>
      </c>
      <c r="D455" s="58" t="s">
        <v>1409</v>
      </c>
      <c r="E455" s="3">
        <v>12</v>
      </c>
      <c r="F455" s="3">
        <v>3</v>
      </c>
      <c r="G455" s="3">
        <v>2020</v>
      </c>
      <c r="H455" s="36" t="s">
        <v>33</v>
      </c>
      <c r="I455" s="7" t="s">
        <v>68</v>
      </c>
      <c r="J455" s="4" t="s">
        <v>69</v>
      </c>
      <c r="K455" s="3">
        <v>6</v>
      </c>
      <c r="L455" s="3">
        <v>0</v>
      </c>
      <c r="M455" s="5" t="s">
        <v>30</v>
      </c>
      <c r="N455" s="4">
        <v>6</v>
      </c>
      <c r="O455" s="4" t="s">
        <v>70</v>
      </c>
      <c r="P455" s="3" t="s">
        <v>31</v>
      </c>
      <c r="Q455" s="3">
        <v>13</v>
      </c>
      <c r="R455" s="2" t="s">
        <v>31</v>
      </c>
      <c r="S455" s="10" t="s">
        <v>32</v>
      </c>
      <c r="T455" s="4" t="str">
        <f>IF(OR(Tabela1[[#This Row],[Grau de Risco]]="Médio",Tabela1[[#This Row],[Grau de Risco]]="Baixo"),"Não","Sim")</f>
        <v>Não</v>
      </c>
    </row>
    <row r="456" spans="1:20">
      <c r="A456" s="4" t="s">
        <v>2</v>
      </c>
      <c r="B456" s="10" t="s">
        <v>1809</v>
      </c>
      <c r="C456" s="4" t="s">
        <v>26</v>
      </c>
      <c r="D456" s="38" t="s">
        <v>1382</v>
      </c>
      <c r="E456" s="3">
        <v>2</v>
      </c>
      <c r="F456" s="3">
        <v>12</v>
      </c>
      <c r="G456" s="3">
        <v>2020</v>
      </c>
      <c r="H456" s="5" t="s">
        <v>71</v>
      </c>
      <c r="I456" s="7" t="s">
        <v>1817</v>
      </c>
      <c r="J456" s="4" t="s">
        <v>100</v>
      </c>
      <c r="K456" s="3">
        <v>365</v>
      </c>
      <c r="L456" s="3">
        <v>0</v>
      </c>
      <c r="M456" s="4" t="s">
        <v>30</v>
      </c>
      <c r="N456" s="4">
        <v>0</v>
      </c>
      <c r="O456" s="4" t="s">
        <v>101</v>
      </c>
      <c r="P456" s="3" t="s">
        <v>102</v>
      </c>
      <c r="Q456" s="11">
        <v>13</v>
      </c>
      <c r="R456" s="3" t="s">
        <v>31</v>
      </c>
      <c r="S456" s="10" t="s">
        <v>63</v>
      </c>
      <c r="T456" s="4" t="str">
        <f>IF(OR(Tabela1[[#This Row],[Grau de Risco]]="Médio",Tabela1[[#This Row],[Grau de Risco]]="Baixo"),"Não","Sim")</f>
        <v>Não</v>
      </c>
    </row>
    <row r="457" spans="1:20">
      <c r="A457" s="4" t="s">
        <v>2</v>
      </c>
      <c r="B457" s="10" t="s">
        <v>1809</v>
      </c>
      <c r="C457" s="4" t="s">
        <v>89</v>
      </c>
      <c r="D457" s="38" t="s">
        <v>47</v>
      </c>
      <c r="E457" s="3">
        <v>22</v>
      </c>
      <c r="F457" s="3">
        <v>10</v>
      </c>
      <c r="G457" s="3">
        <v>2021</v>
      </c>
      <c r="H457" s="36" t="s">
        <v>82</v>
      </c>
      <c r="I457" s="7" t="s">
        <v>187</v>
      </c>
      <c r="J457" s="4" t="s">
        <v>111</v>
      </c>
      <c r="K457" s="3">
        <v>15</v>
      </c>
      <c r="L457" s="3">
        <v>0</v>
      </c>
      <c r="M457" s="4" t="s">
        <v>30</v>
      </c>
      <c r="N457" s="4"/>
      <c r="O457" s="4" t="s">
        <v>85</v>
      </c>
      <c r="P457" s="3" t="s">
        <v>31</v>
      </c>
      <c r="Q457" s="11">
        <v>12</v>
      </c>
      <c r="R457" s="3" t="str">
        <f>IF(Q457="","",IF(Q457&lt;4,"Crítico",IF(Q457&lt;9,"Alto",IF(Q457&lt;14,"Médio","Baixo"))))</f>
        <v>Médio</v>
      </c>
      <c r="S457" s="10" t="s">
        <v>63</v>
      </c>
      <c r="T457" s="4" t="str">
        <f>IF(OR(Tabela1[[#This Row],[Grau de Risco]]="Médio",Tabela1[[#This Row],[Grau de Risco]]="Baixo"),"Não","Sim")</f>
        <v>Não</v>
      </c>
    </row>
    <row r="458" spans="1:20">
      <c r="A458" s="5" t="s">
        <v>2</v>
      </c>
      <c r="B458" s="10" t="s">
        <v>1809</v>
      </c>
      <c r="C458" s="5" t="s">
        <v>125</v>
      </c>
      <c r="D458" s="38" t="s">
        <v>1382</v>
      </c>
      <c r="E458" s="2">
        <v>4</v>
      </c>
      <c r="F458" s="2">
        <v>5</v>
      </c>
      <c r="G458" s="2">
        <v>2022</v>
      </c>
      <c r="H458" s="36" t="s">
        <v>66</v>
      </c>
      <c r="I458" s="5" t="s">
        <v>265</v>
      </c>
      <c r="J458" s="5" t="s">
        <v>84</v>
      </c>
      <c r="K458" s="2">
        <v>2</v>
      </c>
      <c r="L458" s="2">
        <v>0</v>
      </c>
      <c r="M458" s="5" t="s">
        <v>30</v>
      </c>
      <c r="N458" s="5">
        <v>0</v>
      </c>
      <c r="O458" s="5" t="s">
        <v>167</v>
      </c>
      <c r="P458" s="3" t="s">
        <v>52</v>
      </c>
      <c r="Q458" s="2">
        <v>6</v>
      </c>
      <c r="R458" s="2" t="s">
        <v>52</v>
      </c>
      <c r="S458" s="5" t="s">
        <v>56</v>
      </c>
      <c r="T458" s="4" t="str">
        <f>IF(OR(Tabela1[[#This Row],[Grau de Risco]]="Médio",Tabela1[[#This Row],[Grau de Risco]]="Baixo"),"Não","Sim")</f>
        <v>Não</v>
      </c>
    </row>
    <row r="459" spans="1:20">
      <c r="A459" s="4" t="s">
        <v>9</v>
      </c>
      <c r="B459" s="10" t="s">
        <v>1809</v>
      </c>
      <c r="C459" s="4" t="s">
        <v>89</v>
      </c>
      <c r="D459" s="38" t="s">
        <v>1320</v>
      </c>
      <c r="E459" s="3">
        <v>27</v>
      </c>
      <c r="F459" s="3">
        <v>6</v>
      </c>
      <c r="G459" s="3">
        <v>2022</v>
      </c>
      <c r="H459" s="60" t="s">
        <v>109</v>
      </c>
      <c r="I459" s="7" t="s">
        <v>293</v>
      </c>
      <c r="J459" s="4" t="s">
        <v>61</v>
      </c>
      <c r="K459" s="3">
        <v>15</v>
      </c>
      <c r="L459" s="3">
        <v>0</v>
      </c>
      <c r="M459" s="4" t="s">
        <v>30</v>
      </c>
      <c r="N459" s="4"/>
      <c r="O459" s="4" t="s">
        <v>101</v>
      </c>
      <c r="P459" s="3" t="s">
        <v>31</v>
      </c>
      <c r="Q459" s="11">
        <v>9</v>
      </c>
      <c r="R459" s="3" t="str">
        <f>IF(Q459="","",IF(Q459&lt;4,"Crítico",IF(Q459&lt;9,"Alto",IF(Q459&lt;14,"Médio","Baixo"))))</f>
        <v>Médio</v>
      </c>
      <c r="S459" s="10" t="s">
        <v>63</v>
      </c>
      <c r="T459" s="4" t="str">
        <f>IF(OR(Tabela1[[#This Row],[Grau de Risco]]="Médio",Tabela1[[#This Row],[Grau de Risco]]="Baixo"),"Não","Sim")</f>
        <v>Não</v>
      </c>
    </row>
    <row r="460" spans="1:20" hidden="1">
      <c r="A460" s="5" t="s">
        <v>2</v>
      </c>
      <c r="B460" s="6" t="s">
        <v>1800</v>
      </c>
      <c r="C460" s="5" t="s">
        <v>41</v>
      </c>
      <c r="D460" s="58" t="s">
        <v>1409</v>
      </c>
      <c r="E460" s="2">
        <v>1</v>
      </c>
      <c r="F460" s="2">
        <v>6</v>
      </c>
      <c r="G460" s="2">
        <v>2023</v>
      </c>
      <c r="H460" s="36" t="s">
        <v>82</v>
      </c>
      <c r="I460" s="5" t="s">
        <v>408</v>
      </c>
      <c r="J460" s="5" t="s">
        <v>35</v>
      </c>
      <c r="K460" s="2">
        <v>6</v>
      </c>
      <c r="L460" s="2">
        <v>0</v>
      </c>
      <c r="M460" s="5" t="s">
        <v>30</v>
      </c>
      <c r="N460" s="5">
        <v>0</v>
      </c>
      <c r="O460" s="5" t="s">
        <v>45</v>
      </c>
      <c r="P460" s="2" t="s">
        <v>31</v>
      </c>
      <c r="Q460" s="2">
        <v>13</v>
      </c>
      <c r="R460" s="2" t="s">
        <v>31</v>
      </c>
      <c r="S460" s="5" t="s">
        <v>56</v>
      </c>
      <c r="T460" s="4" t="str">
        <f>IF(OR(Tabela1[[#This Row],[Grau de Risco]]="Médio",Tabela1[[#This Row],[Grau de Risco]]="Baixo"),"Não","Sim")</f>
        <v>Não</v>
      </c>
    </row>
    <row r="461" spans="1:20">
      <c r="A461" s="4" t="s">
        <v>7</v>
      </c>
      <c r="B461" s="10" t="s">
        <v>1809</v>
      </c>
      <c r="C461" s="4" t="s">
        <v>81</v>
      </c>
      <c r="D461" s="5" t="s">
        <v>1409</v>
      </c>
      <c r="E461" s="3">
        <v>15</v>
      </c>
      <c r="F461" s="3">
        <v>9</v>
      </c>
      <c r="G461" s="3">
        <v>2023</v>
      </c>
      <c r="H461" s="36" t="s">
        <v>112</v>
      </c>
      <c r="I461" s="7" t="s">
        <v>558</v>
      </c>
      <c r="J461" s="4" t="s">
        <v>79</v>
      </c>
      <c r="K461" s="3" t="s">
        <v>62</v>
      </c>
      <c r="L461" s="3">
        <v>0</v>
      </c>
      <c r="M461" s="4" t="s">
        <v>30</v>
      </c>
      <c r="N461" s="4">
        <v>0</v>
      </c>
      <c r="O461" s="4" t="s">
        <v>559</v>
      </c>
      <c r="P461" s="3" t="s">
        <v>52</v>
      </c>
      <c r="Q461" s="11">
        <v>11</v>
      </c>
      <c r="R461" s="3" t="s">
        <v>31</v>
      </c>
      <c r="S461" s="10" t="s">
        <v>32</v>
      </c>
      <c r="T461" s="4" t="str">
        <f>IF(OR(Tabela1[[#This Row],[Grau de Risco]]="Médio",Tabela1[[#This Row],[Grau de Risco]]="Baixo"),"Não","Sim")</f>
        <v>Não</v>
      </c>
    </row>
    <row r="462" spans="1:20">
      <c r="A462" s="4" t="s">
        <v>9</v>
      </c>
      <c r="B462" s="10" t="s">
        <v>1809</v>
      </c>
      <c r="C462" s="4"/>
      <c r="D462" s="38" t="s">
        <v>1382</v>
      </c>
      <c r="E462" s="3">
        <v>10</v>
      </c>
      <c r="F462" s="3">
        <v>5</v>
      </c>
      <c r="G462" s="3">
        <v>2023</v>
      </c>
      <c r="H462" s="36" t="s">
        <v>112</v>
      </c>
      <c r="I462" s="7" t="s">
        <v>568</v>
      </c>
      <c r="J462" s="4" t="s">
        <v>111</v>
      </c>
      <c r="K462" s="3">
        <v>7</v>
      </c>
      <c r="L462" s="3">
        <v>0</v>
      </c>
      <c r="M462" s="4" t="s">
        <v>30</v>
      </c>
      <c r="N462" s="4"/>
      <c r="O462" s="4" t="s">
        <v>74</v>
      </c>
      <c r="P462" s="3" t="s">
        <v>31</v>
      </c>
      <c r="Q462" s="11">
        <v>2</v>
      </c>
      <c r="R462" s="3" t="str">
        <f>IF(Q462="","",IF(Q462&lt;4,"Crítico",IF(Q462&lt;9,"Alto",IF(Q462&lt;14,"Médio","Baixo"))))</f>
        <v>Crítico</v>
      </c>
      <c r="S462" s="5" t="s">
        <v>56</v>
      </c>
      <c r="T462" s="4" t="str">
        <f>IF(OR(Tabela1[[#This Row],[Grau de Risco]]="Médio",Tabela1[[#This Row],[Grau de Risco]]="Baixo"),"Não","Sim")</f>
        <v>Sim</v>
      </c>
    </row>
    <row r="463" spans="1:20" hidden="1">
      <c r="A463" s="4" t="s">
        <v>2</v>
      </c>
      <c r="B463" s="10" t="s">
        <v>1793</v>
      </c>
      <c r="C463" s="3" t="s">
        <v>81</v>
      </c>
      <c r="D463" s="58" t="s">
        <v>1409</v>
      </c>
      <c r="E463" s="3">
        <v>16</v>
      </c>
      <c r="F463" s="3">
        <v>11</v>
      </c>
      <c r="G463" s="3">
        <v>2023</v>
      </c>
      <c r="H463" s="4" t="s">
        <v>27</v>
      </c>
      <c r="I463" s="7" t="s">
        <v>595</v>
      </c>
      <c r="J463" s="4" t="s">
        <v>154</v>
      </c>
      <c r="K463" s="3">
        <v>3</v>
      </c>
      <c r="L463" s="3">
        <v>0</v>
      </c>
      <c r="M463" s="3" t="s">
        <v>30</v>
      </c>
      <c r="N463" s="3">
        <v>0</v>
      </c>
      <c r="O463" s="3" t="s">
        <v>45</v>
      </c>
      <c r="P463" s="3" t="s">
        <v>52</v>
      </c>
      <c r="Q463" s="3">
        <v>14</v>
      </c>
      <c r="R463" s="11" t="s">
        <v>52</v>
      </c>
      <c r="S463" s="5" t="s">
        <v>56</v>
      </c>
      <c r="T463" s="4" t="str">
        <f>IF(OR(Tabela1[[#This Row],[Grau de Risco]]="Médio",Tabela1[[#This Row],[Grau de Risco]]="Baixo"),"Não","Sim")</f>
        <v>Não</v>
      </c>
    </row>
    <row r="464" spans="1:20" hidden="1">
      <c r="A464" s="4" t="s">
        <v>2</v>
      </c>
      <c r="B464" s="10" t="s">
        <v>1805</v>
      </c>
      <c r="C464" s="4" t="s">
        <v>81</v>
      </c>
      <c r="D464" s="38" t="s">
        <v>1382</v>
      </c>
      <c r="E464" s="3">
        <v>14</v>
      </c>
      <c r="F464" s="3">
        <v>6</v>
      </c>
      <c r="G464" s="3">
        <v>2023</v>
      </c>
      <c r="H464" s="5" t="s">
        <v>71</v>
      </c>
      <c r="I464" s="7" t="s">
        <v>600</v>
      </c>
      <c r="J464" s="4" t="s">
        <v>54</v>
      </c>
      <c r="K464" s="3">
        <v>5</v>
      </c>
      <c r="L464" s="3"/>
      <c r="M464" s="4" t="s">
        <v>30</v>
      </c>
      <c r="N464" s="4"/>
      <c r="O464" s="4" t="s">
        <v>601</v>
      </c>
      <c r="P464" s="3" t="s">
        <v>31</v>
      </c>
      <c r="Q464" s="11">
        <v>11</v>
      </c>
      <c r="R464" s="2" t="s">
        <v>31</v>
      </c>
      <c r="S464" s="10" t="s">
        <v>32</v>
      </c>
      <c r="T464" s="4" t="str">
        <f>IF(OR(Tabela1[[#This Row],[Grau de Risco]]="Médio",Tabela1[[#This Row],[Grau de Risco]]="Baixo"),"Não","Sim")</f>
        <v>Não</v>
      </c>
    </row>
    <row r="465" spans="1:20" hidden="1">
      <c r="A465" s="5" t="s">
        <v>7</v>
      </c>
      <c r="B465" s="10" t="s">
        <v>1805</v>
      </c>
      <c r="C465" s="4" t="s">
        <v>41</v>
      </c>
      <c r="D465" s="38" t="s">
        <v>1393</v>
      </c>
      <c r="E465" s="3">
        <v>12</v>
      </c>
      <c r="F465" s="3">
        <v>9</v>
      </c>
      <c r="G465" s="3">
        <v>2023</v>
      </c>
      <c r="H465" s="34" t="s">
        <v>59</v>
      </c>
      <c r="I465" s="7" t="s">
        <v>625</v>
      </c>
      <c r="J465" s="4" t="s">
        <v>54</v>
      </c>
      <c r="K465" s="3" t="s">
        <v>44</v>
      </c>
      <c r="L465" s="3" t="s">
        <v>80</v>
      </c>
      <c r="M465" s="4"/>
      <c r="N465" s="4"/>
      <c r="O465" s="4" t="s">
        <v>45</v>
      </c>
      <c r="P465" s="3"/>
      <c r="Q465" s="11">
        <v>15</v>
      </c>
      <c r="R465" s="3" t="s">
        <v>52</v>
      </c>
      <c r="S465" s="10" t="s">
        <v>63</v>
      </c>
      <c r="T465" s="4" t="str">
        <f>IF(OR(Tabela1[[#This Row],[Grau de Risco]]="Médio",Tabela1[[#This Row],[Grau de Risco]]="Baixo"),"Não","Sim")</f>
        <v>Não</v>
      </c>
    </row>
    <row r="466" spans="1:20" hidden="1">
      <c r="A466" s="5" t="s">
        <v>7</v>
      </c>
      <c r="B466" s="10" t="s">
        <v>1800</v>
      </c>
      <c r="C466" s="4" t="s">
        <v>41</v>
      </c>
      <c r="D466" s="5" t="s">
        <v>148</v>
      </c>
      <c r="E466" s="3">
        <v>17</v>
      </c>
      <c r="F466" s="3">
        <v>9</v>
      </c>
      <c r="G466" s="3">
        <v>2023</v>
      </c>
      <c r="H466" s="5" t="s">
        <v>463</v>
      </c>
      <c r="I466" s="7" t="s">
        <v>627</v>
      </c>
      <c r="J466" s="4" t="s">
        <v>54</v>
      </c>
      <c r="K466" s="3" t="s">
        <v>44</v>
      </c>
      <c r="L466" s="3" t="s">
        <v>80</v>
      </c>
      <c r="M466" s="4"/>
      <c r="N466" s="4" t="s">
        <v>80</v>
      </c>
      <c r="O466" s="4" t="s">
        <v>77</v>
      </c>
      <c r="P466" s="3"/>
      <c r="Q466" s="11">
        <v>7</v>
      </c>
      <c r="R466" s="3" t="s">
        <v>102</v>
      </c>
      <c r="S466" s="10" t="s">
        <v>63</v>
      </c>
      <c r="T466" s="4" t="str">
        <f>IF(OR(Tabela1[[#This Row],[Grau de Risco]]="Médio",Tabela1[[#This Row],[Grau de Risco]]="Baixo"),"Não","Sim")</f>
        <v>Sim</v>
      </c>
    </row>
    <row r="467" spans="1:20" hidden="1">
      <c r="A467" s="4" t="s">
        <v>2</v>
      </c>
      <c r="B467" s="10" t="s">
        <v>1805</v>
      </c>
      <c r="C467" s="4"/>
      <c r="D467" s="38" t="s">
        <v>1393</v>
      </c>
      <c r="E467" s="3">
        <v>14</v>
      </c>
      <c r="F467" s="3">
        <v>3</v>
      </c>
      <c r="G467" s="3">
        <v>2023</v>
      </c>
      <c r="H467" s="5" t="s">
        <v>48</v>
      </c>
      <c r="I467" s="7" t="s">
        <v>686</v>
      </c>
      <c r="J467" s="4" t="s">
        <v>93</v>
      </c>
      <c r="K467" s="3">
        <v>5</v>
      </c>
      <c r="L467" s="3">
        <v>0</v>
      </c>
      <c r="M467" s="4" t="s">
        <v>30</v>
      </c>
      <c r="N467" s="4">
        <v>0</v>
      </c>
      <c r="O467" s="4" t="s">
        <v>45</v>
      </c>
      <c r="P467" s="3" t="s">
        <v>31</v>
      </c>
      <c r="Q467" s="11">
        <v>14</v>
      </c>
      <c r="R467" s="3" t="s">
        <v>52</v>
      </c>
      <c r="S467" s="10" t="s">
        <v>179</v>
      </c>
      <c r="T467" s="4" t="str">
        <f>IF(OR(Tabela1[[#This Row],[Grau de Risco]]="Médio",Tabela1[[#This Row],[Grau de Risco]]="Baixo"),"Não","Sim")</f>
        <v>Não</v>
      </c>
    </row>
    <row r="468" spans="1:20" hidden="1">
      <c r="A468" s="4" t="s">
        <v>9</v>
      </c>
      <c r="B468" s="10" t="s">
        <v>1797</v>
      </c>
      <c r="C468" s="4" t="s">
        <v>81</v>
      </c>
      <c r="D468" s="38" t="s">
        <v>1382</v>
      </c>
      <c r="E468" s="3">
        <v>25</v>
      </c>
      <c r="F468" s="3">
        <v>12</v>
      </c>
      <c r="G468" s="3">
        <v>2024</v>
      </c>
      <c r="H468" s="60" t="s">
        <v>109</v>
      </c>
      <c r="I468" s="7" t="s">
        <v>782</v>
      </c>
      <c r="J468" s="4" t="s">
        <v>69</v>
      </c>
      <c r="K468" s="3">
        <v>4</v>
      </c>
      <c r="L468" s="3">
        <v>0</v>
      </c>
      <c r="M468" s="4" t="s">
        <v>30</v>
      </c>
      <c r="N468" s="4"/>
      <c r="O468" s="4" t="s">
        <v>301</v>
      </c>
      <c r="P468" s="3" t="s">
        <v>31</v>
      </c>
      <c r="Q468" s="11">
        <v>11</v>
      </c>
      <c r="R468" s="3" t="s">
        <v>31</v>
      </c>
      <c r="S468" s="10" t="s">
        <v>63</v>
      </c>
      <c r="T468" s="4" t="str">
        <f>IF(OR(Tabela1[[#This Row],[Grau de Risco]]="Médio",Tabela1[[#This Row],[Grau de Risco]]="Baixo"),"Não","Sim")</f>
        <v>Não</v>
      </c>
    </row>
    <row r="469" spans="1:20" hidden="1">
      <c r="A469" s="4" t="s">
        <v>7</v>
      </c>
      <c r="B469" s="10" t="s">
        <v>1797</v>
      </c>
      <c r="C469" s="4" t="s">
        <v>252</v>
      </c>
      <c r="D469" s="38" t="s">
        <v>1393</v>
      </c>
      <c r="E469" s="3">
        <v>19</v>
      </c>
      <c r="F469" s="3">
        <v>3</v>
      </c>
      <c r="G469" s="3">
        <v>2024</v>
      </c>
      <c r="H469" s="4" t="s">
        <v>27</v>
      </c>
      <c r="I469" s="7" t="s">
        <v>849</v>
      </c>
      <c r="J469" s="4" t="s">
        <v>61</v>
      </c>
      <c r="K469" s="3" t="s">
        <v>62</v>
      </c>
      <c r="L469" s="3"/>
      <c r="M469" s="4"/>
      <c r="N469" s="4"/>
      <c r="O469" s="4" t="s">
        <v>51</v>
      </c>
      <c r="P469" s="3"/>
      <c r="Q469" s="11">
        <v>11</v>
      </c>
      <c r="R469" s="3" t="s">
        <v>31</v>
      </c>
      <c r="S469" s="10" t="s">
        <v>4</v>
      </c>
      <c r="T469" s="4" t="str">
        <f>IF(OR(Tabela1[[#This Row],[Grau de Risco]]="Médio",Tabela1[[#This Row],[Grau de Risco]]="Baixo"),"Não","Sim")</f>
        <v>Não</v>
      </c>
    </row>
    <row r="470" spans="1:20">
      <c r="A470" s="4" t="s">
        <v>2</v>
      </c>
      <c r="B470" s="10" t="s">
        <v>1809</v>
      </c>
      <c r="C470" s="4" t="s">
        <v>26</v>
      </c>
      <c r="D470" s="38" t="s">
        <v>1320</v>
      </c>
      <c r="E470" s="3">
        <v>21</v>
      </c>
      <c r="F470" s="3">
        <v>10</v>
      </c>
      <c r="G470" s="3">
        <v>2024</v>
      </c>
      <c r="H470" s="5" t="s">
        <v>71</v>
      </c>
      <c r="I470" s="7" t="s">
        <v>852</v>
      </c>
      <c r="J470" s="4" t="s">
        <v>111</v>
      </c>
      <c r="K470" s="3">
        <v>67</v>
      </c>
      <c r="L470" s="3" t="s">
        <v>30</v>
      </c>
      <c r="M470" s="4" t="s">
        <v>30</v>
      </c>
      <c r="N470" s="4">
        <v>0</v>
      </c>
      <c r="O470" s="4" t="s">
        <v>85</v>
      </c>
      <c r="P470" s="3" t="s">
        <v>102</v>
      </c>
      <c r="Q470" s="11">
        <v>7</v>
      </c>
      <c r="R470" s="3" t="s">
        <v>102</v>
      </c>
      <c r="S470" s="5" t="s">
        <v>40</v>
      </c>
      <c r="T470" s="4" t="str">
        <f>IF(OR(Tabela1[[#This Row],[Grau de Risco]]="Médio",Tabela1[[#This Row],[Grau de Risco]]="Baixo"),"Não","Sim")</f>
        <v>Sim</v>
      </c>
    </row>
    <row r="471" spans="1:20" hidden="1">
      <c r="A471" s="4" t="s">
        <v>7</v>
      </c>
      <c r="B471" s="10" t="s">
        <v>1805</v>
      </c>
      <c r="C471" s="4"/>
      <c r="D471" s="38" t="s">
        <v>1320</v>
      </c>
      <c r="E471" s="3">
        <v>25</v>
      </c>
      <c r="F471" s="3">
        <v>11</v>
      </c>
      <c r="G471" s="3">
        <v>2024</v>
      </c>
      <c r="H471" s="34" t="s">
        <v>59</v>
      </c>
      <c r="I471" s="7" t="s">
        <v>854</v>
      </c>
      <c r="J471" s="4" t="s">
        <v>61</v>
      </c>
      <c r="K471" s="3"/>
      <c r="L471" s="3"/>
      <c r="M471" s="4"/>
      <c r="N471" s="4"/>
      <c r="O471" s="4" t="s">
        <v>77</v>
      </c>
      <c r="P471" s="3"/>
      <c r="Q471" s="11">
        <v>15</v>
      </c>
      <c r="R471" s="3" t="s">
        <v>52</v>
      </c>
      <c r="S471" s="10" t="s">
        <v>63</v>
      </c>
      <c r="T471" s="4" t="str">
        <f>IF(OR(Tabela1[[#This Row],[Grau de Risco]]="Médio",Tabela1[[#This Row],[Grau de Risco]]="Baixo"),"Não","Sim")</f>
        <v>Não</v>
      </c>
    </row>
    <row r="472" spans="1:20">
      <c r="A472" s="5" t="s">
        <v>7</v>
      </c>
      <c r="B472" s="10" t="s">
        <v>1809</v>
      </c>
      <c r="C472" s="28" t="s">
        <v>46</v>
      </c>
      <c r="D472" s="38" t="s">
        <v>1382</v>
      </c>
      <c r="E472" s="32">
        <v>24</v>
      </c>
      <c r="F472" s="32">
        <v>9</v>
      </c>
      <c r="G472" s="32">
        <v>2024</v>
      </c>
      <c r="H472" s="36" t="s">
        <v>66</v>
      </c>
      <c r="I472" s="29" t="s">
        <v>886</v>
      </c>
      <c r="J472" s="28" t="s">
        <v>84</v>
      </c>
      <c r="K472" s="3" t="s">
        <v>44</v>
      </c>
      <c r="L472" s="32" t="s">
        <v>30</v>
      </c>
      <c r="M472" s="28" t="s">
        <v>30</v>
      </c>
      <c r="N472" s="28" t="s">
        <v>44</v>
      </c>
      <c r="O472" s="28"/>
      <c r="P472" s="32"/>
      <c r="Q472" s="35">
        <v>10</v>
      </c>
      <c r="R472" s="3" t="str">
        <f>IF(Q472="","",IF(Q472&lt;4,"Alto",IF(Q472&lt;9,"Alto",IF(Q472&lt;14,"Médio","Baixo"))))</f>
        <v>Médio</v>
      </c>
      <c r="S472" s="5" t="s">
        <v>40</v>
      </c>
      <c r="T472" s="4" t="str">
        <f>IF(OR(Tabela1[[#This Row],[Grau de Risco]]="Médio",Tabela1[[#This Row],[Grau de Risco]]="Baixo"),"Não","Sim")</f>
        <v>Não</v>
      </c>
    </row>
    <row r="473" spans="1:20" hidden="1">
      <c r="A473" s="4" t="s">
        <v>8</v>
      </c>
      <c r="B473" s="10" t="s">
        <v>1800</v>
      </c>
      <c r="C473" s="4" t="s">
        <v>41</v>
      </c>
      <c r="D473" s="5" t="s">
        <v>36</v>
      </c>
      <c r="E473" s="3">
        <v>14</v>
      </c>
      <c r="F473" s="3">
        <v>9</v>
      </c>
      <c r="G473" s="3">
        <v>2024</v>
      </c>
      <c r="H473" s="36" t="s">
        <v>66</v>
      </c>
      <c r="I473" s="7" t="s">
        <v>890</v>
      </c>
      <c r="J473" s="4" t="s">
        <v>69</v>
      </c>
      <c r="K473" s="3">
        <v>0</v>
      </c>
      <c r="L473" s="3" t="s">
        <v>80</v>
      </c>
      <c r="M473" s="4" t="s">
        <v>30</v>
      </c>
      <c r="N473" s="4" t="s">
        <v>80</v>
      </c>
      <c r="O473" s="4" t="s">
        <v>45</v>
      </c>
      <c r="P473" s="3" t="s">
        <v>52</v>
      </c>
      <c r="Q473" s="11">
        <v>10</v>
      </c>
      <c r="R473" s="3" t="s">
        <v>31</v>
      </c>
      <c r="S473" s="10" t="s">
        <v>178</v>
      </c>
      <c r="T473" s="4" t="str">
        <f>IF(OR(Tabela1[[#This Row],[Grau de Risco]]="Médio",Tabela1[[#This Row],[Grau de Risco]]="Baixo"),"Não","Sim")</f>
        <v>Não</v>
      </c>
    </row>
    <row r="474" spans="1:20">
      <c r="A474" s="4" t="s">
        <v>8</v>
      </c>
      <c r="B474" s="10" t="s">
        <v>1809</v>
      </c>
      <c r="C474" s="4"/>
      <c r="D474" s="38" t="s">
        <v>1320</v>
      </c>
      <c r="E474" s="3">
        <v>25</v>
      </c>
      <c r="F474" s="3">
        <v>11</v>
      </c>
      <c r="G474" s="3">
        <v>2024</v>
      </c>
      <c r="H474" s="34" t="s">
        <v>59</v>
      </c>
      <c r="I474" s="7" t="s">
        <v>1818</v>
      </c>
      <c r="J474" s="4" t="s">
        <v>61</v>
      </c>
      <c r="K474" s="3">
        <v>0</v>
      </c>
      <c r="L474" s="3" t="s">
        <v>30</v>
      </c>
      <c r="M474" s="4" t="s">
        <v>30</v>
      </c>
      <c r="N474" s="4">
        <v>0</v>
      </c>
      <c r="O474" s="4" t="s">
        <v>498</v>
      </c>
      <c r="P474" s="3" t="s">
        <v>52</v>
      </c>
      <c r="Q474" s="11">
        <v>11</v>
      </c>
      <c r="R474" s="3" t="s">
        <v>31</v>
      </c>
      <c r="S474" s="5" t="s">
        <v>40</v>
      </c>
      <c r="T474" s="4" t="str">
        <f>IF(OR(Tabela1[[#This Row],[Grau de Risco]]="Médio",Tabela1[[#This Row],[Grau de Risco]]="Baixo"),"Não","Sim")</f>
        <v>Não</v>
      </c>
    </row>
    <row r="475" spans="1:20" hidden="1">
      <c r="A475" s="4" t="s">
        <v>2</v>
      </c>
      <c r="B475" s="10" t="s">
        <v>1800</v>
      </c>
      <c r="C475" s="4" t="s">
        <v>81</v>
      </c>
      <c r="D475" s="5" t="s">
        <v>36</v>
      </c>
      <c r="E475" s="3">
        <v>6</v>
      </c>
      <c r="F475" s="3">
        <v>1</v>
      </c>
      <c r="G475" s="3">
        <v>2024</v>
      </c>
      <c r="H475" s="4" t="s">
        <v>86</v>
      </c>
      <c r="I475" s="7" t="s">
        <v>980</v>
      </c>
      <c r="J475" s="4" t="s">
        <v>54</v>
      </c>
      <c r="K475" s="3">
        <v>2</v>
      </c>
      <c r="L475" s="3" t="s">
        <v>30</v>
      </c>
      <c r="M475" s="4" t="s">
        <v>30</v>
      </c>
      <c r="N475" s="4" t="s">
        <v>44</v>
      </c>
      <c r="O475" s="4" t="s">
        <v>45</v>
      </c>
      <c r="P475" s="3" t="s">
        <v>31</v>
      </c>
      <c r="Q475" s="11">
        <v>10</v>
      </c>
      <c r="R475" s="3" t="s">
        <v>31</v>
      </c>
      <c r="S475" s="5" t="s">
        <v>56</v>
      </c>
      <c r="T475" s="4" t="str">
        <f>IF(OR(Tabela1[[#This Row],[Grau de Risco]]="Médio",Tabela1[[#This Row],[Grau de Risco]]="Baixo"),"Não","Sim")</f>
        <v>Não</v>
      </c>
    </row>
    <row r="476" spans="1:20" hidden="1">
      <c r="A476" s="5" t="s">
        <v>7</v>
      </c>
      <c r="B476" s="56" t="s">
        <v>1800</v>
      </c>
      <c r="C476" s="28" t="s">
        <v>252</v>
      </c>
      <c r="D476" s="38" t="s">
        <v>1320</v>
      </c>
      <c r="E476" s="32">
        <v>2</v>
      </c>
      <c r="F476" s="32">
        <v>12</v>
      </c>
      <c r="G476" s="32">
        <v>2024</v>
      </c>
      <c r="H476" s="5" t="s">
        <v>48</v>
      </c>
      <c r="I476" s="29" t="s">
        <v>1017</v>
      </c>
      <c r="J476" s="28" t="s">
        <v>54</v>
      </c>
      <c r="K476" s="32" t="s">
        <v>80</v>
      </c>
      <c r="L476" s="32" t="s">
        <v>80</v>
      </c>
      <c r="M476" s="28" t="s">
        <v>30</v>
      </c>
      <c r="N476" s="28" t="s">
        <v>80</v>
      </c>
      <c r="O476" s="28" t="s">
        <v>4</v>
      </c>
      <c r="P476" s="32"/>
      <c r="Q476" s="35">
        <v>11</v>
      </c>
      <c r="R476" s="32" t="s">
        <v>31</v>
      </c>
      <c r="S476" s="33" t="s">
        <v>178</v>
      </c>
      <c r="T476" s="4" t="str">
        <f>IF(OR(Tabela1[[#This Row],[Grau de Risco]]="Médio",Tabela1[[#This Row],[Grau de Risco]]="Baixo"),"Não","Sim")</f>
        <v>Não</v>
      </c>
    </row>
    <row r="477" spans="1:20">
      <c r="A477" s="47" t="s">
        <v>6</v>
      </c>
      <c r="B477" s="10" t="s">
        <v>1809</v>
      </c>
      <c r="C477" s="4" t="s">
        <v>41</v>
      </c>
      <c r="D477" s="5" t="s">
        <v>36</v>
      </c>
      <c r="E477" s="3">
        <v>30</v>
      </c>
      <c r="F477" s="3">
        <v>11</v>
      </c>
      <c r="G477" s="3">
        <v>2024</v>
      </c>
      <c r="H477" s="4" t="s">
        <v>27</v>
      </c>
      <c r="I477" s="7" t="s">
        <v>1049</v>
      </c>
      <c r="J477" s="4" t="s">
        <v>290</v>
      </c>
      <c r="K477" s="3"/>
      <c r="L477" s="3"/>
      <c r="M477" s="4"/>
      <c r="N477" s="4"/>
      <c r="O477" s="4"/>
      <c r="P477" s="3" t="s">
        <v>31</v>
      </c>
      <c r="Q477" s="11">
        <v>10</v>
      </c>
      <c r="R477" s="3" t="s">
        <v>31</v>
      </c>
      <c r="S477" s="5" t="s">
        <v>56</v>
      </c>
      <c r="T477" s="4" t="str">
        <f>IF(OR(Tabela1[[#This Row],[Grau de Risco]]="Médio",Tabela1[[#This Row],[Grau de Risco]]="Baixo"),"Não","Sim")</f>
        <v>Não</v>
      </c>
    </row>
    <row r="478" spans="1:20">
      <c r="A478" s="4" t="s">
        <v>8</v>
      </c>
      <c r="B478" s="10" t="s">
        <v>1809</v>
      </c>
      <c r="C478" s="4" t="s">
        <v>81</v>
      </c>
      <c r="D478" s="58" t="s">
        <v>1409</v>
      </c>
      <c r="E478" s="3">
        <v>20</v>
      </c>
      <c r="F478" s="3">
        <v>2</v>
      </c>
      <c r="G478" s="3">
        <v>2025</v>
      </c>
      <c r="H478" s="36" t="s">
        <v>112</v>
      </c>
      <c r="I478" s="7" t="s">
        <v>1172</v>
      </c>
      <c r="J478" s="4" t="s">
        <v>35</v>
      </c>
      <c r="K478" s="3" t="s">
        <v>44</v>
      </c>
      <c r="L478" s="3" t="s">
        <v>44</v>
      </c>
      <c r="M478" s="4"/>
      <c r="N478" s="4" t="s">
        <v>44</v>
      </c>
      <c r="O478" s="4" t="s">
        <v>301</v>
      </c>
      <c r="P478" s="3" t="s">
        <v>31</v>
      </c>
      <c r="Q478" s="11">
        <v>4</v>
      </c>
      <c r="R478" s="3" t="s">
        <v>102</v>
      </c>
      <c r="S478" s="10" t="s">
        <v>63</v>
      </c>
      <c r="T478" s="4" t="str">
        <f>IF(OR(Tabela1[[#This Row],[Grau de Risco]]="Médio",Tabela1[[#This Row],[Grau de Risco]]="Baixo"),"Não","Sim")</f>
        <v>Sim</v>
      </c>
    </row>
    <row r="479" spans="1:20">
      <c r="A479" s="4" t="s">
        <v>7</v>
      </c>
      <c r="B479" s="10" t="s">
        <v>1809</v>
      </c>
      <c r="C479" s="4" t="s">
        <v>252</v>
      </c>
      <c r="D479" s="5" t="s">
        <v>148</v>
      </c>
      <c r="E479" s="3">
        <v>23</v>
      </c>
      <c r="F479" s="3">
        <v>2</v>
      </c>
      <c r="G479" s="3">
        <v>2025</v>
      </c>
      <c r="H479" s="36" t="s">
        <v>66</v>
      </c>
      <c r="I479" s="7" t="s">
        <v>1627</v>
      </c>
      <c r="J479" s="4" t="s">
        <v>290</v>
      </c>
      <c r="K479" s="3"/>
      <c r="L479" s="3"/>
      <c r="M479" s="4"/>
      <c r="N479" s="4"/>
      <c r="O479" s="4"/>
      <c r="P479" s="3"/>
      <c r="Q479" s="11">
        <v>10</v>
      </c>
      <c r="R479" s="3" t="s">
        <v>31</v>
      </c>
      <c r="S479" s="5" t="s">
        <v>56</v>
      </c>
      <c r="T479" s="4" t="str">
        <f>IF(OR(Tabela1[[#This Row],[Grau de Risco]]="Médio",Tabela1[[#This Row],[Grau de Risco]]="Baixo"),"Não","Sim")</f>
        <v>Não</v>
      </c>
    </row>
    <row r="480" spans="1:20" hidden="1">
      <c r="A480" s="28" t="s">
        <v>2</v>
      </c>
      <c r="B480" s="33" t="s">
        <v>1797</v>
      </c>
      <c r="C480" s="28" t="s">
        <v>81</v>
      </c>
      <c r="D480" s="38" t="s">
        <v>1382</v>
      </c>
      <c r="E480" s="32">
        <v>30</v>
      </c>
      <c r="F480" s="32">
        <v>4</v>
      </c>
      <c r="G480" s="32">
        <v>2025</v>
      </c>
      <c r="H480" s="36" t="s">
        <v>107</v>
      </c>
      <c r="I480" s="29" t="s">
        <v>1240</v>
      </c>
      <c r="J480" s="28" t="s">
        <v>111</v>
      </c>
      <c r="K480" s="32">
        <v>5</v>
      </c>
      <c r="L480" s="32"/>
      <c r="M480" s="28"/>
      <c r="N480" s="28"/>
      <c r="O480" s="28" t="s">
        <v>74</v>
      </c>
      <c r="P480" s="32" t="s">
        <v>31</v>
      </c>
      <c r="Q480" s="11">
        <v>11</v>
      </c>
      <c r="R480" s="32" t="s">
        <v>31</v>
      </c>
      <c r="S480" s="5" t="s">
        <v>56</v>
      </c>
      <c r="T480" s="4" t="str">
        <f>IF(OR(Tabela1[[#This Row],[Grau de Risco]]="Médio",Tabela1[[#This Row],[Grau de Risco]]="Baixo"),"Não","Sim")</f>
        <v>Não</v>
      </c>
    </row>
    <row r="481" spans="1:20">
      <c r="A481" s="4" t="s">
        <v>1110</v>
      </c>
      <c r="B481" s="10" t="s">
        <v>1809</v>
      </c>
      <c r="C481" s="4" t="s">
        <v>26</v>
      </c>
      <c r="D481" s="58" t="s">
        <v>1409</v>
      </c>
      <c r="E481" s="3">
        <v>22</v>
      </c>
      <c r="F481" s="3">
        <v>5</v>
      </c>
      <c r="G481" s="3">
        <v>2025</v>
      </c>
      <c r="H481" s="34" t="s">
        <v>59</v>
      </c>
      <c r="I481" s="7" t="s">
        <v>1628</v>
      </c>
      <c r="J481" s="4" t="s">
        <v>43</v>
      </c>
      <c r="K481" s="3" t="s">
        <v>44</v>
      </c>
      <c r="L481" s="3" t="s">
        <v>44</v>
      </c>
      <c r="M481" s="4"/>
      <c r="N481" s="4" t="s">
        <v>44</v>
      </c>
      <c r="O481" s="4"/>
      <c r="P481" s="3" t="s">
        <v>52</v>
      </c>
      <c r="Q481" s="11">
        <v>11</v>
      </c>
      <c r="R481" s="3" t="s">
        <v>31</v>
      </c>
      <c r="S481" s="10" t="s">
        <v>63</v>
      </c>
      <c r="T481" s="4" t="str">
        <f>IF(OR(Tabela1[[#This Row],[Grau de Risco]]="Médio",Tabela1[[#This Row],[Grau de Risco]]="Baixo"),"Não","Sim")</f>
        <v>Não</v>
      </c>
    </row>
    <row r="482" spans="1:20" hidden="1">
      <c r="A482" s="4" t="s">
        <v>8</v>
      </c>
      <c r="B482" s="10" t="s">
        <v>1797</v>
      </c>
      <c r="C482" s="4" t="s">
        <v>81</v>
      </c>
      <c r="D482" s="38" t="s">
        <v>1393</v>
      </c>
      <c r="E482" s="3">
        <v>24</v>
      </c>
      <c r="F482" s="3">
        <v>6</v>
      </c>
      <c r="G482" s="3">
        <v>2025</v>
      </c>
      <c r="H482" s="36" t="s">
        <v>66</v>
      </c>
      <c r="I482" s="7" t="s">
        <v>1322</v>
      </c>
      <c r="J482" s="4" t="s">
        <v>50</v>
      </c>
      <c r="K482" s="3" t="s">
        <v>44</v>
      </c>
      <c r="L482" s="3" t="s">
        <v>44</v>
      </c>
      <c r="M482" s="4" t="s">
        <v>30</v>
      </c>
      <c r="N482" s="4" t="s">
        <v>44</v>
      </c>
      <c r="O482" s="4" t="s">
        <v>101</v>
      </c>
      <c r="P482" s="3" t="s">
        <v>52</v>
      </c>
      <c r="Q482" s="11">
        <v>14</v>
      </c>
      <c r="R482" s="3" t="s">
        <v>52</v>
      </c>
      <c r="S482" s="10" t="s">
        <v>63</v>
      </c>
      <c r="T482" s="4" t="str">
        <f>IF(OR(Tabela1[[#This Row],[Grau de Risco]]="Médio",Tabela1[[#This Row],[Grau de Risco]]="Baixo"),"Não","Sim")</f>
        <v>Não</v>
      </c>
    </row>
    <row r="483" spans="1:20">
      <c r="A483" s="4" t="s">
        <v>7</v>
      </c>
      <c r="B483" s="10" t="s">
        <v>1809</v>
      </c>
      <c r="C483" s="4" t="s">
        <v>252</v>
      </c>
      <c r="D483" s="58" t="s">
        <v>1409</v>
      </c>
      <c r="E483" s="3">
        <v>3</v>
      </c>
      <c r="F483" s="3">
        <v>7</v>
      </c>
      <c r="G483" s="3">
        <v>2025</v>
      </c>
      <c r="H483" s="36" t="s">
        <v>112</v>
      </c>
      <c r="I483" s="7" t="s">
        <v>1629</v>
      </c>
      <c r="J483" s="4" t="s">
        <v>290</v>
      </c>
      <c r="K483" s="3">
        <v>0</v>
      </c>
      <c r="L483" s="3">
        <v>0</v>
      </c>
      <c r="M483" s="4">
        <v>0</v>
      </c>
      <c r="N483" s="4">
        <v>0</v>
      </c>
      <c r="O483" s="4"/>
      <c r="P483" s="3" t="s">
        <v>31</v>
      </c>
      <c r="Q483" s="11">
        <v>7</v>
      </c>
      <c r="R483" s="3" t="s">
        <v>102</v>
      </c>
      <c r="S483" s="5" t="s">
        <v>56</v>
      </c>
      <c r="T483" s="4" t="str">
        <f>IF(OR(Tabela1[[#This Row],[Grau de Risco]]="Médio",Tabela1[[#This Row],[Grau de Risco]]="Baixo"),"Não","Sim")</f>
        <v>Sim</v>
      </c>
    </row>
    <row r="484" spans="1:20" hidden="1">
      <c r="A484" s="28" t="s">
        <v>10</v>
      </c>
      <c r="B484" s="33" t="s">
        <v>1797</v>
      </c>
      <c r="C484" s="28" t="s">
        <v>252</v>
      </c>
      <c r="D484" s="28" t="s">
        <v>1409</v>
      </c>
      <c r="E484" s="32">
        <v>14</v>
      </c>
      <c r="F484" s="32">
        <v>8</v>
      </c>
      <c r="G484" s="32">
        <v>2025</v>
      </c>
      <c r="H484" s="34" t="s">
        <v>112</v>
      </c>
      <c r="I484" s="29" t="s">
        <v>1398</v>
      </c>
      <c r="J484" s="28" t="s">
        <v>111</v>
      </c>
      <c r="K484" s="32"/>
      <c r="L484" s="32"/>
      <c r="M484" s="28" t="s">
        <v>25</v>
      </c>
      <c r="N484" s="28"/>
      <c r="O484" s="28" t="s">
        <v>101</v>
      </c>
      <c r="P484" s="32" t="s">
        <v>52</v>
      </c>
      <c r="Q484" s="35">
        <v>11</v>
      </c>
      <c r="R484" s="32" t="s">
        <v>31</v>
      </c>
      <c r="S484" s="33" t="s">
        <v>63</v>
      </c>
      <c r="T484" s="4" t="str">
        <f>IF(OR(Tabela1[[#This Row],[Grau de Risco]]="Médio",Tabela1[[#This Row],[Grau de Risco]]="Baixo"),"Não","Sim")</f>
        <v>Não</v>
      </c>
    </row>
    <row r="485" spans="1:20">
      <c r="A485" s="28" t="s">
        <v>7</v>
      </c>
      <c r="B485" s="10" t="s">
        <v>1809</v>
      </c>
      <c r="C485" s="28" t="s">
        <v>81</v>
      </c>
      <c r="D485" s="36" t="s">
        <v>36</v>
      </c>
      <c r="E485" s="32">
        <v>20</v>
      </c>
      <c r="F485" s="32">
        <v>9</v>
      </c>
      <c r="G485" s="32">
        <v>2025</v>
      </c>
      <c r="H485" s="36" t="s">
        <v>71</v>
      </c>
      <c r="I485" s="29" t="s">
        <v>1422</v>
      </c>
      <c r="J485" s="28" t="s">
        <v>38</v>
      </c>
      <c r="K485" s="32" t="s">
        <v>1581</v>
      </c>
      <c r="L485" s="32" t="s">
        <v>44</v>
      </c>
      <c r="M485" s="28" t="s">
        <v>30</v>
      </c>
      <c r="N485" s="28" t="s">
        <v>44</v>
      </c>
      <c r="O485" s="28" t="s">
        <v>44</v>
      </c>
      <c r="P485" s="32"/>
      <c r="Q485" s="35">
        <v>11</v>
      </c>
      <c r="R485" s="32" t="s">
        <v>31</v>
      </c>
      <c r="S485" s="57" t="s">
        <v>1423</v>
      </c>
      <c r="T485" s="4" t="str">
        <f>IF(OR(Tabela1[[#This Row],[Grau de Risco]]="Médio",Tabela1[[#This Row],[Grau de Risco]]="Baixo"),"Não","Sim")</f>
        <v>Não</v>
      </c>
    </row>
    <row r="486" spans="1:20" hidden="1">
      <c r="A486" s="28" t="s">
        <v>7</v>
      </c>
      <c r="B486" s="33" t="s">
        <v>1797</v>
      </c>
      <c r="C486" s="28" t="s">
        <v>81</v>
      </c>
      <c r="D486" s="28" t="s">
        <v>1382</v>
      </c>
      <c r="E486" s="32">
        <v>3</v>
      </c>
      <c r="F486" s="32">
        <v>9</v>
      </c>
      <c r="G486" s="32">
        <v>2025</v>
      </c>
      <c r="H486" s="34" t="s">
        <v>66</v>
      </c>
      <c r="I486" s="29" t="s">
        <v>1427</v>
      </c>
      <c r="J486" s="28" t="s">
        <v>111</v>
      </c>
      <c r="K486" s="32"/>
      <c r="L486" s="32"/>
      <c r="M486" s="28"/>
      <c r="N486" s="28"/>
      <c r="O486" s="28" t="s">
        <v>101</v>
      </c>
      <c r="P486" s="32"/>
      <c r="Q486" s="35">
        <v>11</v>
      </c>
      <c r="R486" s="32" t="s">
        <v>31</v>
      </c>
      <c r="S486" s="33" t="s">
        <v>63</v>
      </c>
      <c r="T486" s="4" t="str">
        <f>IF(OR(Tabela1[[#This Row],[Grau de Risco]]="Médio",Tabela1[[#This Row],[Grau de Risco]]="Baixo"),"Não","Sim")</f>
        <v>Não</v>
      </c>
    </row>
    <row r="487" spans="1:20">
      <c r="A487" s="28" t="s">
        <v>10</v>
      </c>
      <c r="B487" s="10" t="s">
        <v>1809</v>
      </c>
      <c r="C487" s="28" t="s">
        <v>252</v>
      </c>
      <c r="D487" s="28" t="s">
        <v>47</v>
      </c>
      <c r="E487" s="32">
        <v>19</v>
      </c>
      <c r="F487" s="32">
        <v>9</v>
      </c>
      <c r="G487" s="32">
        <v>2025</v>
      </c>
      <c r="H487" s="34" t="s">
        <v>112</v>
      </c>
      <c r="I487" s="7" t="s">
        <v>1446</v>
      </c>
      <c r="J487" s="28" t="s">
        <v>290</v>
      </c>
      <c r="K487" s="32">
        <v>0</v>
      </c>
      <c r="L487" s="32">
        <v>0</v>
      </c>
      <c r="M487" s="4" t="s">
        <v>25</v>
      </c>
      <c r="N487" s="4">
        <v>0</v>
      </c>
      <c r="O487" s="28"/>
      <c r="P487" s="32" t="s">
        <v>52</v>
      </c>
      <c r="Q487" s="35">
        <v>11</v>
      </c>
      <c r="R487" s="32" t="s">
        <v>31</v>
      </c>
      <c r="S487" s="33" t="s">
        <v>63</v>
      </c>
      <c r="T487" s="4" t="str">
        <f>IF(OR(Tabela1[[#This Row],[Grau de Risco]]="Médio",Tabela1[[#This Row],[Grau de Risco]]="Baixo"),"Não","Sim")</f>
        <v>Não</v>
      </c>
    </row>
    <row r="488" spans="1:20" hidden="1">
      <c r="A488" s="28" t="s">
        <v>8</v>
      </c>
      <c r="B488" s="33" t="s">
        <v>1797</v>
      </c>
      <c r="C488" s="28" t="s">
        <v>41</v>
      </c>
      <c r="D488" s="28" t="s">
        <v>1409</v>
      </c>
      <c r="E488" s="32">
        <v>16</v>
      </c>
      <c r="F488" s="32">
        <v>10</v>
      </c>
      <c r="G488" s="32">
        <v>2025</v>
      </c>
      <c r="H488" s="34" t="s">
        <v>82</v>
      </c>
      <c r="I488" s="7" t="s">
        <v>1486</v>
      </c>
      <c r="J488" s="28" t="s">
        <v>575</v>
      </c>
      <c r="K488" s="3">
        <v>0</v>
      </c>
      <c r="L488" s="3">
        <v>0</v>
      </c>
      <c r="M488" s="4" t="s">
        <v>25</v>
      </c>
      <c r="N488" s="4">
        <v>0</v>
      </c>
      <c r="O488" s="28" t="s">
        <v>55</v>
      </c>
      <c r="P488" s="32" t="s">
        <v>52</v>
      </c>
      <c r="Q488" s="35">
        <v>14</v>
      </c>
      <c r="R488" s="32" t="s">
        <v>52</v>
      </c>
      <c r="S488" s="33" t="s">
        <v>56</v>
      </c>
      <c r="T488" s="4" t="str">
        <f>IF(OR(Tabela1[[#This Row],[Grau de Risco]]="Médio",Tabela1[[#This Row],[Grau de Risco]]="Baixo"),"Não","Sim")</f>
        <v>Não</v>
      </c>
    </row>
    <row r="489" spans="1:20" hidden="1">
      <c r="A489" s="28" t="s">
        <v>7</v>
      </c>
      <c r="B489" s="33" t="s">
        <v>1800</v>
      </c>
      <c r="C489" s="28" t="s">
        <v>41</v>
      </c>
      <c r="D489" s="38" t="s">
        <v>1320</v>
      </c>
      <c r="E489" s="32">
        <v>20</v>
      </c>
      <c r="F489" s="32">
        <v>10</v>
      </c>
      <c r="G489" s="32">
        <v>2025</v>
      </c>
      <c r="H489" s="38" t="s">
        <v>48</v>
      </c>
      <c r="I489" s="7" t="s">
        <v>1506</v>
      </c>
      <c r="J489" s="28" t="s">
        <v>229</v>
      </c>
      <c r="K489" s="32" t="s">
        <v>80</v>
      </c>
      <c r="L489" s="32" t="s">
        <v>80</v>
      </c>
      <c r="M489" s="28" t="s">
        <v>30</v>
      </c>
      <c r="N489" s="28" t="s">
        <v>80</v>
      </c>
      <c r="O489" s="4" t="s">
        <v>167</v>
      </c>
      <c r="P489" s="32" t="s">
        <v>44</v>
      </c>
      <c r="Q489" s="35">
        <v>4</v>
      </c>
      <c r="R489" s="3" t="s">
        <v>102</v>
      </c>
      <c r="S489" s="33" t="s">
        <v>63</v>
      </c>
      <c r="T489" s="4" t="str">
        <f>IF(OR(Tabela1[[#This Row],[Grau de Risco]]="Médio",Tabela1[[#This Row],[Grau de Risco]]="Baixo"),"Não","Sim")</f>
        <v>Sim</v>
      </c>
    </row>
    <row r="490" spans="1:20" hidden="1">
      <c r="A490" s="28" t="s">
        <v>1110</v>
      </c>
      <c r="B490" s="33" t="s">
        <v>1797</v>
      </c>
      <c r="C490" s="28" t="s">
        <v>125</v>
      </c>
      <c r="D490" s="28" t="s">
        <v>47</v>
      </c>
      <c r="E490" s="32">
        <v>3</v>
      </c>
      <c r="F490" s="32">
        <v>10</v>
      </c>
      <c r="G490" s="32">
        <v>2025</v>
      </c>
      <c r="H490" s="34" t="s">
        <v>375</v>
      </c>
      <c r="I490" s="29" t="s">
        <v>1630</v>
      </c>
      <c r="J490" s="28" t="s">
        <v>29</v>
      </c>
      <c r="K490" s="32" t="s">
        <v>44</v>
      </c>
      <c r="L490" s="32" t="s">
        <v>44</v>
      </c>
      <c r="M490" s="28"/>
      <c r="N490" s="28" t="s">
        <v>44</v>
      </c>
      <c r="O490" s="28"/>
      <c r="P490" s="32"/>
      <c r="Q490" s="35">
        <v>14</v>
      </c>
      <c r="R490" s="32" t="s">
        <v>52</v>
      </c>
      <c r="S490" s="33" t="s">
        <v>63</v>
      </c>
      <c r="T490" s="4" t="str">
        <f>IF(OR(Tabela1[[#This Row],[Grau de Risco]]="Médio",Tabela1[[#This Row],[Grau de Risco]]="Baixo"),"Não","Sim")</f>
        <v>Não</v>
      </c>
    </row>
    <row r="491" spans="1:20" hidden="1">
      <c r="A491" s="4" t="s">
        <v>9</v>
      </c>
      <c r="B491" s="10" t="s">
        <v>1797</v>
      </c>
      <c r="C491" s="4" t="s">
        <v>81</v>
      </c>
      <c r="D491" s="5" t="s">
        <v>1320</v>
      </c>
      <c r="E491" s="3">
        <v>28</v>
      </c>
      <c r="F491" s="3">
        <v>7</v>
      </c>
      <c r="G491" s="3">
        <v>2025</v>
      </c>
      <c r="H491" s="5" t="s">
        <v>66</v>
      </c>
      <c r="I491" s="7" t="s">
        <v>1526</v>
      </c>
      <c r="J491" s="4" t="s">
        <v>76</v>
      </c>
      <c r="K491" s="3">
        <v>1</v>
      </c>
      <c r="L491" s="3">
        <v>0</v>
      </c>
      <c r="M491" s="4" t="s">
        <v>30</v>
      </c>
      <c r="N491" s="4"/>
      <c r="O491" s="4" t="s">
        <v>101</v>
      </c>
      <c r="P491" s="3" t="s">
        <v>31</v>
      </c>
      <c r="Q491" s="11">
        <v>10</v>
      </c>
      <c r="R491" s="3" t="s">
        <v>31</v>
      </c>
      <c r="S491" s="10" t="s">
        <v>63</v>
      </c>
      <c r="T491" s="4" t="str">
        <f>IF(OR(Tabela1[[#This Row],[Grau de Risco]]="Médio",Tabela1[[#This Row],[Grau de Risco]]="Baixo"),"Não","Sim")</f>
        <v>Não</v>
      </c>
    </row>
    <row r="492" spans="1:20">
      <c r="A492" s="28" t="s">
        <v>7</v>
      </c>
      <c r="B492" s="10" t="s">
        <v>1809</v>
      </c>
      <c r="C492" s="4" t="s">
        <v>81</v>
      </c>
      <c r="D492" s="4" t="s">
        <v>1320</v>
      </c>
      <c r="E492" s="3">
        <v>10</v>
      </c>
      <c r="F492" s="3">
        <v>11</v>
      </c>
      <c r="G492" s="3">
        <v>2025</v>
      </c>
      <c r="H492" s="21" t="s">
        <v>48</v>
      </c>
      <c r="I492" s="7" t="s">
        <v>1631</v>
      </c>
      <c r="J492" s="4" t="s">
        <v>69</v>
      </c>
      <c r="K492" s="3" t="s">
        <v>44</v>
      </c>
      <c r="L492" s="3" t="s">
        <v>44</v>
      </c>
      <c r="M492" s="4"/>
      <c r="N492" s="4" t="s">
        <v>44</v>
      </c>
      <c r="O492" s="4"/>
      <c r="P492" s="3"/>
      <c r="Q492" s="11">
        <v>15</v>
      </c>
      <c r="R492" s="3" t="str">
        <f>IF(Q492="","",IF(Q492&lt;4,"Crítico",IF(Q492&lt;9,"Alto",IF(Q492&lt;14,"Médio","Baixo"))))</f>
        <v>Baixo</v>
      </c>
      <c r="S492" s="10" t="s">
        <v>63</v>
      </c>
      <c r="T492" s="4" t="str">
        <f>IF(OR(Tabela1[[#This Row],[Grau de Risco]]="Médio",Tabela1[[#This Row],[Grau de Risco]]="Baixo"),"Não","Sim")</f>
        <v>Não</v>
      </c>
    </row>
    <row r="493" spans="1:20">
      <c r="A493" s="4" t="s">
        <v>10</v>
      </c>
      <c r="B493" s="10" t="s">
        <v>1809</v>
      </c>
      <c r="C493" s="4" t="s">
        <v>41</v>
      </c>
      <c r="D493" s="78" t="s">
        <v>148</v>
      </c>
      <c r="E493" s="3">
        <v>16</v>
      </c>
      <c r="F493" s="3">
        <v>11</v>
      </c>
      <c r="G493" s="3">
        <v>2025</v>
      </c>
      <c r="H493" s="78" t="s">
        <v>109</v>
      </c>
      <c r="I493" s="7" t="s">
        <v>1565</v>
      </c>
      <c r="J493" s="4" t="s">
        <v>84</v>
      </c>
      <c r="K493" s="3" t="s">
        <v>1581</v>
      </c>
      <c r="L493" s="3" t="s">
        <v>44</v>
      </c>
      <c r="M493" s="4" t="s">
        <v>30</v>
      </c>
      <c r="N493" s="4" t="s">
        <v>44</v>
      </c>
      <c r="O493" s="4" t="s">
        <v>1254</v>
      </c>
      <c r="P493" s="3" t="s">
        <v>52</v>
      </c>
      <c r="Q493" s="11">
        <v>11</v>
      </c>
      <c r="R493" s="3" t="s">
        <v>31</v>
      </c>
      <c r="S493" s="10" t="s">
        <v>63</v>
      </c>
      <c r="T493" s="4" t="str">
        <f>IF(OR(Tabela1[[#This Row],[Grau de Risco]]="Médio",Tabela1[[#This Row],[Grau de Risco]]="Baixo"),"Não","Sim")</f>
        <v>Não</v>
      </c>
    </row>
    <row r="494" spans="1:20" hidden="1">
      <c r="A494" s="4" t="s">
        <v>8</v>
      </c>
      <c r="B494" s="10" t="s">
        <v>1793</v>
      </c>
      <c r="C494" s="4" t="s">
        <v>26</v>
      </c>
      <c r="D494" s="38" t="s">
        <v>1320</v>
      </c>
      <c r="E494" s="3">
        <v>13</v>
      </c>
      <c r="F494" s="3">
        <v>1</v>
      </c>
      <c r="G494" s="3">
        <v>2020</v>
      </c>
      <c r="H494" s="36" t="s">
        <v>33</v>
      </c>
      <c r="I494" s="7" t="s">
        <v>131</v>
      </c>
      <c r="J494" s="4" t="s">
        <v>50</v>
      </c>
      <c r="K494" s="3" t="s">
        <v>62</v>
      </c>
      <c r="L494" s="3">
        <v>0</v>
      </c>
      <c r="M494" s="4" t="s">
        <v>30</v>
      </c>
      <c r="N494" s="4">
        <v>0</v>
      </c>
      <c r="O494" s="4" t="s">
        <v>45</v>
      </c>
      <c r="P494" s="3" t="s">
        <v>52</v>
      </c>
      <c r="Q494" s="11">
        <v>14</v>
      </c>
      <c r="R494" s="3" t="s">
        <v>52</v>
      </c>
      <c r="S494" s="5" t="s">
        <v>56</v>
      </c>
      <c r="T494" s="4" t="str">
        <f>IF(OR(Tabela1[[#This Row],[Grau de Risco]]="Médio",Tabela1[[#This Row],[Grau de Risco]]="Baixo"),"Não","Sim")</f>
        <v>Não</v>
      </c>
    </row>
    <row r="495" spans="1:20">
      <c r="A495" s="5" t="s">
        <v>8</v>
      </c>
      <c r="B495" s="10" t="s">
        <v>1809</v>
      </c>
      <c r="C495" s="5" t="s">
        <v>26</v>
      </c>
      <c r="D495" s="38" t="s">
        <v>1382</v>
      </c>
      <c r="E495" s="2">
        <v>20</v>
      </c>
      <c r="F495" s="2">
        <v>4</v>
      </c>
      <c r="G495" s="2">
        <v>2022</v>
      </c>
      <c r="H495" s="36" t="s">
        <v>33</v>
      </c>
      <c r="I495" s="5" t="s">
        <v>286</v>
      </c>
      <c r="J495" s="5" t="s">
        <v>54</v>
      </c>
      <c r="K495" s="2">
        <v>0</v>
      </c>
      <c r="L495" s="2">
        <v>0</v>
      </c>
      <c r="M495" s="5" t="s">
        <v>30</v>
      </c>
      <c r="N495" s="5">
        <v>0</v>
      </c>
      <c r="O495" s="5" t="s">
        <v>4</v>
      </c>
      <c r="P495" s="3" t="s">
        <v>52</v>
      </c>
      <c r="Q495" s="2">
        <v>6</v>
      </c>
      <c r="R495" s="2" t="s">
        <v>52</v>
      </c>
      <c r="S495" s="5" t="s">
        <v>56</v>
      </c>
      <c r="T495" s="4" t="str">
        <f>IF(OR(Tabela1[[#This Row],[Grau de Risco]]="Médio",Tabela1[[#This Row],[Grau de Risco]]="Baixo"),"Não","Sim")</f>
        <v>Não</v>
      </c>
    </row>
    <row r="496" spans="1:20">
      <c r="A496" s="5" t="s">
        <v>8</v>
      </c>
      <c r="B496" s="10" t="s">
        <v>1809</v>
      </c>
      <c r="C496" s="5" t="s">
        <v>81</v>
      </c>
      <c r="D496" s="38" t="s">
        <v>47</v>
      </c>
      <c r="E496" s="2">
        <v>23</v>
      </c>
      <c r="F496" s="2">
        <v>9</v>
      </c>
      <c r="G496" s="2">
        <v>2022</v>
      </c>
      <c r="H496" s="36" t="s">
        <v>112</v>
      </c>
      <c r="I496" s="5" t="s">
        <v>306</v>
      </c>
      <c r="J496" s="5" t="s">
        <v>54</v>
      </c>
      <c r="K496" s="2">
        <v>0</v>
      </c>
      <c r="L496" s="2">
        <v>0</v>
      </c>
      <c r="M496" s="5" t="s">
        <v>30</v>
      </c>
      <c r="O496" s="5" t="s">
        <v>85</v>
      </c>
      <c r="P496" s="2" t="s">
        <v>31</v>
      </c>
      <c r="Q496" s="2">
        <v>4</v>
      </c>
      <c r="R496" s="2" t="s">
        <v>102</v>
      </c>
      <c r="S496" s="5" t="s">
        <v>40</v>
      </c>
      <c r="T496" s="4" t="str">
        <f>IF(OR(Tabela1[[#This Row],[Grau de Risco]]="Médio",Tabela1[[#This Row],[Grau de Risco]]="Baixo"),"Não","Sim")</f>
        <v>Sim</v>
      </c>
    </row>
    <row r="497" spans="1:20" hidden="1">
      <c r="A497" s="4" t="s">
        <v>175</v>
      </c>
      <c r="B497" s="10" t="s">
        <v>1793</v>
      </c>
      <c r="C497" s="4"/>
      <c r="D497" s="58" t="s">
        <v>1409</v>
      </c>
      <c r="E497" s="3">
        <v>2</v>
      </c>
      <c r="F497" s="3">
        <v>6</v>
      </c>
      <c r="G497" s="3">
        <v>2022</v>
      </c>
      <c r="H497" s="21"/>
      <c r="I497" s="7" t="s">
        <v>351</v>
      </c>
      <c r="J497" s="4" t="s">
        <v>111</v>
      </c>
      <c r="K497" s="3">
        <v>30</v>
      </c>
      <c r="L497" s="3">
        <v>0</v>
      </c>
      <c r="M497" s="4" t="s">
        <v>30</v>
      </c>
      <c r="N497" s="4"/>
      <c r="O497" s="4" t="s">
        <v>352</v>
      </c>
      <c r="P497" s="3" t="s">
        <v>31</v>
      </c>
      <c r="Q497" s="11">
        <v>13</v>
      </c>
      <c r="R497" s="3" t="str">
        <f>IF(Q497="","",IF(Q497&lt;4,"Crítico",IF(Q497&lt;9,"Alto",IF(Q497&lt;14,"Médio","Baixo"))))</f>
        <v>Médio</v>
      </c>
      <c r="S497" s="10" t="s">
        <v>178</v>
      </c>
      <c r="T497" s="4" t="str">
        <f>IF(OR(Tabela1[[#This Row],[Grau de Risco]]="Médio",Tabela1[[#This Row],[Grau de Risco]]="Baixo"),"Não","Sim")</f>
        <v>Não</v>
      </c>
    </row>
    <row r="498" spans="1:20" hidden="1">
      <c r="A498" s="5" t="s">
        <v>2</v>
      </c>
      <c r="B498" s="6" t="s">
        <v>1793</v>
      </c>
      <c r="C498" s="4" t="s">
        <v>252</v>
      </c>
      <c r="D498" s="38" t="s">
        <v>1382</v>
      </c>
      <c r="E498" s="3">
        <v>5</v>
      </c>
      <c r="F498" s="2">
        <v>4</v>
      </c>
      <c r="G498" s="3">
        <v>2023</v>
      </c>
      <c r="H498" s="36" t="s">
        <v>82</v>
      </c>
      <c r="I498" s="7" t="s">
        <v>411</v>
      </c>
      <c r="J498" s="4" t="s">
        <v>29</v>
      </c>
      <c r="K498" s="3">
        <v>30</v>
      </c>
      <c r="L498" s="3">
        <v>0</v>
      </c>
      <c r="M498" s="5" t="s">
        <v>30</v>
      </c>
      <c r="N498" s="4">
        <v>30</v>
      </c>
      <c r="O498" s="4" t="s">
        <v>159</v>
      </c>
      <c r="P498" s="3" t="s">
        <v>31</v>
      </c>
      <c r="Q498" s="3">
        <v>9</v>
      </c>
      <c r="R498" s="2" t="s">
        <v>31</v>
      </c>
      <c r="S498" s="5" t="s">
        <v>56</v>
      </c>
      <c r="T498" s="4" t="str">
        <f>IF(OR(Tabela1[[#This Row],[Grau de Risco]]="Médio",Tabela1[[#This Row],[Grau de Risco]]="Baixo"),"Não","Sim")</f>
        <v>Não</v>
      </c>
    </row>
    <row r="499" spans="1:20">
      <c r="A499" s="4" t="s">
        <v>2</v>
      </c>
      <c r="B499" s="10" t="s">
        <v>1809</v>
      </c>
      <c r="C499" s="4" t="s">
        <v>133</v>
      </c>
      <c r="D499" s="38" t="s">
        <v>1320</v>
      </c>
      <c r="E499" s="3">
        <v>30</v>
      </c>
      <c r="F499" s="3">
        <v>1</v>
      </c>
      <c r="G499" s="3">
        <v>2023</v>
      </c>
      <c r="H499" s="5" t="s">
        <v>71</v>
      </c>
      <c r="I499" s="7" t="s">
        <v>472</v>
      </c>
      <c r="J499" s="4" t="s">
        <v>111</v>
      </c>
      <c r="K499" s="3">
        <v>5</v>
      </c>
      <c r="L499" s="3">
        <v>0</v>
      </c>
      <c r="M499" s="4" t="s">
        <v>30</v>
      </c>
      <c r="N499" s="4"/>
      <c r="O499" s="4" t="s">
        <v>159</v>
      </c>
      <c r="P499" s="3" t="s">
        <v>52</v>
      </c>
      <c r="Q499" s="11">
        <v>14</v>
      </c>
      <c r="R499" s="3" t="str">
        <f>IF(Q499="","",IF(Q499&lt;4,"Crítico",IF(Q499&lt;9,"Alto",IF(Q499&lt;14,"Médio","Baixo"))))</f>
        <v>Baixo</v>
      </c>
      <c r="S499" s="5" t="s">
        <v>56</v>
      </c>
      <c r="T499" s="4" t="str">
        <f>IF(OR(Tabela1[[#This Row],[Grau de Risco]]="Médio",Tabela1[[#This Row],[Grau de Risco]]="Baixo"),"Não","Sim")</f>
        <v>Não</v>
      </c>
    </row>
    <row r="500" spans="1:20">
      <c r="A500" s="4" t="s">
        <v>2</v>
      </c>
      <c r="B500" s="10" t="s">
        <v>1809</v>
      </c>
      <c r="C500" s="4" t="s">
        <v>89</v>
      </c>
      <c r="D500" s="38" t="s">
        <v>1320</v>
      </c>
      <c r="E500" s="3">
        <v>16</v>
      </c>
      <c r="F500" s="3">
        <v>1</v>
      </c>
      <c r="G500" s="3">
        <v>2023</v>
      </c>
      <c r="H500" s="34" t="s">
        <v>59</v>
      </c>
      <c r="I500" s="7" t="s">
        <v>515</v>
      </c>
      <c r="J500" s="4" t="s">
        <v>111</v>
      </c>
      <c r="K500" s="3">
        <v>15</v>
      </c>
      <c r="L500" s="3">
        <v>0</v>
      </c>
      <c r="M500" s="4" t="s">
        <v>30</v>
      </c>
      <c r="N500" s="4"/>
      <c r="O500" s="4" t="s">
        <v>85</v>
      </c>
      <c r="P500" s="3" t="s">
        <v>31</v>
      </c>
      <c r="Q500" s="11">
        <v>7</v>
      </c>
      <c r="R500" s="3" t="str">
        <f>IF(Q500="","",IF(Q500&lt;4,"Crítico",IF(Q500&lt;9,"Alto",IF(Q500&lt;14,"Médio","Baixo"))))</f>
        <v>Alto</v>
      </c>
      <c r="S500" s="5" t="s">
        <v>40</v>
      </c>
      <c r="T500" s="4" t="str">
        <f>IF(OR(Tabela1[[#This Row],[Grau de Risco]]="Médio",Tabela1[[#This Row],[Grau de Risco]]="Baixo"),"Não","Sim")</f>
        <v>Sim</v>
      </c>
    </row>
    <row r="501" spans="1:20" hidden="1">
      <c r="A501" s="4" t="s">
        <v>9</v>
      </c>
      <c r="B501" s="10" t="s">
        <v>1793</v>
      </c>
      <c r="C501" s="5" t="s">
        <v>26</v>
      </c>
      <c r="D501" s="38" t="s">
        <v>1382</v>
      </c>
      <c r="E501" s="3">
        <v>12</v>
      </c>
      <c r="F501" s="3">
        <v>7</v>
      </c>
      <c r="G501" s="3">
        <v>2023</v>
      </c>
      <c r="H501" s="36" t="s">
        <v>66</v>
      </c>
      <c r="I501" s="7" t="s">
        <v>578</v>
      </c>
      <c r="J501" s="4" t="s">
        <v>35</v>
      </c>
      <c r="K501" s="3">
        <v>15</v>
      </c>
      <c r="L501" s="3">
        <v>0</v>
      </c>
      <c r="M501" s="4" t="s">
        <v>30</v>
      </c>
      <c r="N501" s="4">
        <v>0</v>
      </c>
      <c r="O501" s="4" t="s">
        <v>55</v>
      </c>
      <c r="P501" s="3" t="s">
        <v>52</v>
      </c>
      <c r="Q501" s="11">
        <v>14</v>
      </c>
      <c r="R501" s="3" t="s">
        <v>52</v>
      </c>
      <c r="S501" s="10" t="s">
        <v>32</v>
      </c>
      <c r="T501" s="4" t="str">
        <f>IF(OR(Tabela1[[#This Row],[Grau de Risco]]="Médio",Tabela1[[#This Row],[Grau de Risco]]="Baixo"),"Não","Sim")</f>
        <v>Não</v>
      </c>
    </row>
    <row r="502" spans="1:20" hidden="1">
      <c r="A502" s="5" t="s">
        <v>7</v>
      </c>
      <c r="B502" s="10" t="s">
        <v>1800</v>
      </c>
      <c r="C502" s="4" t="s">
        <v>81</v>
      </c>
      <c r="D502" s="38" t="s">
        <v>47</v>
      </c>
      <c r="E502" s="3">
        <v>20</v>
      </c>
      <c r="F502" s="3">
        <v>10</v>
      </c>
      <c r="G502" s="3">
        <v>2023</v>
      </c>
      <c r="H502" s="34" t="s">
        <v>59</v>
      </c>
      <c r="I502" s="7" t="s">
        <v>638</v>
      </c>
      <c r="J502" s="4" t="s">
        <v>54</v>
      </c>
      <c r="K502" s="3" t="s">
        <v>44</v>
      </c>
      <c r="L502" s="3"/>
      <c r="M502" s="4"/>
      <c r="N502" s="4"/>
      <c r="O502" s="4" t="s">
        <v>88</v>
      </c>
      <c r="P502" s="3"/>
      <c r="Q502" s="11">
        <v>13</v>
      </c>
      <c r="R502" s="3" t="s">
        <v>31</v>
      </c>
      <c r="S502" s="10" t="s">
        <v>63</v>
      </c>
      <c r="T502" s="4" t="str">
        <f>IF(OR(Tabela1[[#This Row],[Grau de Risco]]="Médio",Tabela1[[#This Row],[Grau de Risco]]="Baixo"),"Não","Sim")</f>
        <v>Não</v>
      </c>
    </row>
    <row r="503" spans="1:20">
      <c r="A503" s="47" t="s">
        <v>6</v>
      </c>
      <c r="B503" s="10" t="s">
        <v>1809</v>
      </c>
      <c r="C503" s="4" t="s">
        <v>41</v>
      </c>
      <c r="D503" s="58" t="s">
        <v>1409</v>
      </c>
      <c r="E503" s="3">
        <v>14</v>
      </c>
      <c r="F503" s="3">
        <v>11</v>
      </c>
      <c r="G503" s="3">
        <v>2024</v>
      </c>
      <c r="H503" s="36" t="s">
        <v>82</v>
      </c>
      <c r="I503" s="7" t="s">
        <v>726</v>
      </c>
      <c r="J503" s="4" t="s">
        <v>93</v>
      </c>
      <c r="K503" s="3"/>
      <c r="L503" s="3"/>
      <c r="M503" s="4"/>
      <c r="N503" s="4"/>
      <c r="O503" s="4"/>
      <c r="P503" s="3" t="s">
        <v>52</v>
      </c>
      <c r="Q503" s="11">
        <v>10</v>
      </c>
      <c r="R503" s="3" t="s">
        <v>31</v>
      </c>
      <c r="S503" s="5" t="s">
        <v>56</v>
      </c>
      <c r="T503" s="4" t="str">
        <f>IF(OR(Tabela1[[#This Row],[Grau de Risco]]="Médio",Tabela1[[#This Row],[Grau de Risco]]="Baixo"),"Não","Sim")</f>
        <v>Não</v>
      </c>
    </row>
    <row r="504" spans="1:20" hidden="1">
      <c r="A504" s="4" t="s">
        <v>10</v>
      </c>
      <c r="B504" s="10" t="s">
        <v>1797</v>
      </c>
      <c r="C504" s="4" t="s">
        <v>252</v>
      </c>
      <c r="D504" s="38" t="s">
        <v>1393</v>
      </c>
      <c r="E504" s="3">
        <v>17</v>
      </c>
      <c r="F504" s="3">
        <v>12</v>
      </c>
      <c r="G504" s="3">
        <v>2024</v>
      </c>
      <c r="H504" s="36" t="s">
        <v>112</v>
      </c>
      <c r="I504" s="7" t="s">
        <v>739</v>
      </c>
      <c r="J504" s="4" t="s">
        <v>100</v>
      </c>
      <c r="K504" s="3">
        <v>0</v>
      </c>
      <c r="L504" s="3"/>
      <c r="M504" s="4"/>
      <c r="N504" s="4"/>
      <c r="O504" s="4" t="s">
        <v>51</v>
      </c>
      <c r="P504" s="3" t="s">
        <v>52</v>
      </c>
      <c r="Q504" s="11">
        <v>14</v>
      </c>
      <c r="R504" s="3" t="s">
        <v>52</v>
      </c>
      <c r="S504" s="10" t="s">
        <v>63</v>
      </c>
      <c r="T504" s="4" t="str">
        <f>IF(OR(Tabela1[[#This Row],[Grau de Risco]]="Médio",Tabela1[[#This Row],[Grau de Risco]]="Baixo"),"Não","Sim")</f>
        <v>Não</v>
      </c>
    </row>
    <row r="505" spans="1:20" hidden="1">
      <c r="A505" s="4" t="s">
        <v>7</v>
      </c>
      <c r="B505" s="10" t="s">
        <v>1797</v>
      </c>
      <c r="C505" s="4" t="s">
        <v>81</v>
      </c>
      <c r="D505" s="38" t="s">
        <v>1393</v>
      </c>
      <c r="E505" s="3">
        <v>25</v>
      </c>
      <c r="F505" s="3">
        <v>6</v>
      </c>
      <c r="G505" s="3">
        <v>2024</v>
      </c>
      <c r="H505" s="36" t="s">
        <v>82</v>
      </c>
      <c r="I505" s="7" t="s">
        <v>770</v>
      </c>
      <c r="J505" s="4" t="s">
        <v>61</v>
      </c>
      <c r="K505" s="3" t="s">
        <v>62</v>
      </c>
      <c r="L505" s="3"/>
      <c r="M505" s="4"/>
      <c r="N505" s="4"/>
      <c r="O505" s="4" t="s">
        <v>396</v>
      </c>
      <c r="P505" s="3"/>
      <c r="Q505" s="11">
        <v>7</v>
      </c>
      <c r="R505" s="3" t="s">
        <v>102</v>
      </c>
      <c r="S505" s="10" t="s">
        <v>63</v>
      </c>
      <c r="T505" s="4" t="str">
        <f>IF(OR(Tabela1[[#This Row],[Grau de Risco]]="Médio",Tabela1[[#This Row],[Grau de Risco]]="Baixo"),"Não","Sim")</f>
        <v>Sim</v>
      </c>
    </row>
    <row r="506" spans="1:20">
      <c r="A506" s="4" t="s">
        <v>2</v>
      </c>
      <c r="B506" s="10" t="s">
        <v>1809</v>
      </c>
      <c r="C506" s="4" t="s">
        <v>252</v>
      </c>
      <c r="D506" s="38" t="s">
        <v>1382</v>
      </c>
      <c r="E506" s="3">
        <v>26</v>
      </c>
      <c r="F506" s="3">
        <v>6</v>
      </c>
      <c r="G506" s="3">
        <v>2024</v>
      </c>
      <c r="H506" s="36" t="s">
        <v>82</v>
      </c>
      <c r="I506" s="7" t="s">
        <v>803</v>
      </c>
      <c r="J506" s="4" t="s">
        <v>76</v>
      </c>
      <c r="K506" s="3">
        <v>10</v>
      </c>
      <c r="L506" s="3">
        <v>0</v>
      </c>
      <c r="M506" s="4" t="s">
        <v>30</v>
      </c>
      <c r="N506" s="4"/>
      <c r="O506" s="4" t="s">
        <v>88</v>
      </c>
      <c r="P506" s="3" t="s">
        <v>31</v>
      </c>
      <c r="Q506" s="11">
        <v>4</v>
      </c>
      <c r="R506" s="3" t="s">
        <v>102</v>
      </c>
      <c r="S506" s="5" t="s">
        <v>56</v>
      </c>
      <c r="T506" s="4" t="str">
        <f>IF(OR(Tabela1[[#This Row],[Grau de Risco]]="Médio",Tabela1[[#This Row],[Grau de Risco]]="Baixo"),"Não","Sim")</f>
        <v>Sim</v>
      </c>
    </row>
    <row r="507" spans="1:20" hidden="1">
      <c r="A507" s="4" t="s">
        <v>2</v>
      </c>
      <c r="B507" s="10" t="s">
        <v>1805</v>
      </c>
      <c r="C507" s="4" t="s">
        <v>81</v>
      </c>
      <c r="D507" s="38" t="s">
        <v>1382</v>
      </c>
      <c r="E507" s="3">
        <v>19</v>
      </c>
      <c r="F507" s="3">
        <v>6</v>
      </c>
      <c r="G507" s="3">
        <v>2024</v>
      </c>
      <c r="H507" s="5" t="s">
        <v>48</v>
      </c>
      <c r="I507" s="7" t="s">
        <v>822</v>
      </c>
      <c r="J507" s="4" t="s">
        <v>150</v>
      </c>
      <c r="K507" s="3">
        <v>30</v>
      </c>
      <c r="L507" s="3">
        <v>0</v>
      </c>
      <c r="M507" s="4" t="s">
        <v>30</v>
      </c>
      <c r="N507" s="4"/>
      <c r="O507" s="4" t="s">
        <v>45</v>
      </c>
      <c r="P507" s="3" t="s">
        <v>31</v>
      </c>
      <c r="Q507" s="11">
        <v>11</v>
      </c>
      <c r="R507" s="3" t="s">
        <v>31</v>
      </c>
      <c r="S507" s="5" t="s">
        <v>56</v>
      </c>
      <c r="T507" s="4" t="str">
        <f>IF(OR(Tabela1[[#This Row],[Grau de Risco]]="Médio",Tabela1[[#This Row],[Grau de Risco]]="Baixo"),"Não","Sim")</f>
        <v>Não</v>
      </c>
    </row>
    <row r="508" spans="1:20">
      <c r="A508" s="4" t="s">
        <v>7</v>
      </c>
      <c r="B508" s="10" t="s">
        <v>1809</v>
      </c>
      <c r="C508" s="4" t="s">
        <v>252</v>
      </c>
      <c r="D508" s="58" t="s">
        <v>1409</v>
      </c>
      <c r="E508" s="3">
        <v>8</v>
      </c>
      <c r="F508" s="3">
        <v>2</v>
      </c>
      <c r="G508" s="3">
        <v>2024</v>
      </c>
      <c r="H508" s="5" t="s">
        <v>123</v>
      </c>
      <c r="I508" s="7" t="s">
        <v>827</v>
      </c>
      <c r="J508" s="4" t="s">
        <v>61</v>
      </c>
      <c r="K508" s="3" t="s">
        <v>62</v>
      </c>
      <c r="L508" s="3"/>
      <c r="M508" s="4"/>
      <c r="N508" s="4"/>
      <c r="O508" s="4" t="s">
        <v>4</v>
      </c>
      <c r="P508" s="3" t="s">
        <v>62</v>
      </c>
      <c r="Q508" s="11">
        <v>15</v>
      </c>
      <c r="R508" s="3" t="s">
        <v>52</v>
      </c>
      <c r="S508" s="5" t="s">
        <v>40</v>
      </c>
      <c r="T508" s="4" t="str">
        <f>IF(OR(Tabela1[[#This Row],[Grau de Risco]]="Médio",Tabela1[[#This Row],[Grau de Risco]]="Baixo"),"Não","Sim")</f>
        <v>Não</v>
      </c>
    </row>
    <row r="509" spans="1:20" hidden="1">
      <c r="A509" s="4" t="s">
        <v>2</v>
      </c>
      <c r="B509" s="10" t="s">
        <v>1800</v>
      </c>
      <c r="C509" s="4" t="s">
        <v>81</v>
      </c>
      <c r="D509" s="58" t="s">
        <v>1409</v>
      </c>
      <c r="E509" s="3">
        <v>3</v>
      </c>
      <c r="F509" s="3">
        <v>10</v>
      </c>
      <c r="G509" s="3">
        <v>2024</v>
      </c>
      <c r="H509" s="36" t="s">
        <v>33</v>
      </c>
      <c r="I509" s="7" t="s">
        <v>899</v>
      </c>
      <c r="J509" s="4" t="s">
        <v>79</v>
      </c>
      <c r="K509" s="3">
        <v>60</v>
      </c>
      <c r="L509" s="3"/>
      <c r="M509" s="4" t="s">
        <v>30</v>
      </c>
      <c r="N509" s="4" t="s">
        <v>80</v>
      </c>
      <c r="O509" s="4" t="s">
        <v>99</v>
      </c>
      <c r="P509" s="3" t="s">
        <v>102</v>
      </c>
      <c r="Q509" s="11">
        <v>7</v>
      </c>
      <c r="R509" s="3" t="s">
        <v>102</v>
      </c>
      <c r="S509" s="10" t="s">
        <v>141</v>
      </c>
      <c r="T509" s="4" t="str">
        <f>IF(OR(Tabela1[[#This Row],[Grau de Risco]]="Médio",Tabela1[[#This Row],[Grau de Risco]]="Baixo"),"Não","Sim")</f>
        <v>Sim</v>
      </c>
    </row>
    <row r="510" spans="1:20" hidden="1">
      <c r="A510" s="5" t="s">
        <v>7</v>
      </c>
      <c r="B510" s="33" t="s">
        <v>1800</v>
      </c>
      <c r="C510" s="28" t="s">
        <v>41</v>
      </c>
      <c r="D510" s="38" t="s">
        <v>1382</v>
      </c>
      <c r="E510" s="32">
        <v>24</v>
      </c>
      <c r="F510" s="32">
        <v>7</v>
      </c>
      <c r="G510" s="32">
        <v>2024</v>
      </c>
      <c r="H510" s="36" t="s">
        <v>33</v>
      </c>
      <c r="I510" s="29" t="s">
        <v>902</v>
      </c>
      <c r="J510" s="28" t="s">
        <v>79</v>
      </c>
      <c r="K510" s="3" t="s">
        <v>44</v>
      </c>
      <c r="L510" s="32" t="s">
        <v>80</v>
      </c>
      <c r="M510" s="28" t="s">
        <v>30</v>
      </c>
      <c r="N510" s="28" t="s">
        <v>80</v>
      </c>
      <c r="O510" s="28" t="s">
        <v>4</v>
      </c>
      <c r="P510" s="32" t="s">
        <v>52</v>
      </c>
      <c r="Q510" s="35">
        <v>16</v>
      </c>
      <c r="R510" s="32" t="s">
        <v>52</v>
      </c>
      <c r="S510" s="33" t="s">
        <v>63</v>
      </c>
      <c r="T510" s="4" t="str">
        <f>IF(OR(Tabela1[[#This Row],[Grau de Risco]]="Médio",Tabela1[[#This Row],[Grau de Risco]]="Baixo"),"Não","Sim")</f>
        <v>Não</v>
      </c>
    </row>
    <row r="511" spans="1:20" hidden="1">
      <c r="A511" s="4" t="s">
        <v>7</v>
      </c>
      <c r="B511" s="10" t="s">
        <v>1797</v>
      </c>
      <c r="C511" s="4" t="s">
        <v>81</v>
      </c>
      <c r="D511" s="38" t="s">
        <v>47</v>
      </c>
      <c r="E511" s="3">
        <v>25</v>
      </c>
      <c r="F511" s="3">
        <v>10</v>
      </c>
      <c r="G511" s="3">
        <v>2024</v>
      </c>
      <c r="H511" s="36" t="s">
        <v>33</v>
      </c>
      <c r="I511" s="7" t="s">
        <v>1632</v>
      </c>
      <c r="J511" s="4" t="s">
        <v>79</v>
      </c>
      <c r="K511" s="3" t="s">
        <v>44</v>
      </c>
      <c r="L511" s="3" t="s">
        <v>44</v>
      </c>
      <c r="M511" s="4"/>
      <c r="N511" s="4" t="s">
        <v>44</v>
      </c>
      <c r="O511" s="4"/>
      <c r="P511" s="3"/>
      <c r="Q511" s="11">
        <v>15</v>
      </c>
      <c r="R511" s="3" t="s">
        <v>52</v>
      </c>
      <c r="S511" s="5" t="s">
        <v>56</v>
      </c>
      <c r="T511" s="4" t="str">
        <f>IF(OR(Tabela1[[#This Row],[Grau de Risco]]="Médio",Tabela1[[#This Row],[Grau de Risco]]="Baixo"),"Não","Sim")</f>
        <v>Não</v>
      </c>
    </row>
    <row r="512" spans="1:20" hidden="1">
      <c r="A512" s="4" t="s">
        <v>8</v>
      </c>
      <c r="B512" s="10" t="s">
        <v>1805</v>
      </c>
      <c r="C512" s="4" t="s">
        <v>125</v>
      </c>
      <c r="D512" s="58" t="s">
        <v>1409</v>
      </c>
      <c r="E512" s="3">
        <v>24</v>
      </c>
      <c r="F512" s="3">
        <v>10</v>
      </c>
      <c r="G512" s="3">
        <v>2024</v>
      </c>
      <c r="H512" s="34" t="s">
        <v>59</v>
      </c>
      <c r="I512" s="7" t="s">
        <v>909</v>
      </c>
      <c r="J512" s="4" t="s">
        <v>79</v>
      </c>
      <c r="K512" s="3" t="s">
        <v>44</v>
      </c>
      <c r="L512" s="3" t="s">
        <v>44</v>
      </c>
      <c r="M512" s="4"/>
      <c r="N512" s="4" t="s">
        <v>44</v>
      </c>
      <c r="O512" s="4" t="s">
        <v>45</v>
      </c>
      <c r="P512" s="3"/>
      <c r="Q512" s="11">
        <v>15</v>
      </c>
      <c r="R512" s="3" t="s">
        <v>52</v>
      </c>
      <c r="S512" s="5" t="s">
        <v>56</v>
      </c>
      <c r="T512" s="4" t="str">
        <f>IF(OR(Tabela1[[#This Row],[Grau de Risco]]="Médio",Tabela1[[#This Row],[Grau de Risco]]="Baixo"),"Não","Sim")</f>
        <v>Não</v>
      </c>
    </row>
    <row r="513" spans="1:20" hidden="1">
      <c r="A513" s="4" t="s">
        <v>7</v>
      </c>
      <c r="B513" s="10" t="s">
        <v>1805</v>
      </c>
      <c r="C513" s="4" t="s">
        <v>252</v>
      </c>
      <c r="D513" s="38" t="s">
        <v>47</v>
      </c>
      <c r="E513" s="3">
        <v>11</v>
      </c>
      <c r="F513" s="3">
        <v>10</v>
      </c>
      <c r="G513" s="3">
        <v>2024</v>
      </c>
      <c r="H513" s="4" t="s">
        <v>27</v>
      </c>
      <c r="I513" s="7" t="s">
        <v>910</v>
      </c>
      <c r="J513" s="4" t="s">
        <v>79</v>
      </c>
      <c r="K513" s="3" t="s">
        <v>44</v>
      </c>
      <c r="L513" s="3" t="s">
        <v>44</v>
      </c>
      <c r="M513" s="4"/>
      <c r="N513" s="4" t="s">
        <v>44</v>
      </c>
      <c r="O513" s="4"/>
      <c r="P513" s="3" t="s">
        <v>52</v>
      </c>
      <c r="Q513" s="11">
        <v>15</v>
      </c>
      <c r="R513" s="3" t="s">
        <v>52</v>
      </c>
      <c r="S513" s="10" t="s">
        <v>32</v>
      </c>
      <c r="T513" s="4" t="str">
        <f>IF(OR(Tabela1[[#This Row],[Grau de Risco]]="Médio",Tabela1[[#This Row],[Grau de Risco]]="Baixo"),"Não","Sim")</f>
        <v>Não</v>
      </c>
    </row>
    <row r="514" spans="1:20" hidden="1">
      <c r="A514" s="4" t="s">
        <v>7</v>
      </c>
      <c r="B514" s="10" t="s">
        <v>1797</v>
      </c>
      <c r="C514" s="4" t="s">
        <v>41</v>
      </c>
      <c r="D514" s="38" t="s">
        <v>1320</v>
      </c>
      <c r="E514" s="3">
        <v>18</v>
      </c>
      <c r="F514" s="3">
        <v>11</v>
      </c>
      <c r="G514" s="3">
        <v>2024</v>
      </c>
      <c r="H514" s="4" t="s">
        <v>86</v>
      </c>
      <c r="I514" s="7" t="s">
        <v>911</v>
      </c>
      <c r="J514" s="4" t="s">
        <v>79</v>
      </c>
      <c r="K514" s="3" t="s">
        <v>44</v>
      </c>
      <c r="L514" s="3" t="s">
        <v>44</v>
      </c>
      <c r="M514" s="4"/>
      <c r="N514" s="4" t="s">
        <v>44</v>
      </c>
      <c r="O514" s="4"/>
      <c r="P514" s="3"/>
      <c r="Q514" s="11">
        <v>11</v>
      </c>
      <c r="R514" s="3" t="s">
        <v>31</v>
      </c>
      <c r="S514" s="10" t="s">
        <v>63</v>
      </c>
      <c r="T514" s="4" t="str">
        <f>IF(OR(Tabela1[[#This Row],[Grau de Risco]]="Médio",Tabela1[[#This Row],[Grau de Risco]]="Baixo"),"Não","Sim")</f>
        <v>Não</v>
      </c>
    </row>
    <row r="515" spans="1:20" hidden="1">
      <c r="A515" s="4" t="s">
        <v>2</v>
      </c>
      <c r="B515" s="10" t="s">
        <v>1797</v>
      </c>
      <c r="C515" s="4"/>
      <c r="D515" s="58" t="s">
        <v>1409</v>
      </c>
      <c r="E515" s="3">
        <v>16</v>
      </c>
      <c r="F515" s="3">
        <v>5</v>
      </c>
      <c r="G515" s="3">
        <v>2024</v>
      </c>
      <c r="H515" s="5" t="s">
        <v>71</v>
      </c>
      <c r="I515" s="7" t="s">
        <v>935</v>
      </c>
      <c r="J515" s="4" t="s">
        <v>111</v>
      </c>
      <c r="K515" s="3">
        <v>14</v>
      </c>
      <c r="L515" s="3">
        <v>0</v>
      </c>
      <c r="M515" s="4" t="s">
        <v>30</v>
      </c>
      <c r="N515" s="4">
        <v>0</v>
      </c>
      <c r="O515" s="4" t="s">
        <v>88</v>
      </c>
      <c r="P515" s="3" t="s">
        <v>31</v>
      </c>
      <c r="Q515" s="11">
        <v>11</v>
      </c>
      <c r="R515" s="3" t="s">
        <v>31</v>
      </c>
      <c r="S515" s="10" t="s">
        <v>63</v>
      </c>
      <c r="T515" s="4" t="str">
        <f>IF(OR(Tabela1[[#This Row],[Grau de Risco]]="Médio",Tabela1[[#This Row],[Grau de Risco]]="Baixo"),"Não","Sim")</f>
        <v>Não</v>
      </c>
    </row>
    <row r="516" spans="1:20">
      <c r="A516" s="4" t="s">
        <v>7</v>
      </c>
      <c r="B516" s="10" t="s">
        <v>1809</v>
      </c>
      <c r="C516" s="4" t="s">
        <v>26</v>
      </c>
      <c r="D516" s="38" t="s">
        <v>47</v>
      </c>
      <c r="E516" s="3">
        <v>22</v>
      </c>
      <c r="F516" s="3">
        <v>11</v>
      </c>
      <c r="G516" s="3">
        <v>2024</v>
      </c>
      <c r="H516" s="5" t="s">
        <v>48</v>
      </c>
      <c r="I516" s="7" t="s">
        <v>948</v>
      </c>
      <c r="J516" s="4" t="s">
        <v>575</v>
      </c>
      <c r="K516" s="3"/>
      <c r="L516" s="3"/>
      <c r="M516" s="4"/>
      <c r="N516" s="4"/>
      <c r="O516" s="4"/>
      <c r="P516" s="3" t="s">
        <v>52</v>
      </c>
      <c r="Q516" s="11">
        <v>11</v>
      </c>
      <c r="R516" s="3" t="s">
        <v>31</v>
      </c>
      <c r="S516" s="5" t="s">
        <v>56</v>
      </c>
      <c r="T516" s="4" t="str">
        <f>IF(OR(Tabela1[[#This Row],[Grau de Risco]]="Médio",Tabela1[[#This Row],[Grau de Risco]]="Baixo"),"Não","Sim")</f>
        <v>Não</v>
      </c>
    </row>
    <row r="517" spans="1:20" hidden="1">
      <c r="A517" s="4" t="s">
        <v>2</v>
      </c>
      <c r="B517" s="10" t="s">
        <v>1805</v>
      </c>
      <c r="C517" s="4" t="s">
        <v>81</v>
      </c>
      <c r="D517" s="58" t="s">
        <v>1409</v>
      </c>
      <c r="E517" s="3">
        <v>4</v>
      </c>
      <c r="F517" s="3">
        <v>7</v>
      </c>
      <c r="G517" s="3">
        <v>2024</v>
      </c>
      <c r="H517" s="4" t="s">
        <v>27</v>
      </c>
      <c r="I517" s="7" t="s">
        <v>1090</v>
      </c>
      <c r="J517" s="4" t="s">
        <v>93</v>
      </c>
      <c r="K517" s="3">
        <v>73</v>
      </c>
      <c r="L517" s="3">
        <v>300</v>
      </c>
      <c r="M517" s="4"/>
      <c r="N517" s="4"/>
      <c r="O517" s="4" t="s">
        <v>159</v>
      </c>
      <c r="P517" s="3" t="s">
        <v>31</v>
      </c>
      <c r="Q517" s="11">
        <v>7</v>
      </c>
      <c r="R517" s="3" t="s">
        <v>102</v>
      </c>
      <c r="S517" s="10" t="s">
        <v>178</v>
      </c>
      <c r="T517" s="4" t="str">
        <f>IF(OR(Tabela1[[#This Row],[Grau de Risco]]="Médio",Tabela1[[#This Row],[Grau de Risco]]="Baixo"),"Não","Sim")</f>
        <v>Sim</v>
      </c>
    </row>
    <row r="518" spans="1:20">
      <c r="A518" s="4" t="s">
        <v>8</v>
      </c>
      <c r="B518" s="10" t="s">
        <v>1809</v>
      </c>
      <c r="C518" s="4" t="s">
        <v>81</v>
      </c>
      <c r="D518" s="58" t="s">
        <v>1409</v>
      </c>
      <c r="E518" s="3">
        <v>20</v>
      </c>
      <c r="F518" s="3">
        <v>2</v>
      </c>
      <c r="G518" s="3">
        <v>2025</v>
      </c>
      <c r="H518" s="36" t="s">
        <v>112</v>
      </c>
      <c r="I518" s="7" t="s">
        <v>1174</v>
      </c>
      <c r="J518" s="4" t="s">
        <v>35</v>
      </c>
      <c r="K518" s="3" t="s">
        <v>44</v>
      </c>
      <c r="L518" s="3" t="s">
        <v>44</v>
      </c>
      <c r="M518" s="4"/>
      <c r="N518" s="4" t="s">
        <v>44</v>
      </c>
      <c r="O518" s="4" t="s">
        <v>301</v>
      </c>
      <c r="P518" s="3" t="s">
        <v>31</v>
      </c>
      <c r="Q518" s="11">
        <v>4</v>
      </c>
      <c r="R518" s="3" t="s">
        <v>102</v>
      </c>
      <c r="S518" s="10" t="s">
        <v>63</v>
      </c>
      <c r="T518" s="4" t="str">
        <f>IF(OR(Tabela1[[#This Row],[Grau de Risco]]="Médio",Tabela1[[#This Row],[Grau de Risco]]="Baixo"),"Não","Sim")</f>
        <v>Sim</v>
      </c>
    </row>
    <row r="519" spans="1:20" hidden="1">
      <c r="A519" s="28" t="s">
        <v>2</v>
      </c>
      <c r="B519" s="56" t="s">
        <v>1793</v>
      </c>
      <c r="C519" s="28" t="s">
        <v>81</v>
      </c>
      <c r="D519" s="58" t="s">
        <v>1409</v>
      </c>
      <c r="E519" s="32">
        <v>27</v>
      </c>
      <c r="F519" s="32">
        <v>2</v>
      </c>
      <c r="G519" s="32">
        <v>2025</v>
      </c>
      <c r="H519" s="36" t="s">
        <v>33</v>
      </c>
      <c r="I519" s="29" t="s">
        <v>1181</v>
      </c>
      <c r="J519" s="28" t="s">
        <v>61</v>
      </c>
      <c r="K519" s="32">
        <v>6</v>
      </c>
      <c r="L519" s="32"/>
      <c r="M519" s="28"/>
      <c r="N519" s="28"/>
      <c r="O519" s="28" t="s">
        <v>498</v>
      </c>
      <c r="P519" s="3" t="s">
        <v>31</v>
      </c>
      <c r="Q519" s="35">
        <v>7</v>
      </c>
      <c r="R519" s="32" t="s">
        <v>102</v>
      </c>
      <c r="S519" s="5" t="s">
        <v>40</v>
      </c>
      <c r="T519" s="4" t="str">
        <f>IF(OR(Tabela1[[#This Row],[Grau de Risco]]="Médio",Tabela1[[#This Row],[Grau de Risco]]="Baixo"),"Não","Sim")</f>
        <v>Sim</v>
      </c>
    </row>
    <row r="520" spans="1:20" hidden="1">
      <c r="A520" s="4" t="s">
        <v>8</v>
      </c>
      <c r="B520" s="10" t="s">
        <v>1797</v>
      </c>
      <c r="C520" s="4" t="s">
        <v>252</v>
      </c>
      <c r="D520" s="58" t="s">
        <v>1409</v>
      </c>
      <c r="E520" s="3">
        <v>13</v>
      </c>
      <c r="F520" s="3">
        <v>3</v>
      </c>
      <c r="G520" s="3">
        <v>2025</v>
      </c>
      <c r="H520" s="36" t="s">
        <v>33</v>
      </c>
      <c r="I520" s="7" t="s">
        <v>1188</v>
      </c>
      <c r="J520" s="4" t="s">
        <v>150</v>
      </c>
      <c r="K520" s="3">
        <v>0</v>
      </c>
      <c r="L520" s="3">
        <v>0</v>
      </c>
      <c r="M520" s="4" t="s">
        <v>30</v>
      </c>
      <c r="N520" s="4">
        <v>0</v>
      </c>
      <c r="O520" s="4" t="s">
        <v>70</v>
      </c>
      <c r="P520" s="3" t="s">
        <v>52</v>
      </c>
      <c r="Q520" s="11">
        <v>15</v>
      </c>
      <c r="R520" s="3" t="s">
        <v>52</v>
      </c>
      <c r="S520" s="5" t="s">
        <v>56</v>
      </c>
      <c r="T520" s="4" t="str">
        <f>IF(OR(Tabela1[[#This Row],[Grau de Risco]]="Médio",Tabela1[[#This Row],[Grau de Risco]]="Baixo"),"Não","Sim")</f>
        <v>Não</v>
      </c>
    </row>
    <row r="521" spans="1:20" hidden="1">
      <c r="A521" s="28" t="s">
        <v>2</v>
      </c>
      <c r="B521" s="56" t="s">
        <v>1797</v>
      </c>
      <c r="C521" s="28" t="s">
        <v>81</v>
      </c>
      <c r="D521" s="38" t="s">
        <v>1382</v>
      </c>
      <c r="E521" s="32">
        <v>26</v>
      </c>
      <c r="F521" s="32">
        <v>3</v>
      </c>
      <c r="G521" s="32">
        <v>2025</v>
      </c>
      <c r="H521" s="36" t="s">
        <v>107</v>
      </c>
      <c r="I521" s="29" t="s">
        <v>1203</v>
      </c>
      <c r="J521" s="28" t="s">
        <v>111</v>
      </c>
      <c r="K521" s="32">
        <v>8</v>
      </c>
      <c r="L521" s="32"/>
      <c r="M521" s="28"/>
      <c r="N521" s="28"/>
      <c r="O521" s="28" t="s">
        <v>45</v>
      </c>
      <c r="P521" s="3" t="s">
        <v>31</v>
      </c>
      <c r="Q521" s="35">
        <v>10</v>
      </c>
      <c r="R521" s="32" t="s">
        <v>31</v>
      </c>
      <c r="S521" s="5" t="s">
        <v>56</v>
      </c>
      <c r="T521" s="4" t="str">
        <f>IF(OR(Tabela1[[#This Row],[Grau de Risco]]="Médio",Tabela1[[#This Row],[Grau de Risco]]="Baixo"),"Não","Sim")</f>
        <v>Não</v>
      </c>
    </row>
    <row r="522" spans="1:20" hidden="1">
      <c r="A522" s="4" t="s">
        <v>9</v>
      </c>
      <c r="B522" s="10" t="s">
        <v>1793</v>
      </c>
      <c r="C522" s="4" t="s">
        <v>41</v>
      </c>
      <c r="D522" s="38" t="s">
        <v>1382</v>
      </c>
      <c r="E522" s="3">
        <v>9</v>
      </c>
      <c r="F522" s="3">
        <v>4</v>
      </c>
      <c r="G522" s="3">
        <v>2025</v>
      </c>
      <c r="H522" s="36" t="s">
        <v>66</v>
      </c>
      <c r="I522" s="7" t="s">
        <v>1223</v>
      </c>
      <c r="J522" s="4" t="s">
        <v>35</v>
      </c>
      <c r="K522" s="3">
        <v>2</v>
      </c>
      <c r="L522" s="3">
        <v>0</v>
      </c>
      <c r="M522" s="4" t="s">
        <v>30</v>
      </c>
      <c r="N522" s="4"/>
      <c r="O522" s="4" t="s">
        <v>45</v>
      </c>
      <c r="P522" s="3" t="s">
        <v>52</v>
      </c>
      <c r="Q522" s="11">
        <v>14</v>
      </c>
      <c r="R522" s="3" t="s">
        <v>52</v>
      </c>
      <c r="S522" s="5" t="s">
        <v>56</v>
      </c>
      <c r="T522" s="4" t="str">
        <f>IF(OR(Tabela1[[#This Row],[Grau de Risco]]="Médio",Tabela1[[#This Row],[Grau de Risco]]="Baixo"),"Não","Sim")</f>
        <v>Não</v>
      </c>
    </row>
    <row r="523" spans="1:20" hidden="1">
      <c r="A523" s="4" t="s">
        <v>7</v>
      </c>
      <c r="B523" s="10" t="s">
        <v>1805</v>
      </c>
      <c r="C523" s="4" t="s">
        <v>252</v>
      </c>
      <c r="D523" s="38" t="s">
        <v>1382</v>
      </c>
      <c r="E523" s="3">
        <v>21</v>
      </c>
      <c r="F523" s="3">
        <v>5</v>
      </c>
      <c r="G523" s="3">
        <v>2025</v>
      </c>
      <c r="H523" s="5" t="s">
        <v>48</v>
      </c>
      <c r="I523" s="7" t="s">
        <v>1264</v>
      </c>
      <c r="J523" s="4" t="s">
        <v>69</v>
      </c>
      <c r="K523" s="3" t="s">
        <v>44</v>
      </c>
      <c r="L523" s="3" t="s">
        <v>44</v>
      </c>
      <c r="M523" s="4"/>
      <c r="N523" s="4" t="s">
        <v>44</v>
      </c>
      <c r="O523" s="4"/>
      <c r="P523" s="3"/>
      <c r="Q523" s="11">
        <v>11</v>
      </c>
      <c r="R523" s="3" t="s">
        <v>31</v>
      </c>
      <c r="S523" s="5" t="s">
        <v>56</v>
      </c>
      <c r="T523" s="4" t="str">
        <f>IF(OR(Tabela1[[#This Row],[Grau de Risco]]="Médio",Tabela1[[#This Row],[Grau de Risco]]="Baixo"),"Não","Sim")</f>
        <v>Não</v>
      </c>
    </row>
    <row r="524" spans="1:20" hidden="1">
      <c r="A524" s="28" t="s">
        <v>7</v>
      </c>
      <c r="B524" s="33" t="s">
        <v>1797</v>
      </c>
      <c r="C524" s="28" t="s">
        <v>125</v>
      </c>
      <c r="D524" s="38" t="s">
        <v>1382</v>
      </c>
      <c r="E524" s="32">
        <v>18</v>
      </c>
      <c r="F524" s="32">
        <v>6</v>
      </c>
      <c r="G524" s="32">
        <v>2025</v>
      </c>
      <c r="H524" s="34" t="s">
        <v>59</v>
      </c>
      <c r="I524" s="29" t="s">
        <v>1310</v>
      </c>
      <c r="J524" s="28" t="s">
        <v>111</v>
      </c>
      <c r="K524" s="32"/>
      <c r="L524" s="32"/>
      <c r="M524" s="28"/>
      <c r="N524" s="28"/>
      <c r="O524" s="28" t="s">
        <v>88</v>
      </c>
      <c r="P524" s="32" t="s">
        <v>52</v>
      </c>
      <c r="Q524" s="35">
        <v>15</v>
      </c>
      <c r="R524" s="32" t="s">
        <v>52</v>
      </c>
      <c r="S524" s="5" t="s">
        <v>56</v>
      </c>
      <c r="T524" s="4" t="str">
        <f>IF(OR(Tabela1[[#This Row],[Grau de Risco]]="Médio",Tabela1[[#This Row],[Grau de Risco]]="Baixo"),"Não","Sim")</f>
        <v>Não</v>
      </c>
    </row>
    <row r="525" spans="1:20" hidden="1">
      <c r="A525" s="28" t="s">
        <v>8</v>
      </c>
      <c r="B525" s="33" t="s">
        <v>1805</v>
      </c>
      <c r="C525" s="28" t="s">
        <v>81</v>
      </c>
      <c r="D525" s="28" t="s">
        <v>1320</v>
      </c>
      <c r="E525" s="3">
        <v>4</v>
      </c>
      <c r="F525" s="3">
        <v>8</v>
      </c>
      <c r="G525" s="3">
        <v>2025</v>
      </c>
      <c r="H525" s="34" t="s">
        <v>107</v>
      </c>
      <c r="I525" s="29" t="s">
        <v>1633</v>
      </c>
      <c r="J525" s="28" t="s">
        <v>79</v>
      </c>
      <c r="K525" s="32"/>
      <c r="L525" s="32"/>
      <c r="M525" s="28"/>
      <c r="N525" s="28"/>
      <c r="O525" s="28"/>
      <c r="P525" s="32" t="s">
        <v>52</v>
      </c>
      <c r="Q525" s="35">
        <v>15</v>
      </c>
      <c r="R525" s="32" t="str">
        <f>IF(Q525="","",IF(Q525&lt;4,"Crítico",IF(Q525&lt;9,"Alto",IF(Q525&lt;14,"Médio","Baixo"))))</f>
        <v>Baixo</v>
      </c>
      <c r="S525" s="33" t="s">
        <v>56</v>
      </c>
      <c r="T525" s="4" t="str">
        <f>IF(OR(Tabela1[[#This Row],[Grau de Risco]]="Médio",Tabela1[[#This Row],[Grau de Risco]]="Baixo"),"Não","Sim")</f>
        <v>Não</v>
      </c>
    </row>
    <row r="526" spans="1:20" hidden="1">
      <c r="A526" s="28" t="s">
        <v>7</v>
      </c>
      <c r="B526" s="33" t="s">
        <v>1805</v>
      </c>
      <c r="C526" s="28" t="s">
        <v>252</v>
      </c>
      <c r="D526" s="36" t="s">
        <v>1393</v>
      </c>
      <c r="E526" s="32">
        <v>5</v>
      </c>
      <c r="F526" s="32">
        <v>8</v>
      </c>
      <c r="G526" s="32">
        <v>2025</v>
      </c>
      <c r="H526" s="36" t="s">
        <v>127</v>
      </c>
      <c r="I526" s="29" t="s">
        <v>1634</v>
      </c>
      <c r="J526" s="28" t="s">
        <v>169</v>
      </c>
      <c r="K526" s="32" t="s">
        <v>1581</v>
      </c>
      <c r="L526" s="32" t="s">
        <v>44</v>
      </c>
      <c r="M526" s="28" t="s">
        <v>30</v>
      </c>
      <c r="N526" s="28" t="s">
        <v>44</v>
      </c>
      <c r="O526" s="28"/>
      <c r="P526" s="32"/>
      <c r="Q526" s="35">
        <v>11</v>
      </c>
      <c r="R526" s="32" t="s">
        <v>31</v>
      </c>
      <c r="S526" s="33" t="s">
        <v>63</v>
      </c>
      <c r="T526" s="4" t="str">
        <f>IF(OR(Tabela1[[#This Row],[Grau de Risco]]="Médio",Tabela1[[#This Row],[Grau de Risco]]="Baixo"),"Não","Sim")</f>
        <v>Não</v>
      </c>
    </row>
    <row r="527" spans="1:20" hidden="1">
      <c r="A527" s="28" t="s">
        <v>2</v>
      </c>
      <c r="B527" s="33" t="s">
        <v>1800</v>
      </c>
      <c r="C527" s="28" t="s">
        <v>41</v>
      </c>
      <c r="D527" s="58" t="s">
        <v>1409</v>
      </c>
      <c r="E527" s="32">
        <v>14</v>
      </c>
      <c r="F527" s="32">
        <v>8</v>
      </c>
      <c r="G527" s="32">
        <v>2025</v>
      </c>
      <c r="H527" s="38" t="s">
        <v>33</v>
      </c>
      <c r="I527" s="7" t="s">
        <v>1399</v>
      </c>
      <c r="J527" s="28" t="s">
        <v>35</v>
      </c>
      <c r="K527" s="32">
        <v>90</v>
      </c>
      <c r="L527" s="32" t="s">
        <v>80</v>
      </c>
      <c r="M527" s="28" t="s">
        <v>80</v>
      </c>
      <c r="N527" s="28" t="s">
        <v>80</v>
      </c>
      <c r="O527" s="28" t="s">
        <v>70</v>
      </c>
      <c r="P527" s="32" t="s">
        <v>31</v>
      </c>
      <c r="Q527" s="35">
        <v>7</v>
      </c>
      <c r="R527" s="32" t="s">
        <v>102</v>
      </c>
      <c r="S527" s="33" t="s">
        <v>32</v>
      </c>
      <c r="T527" s="4" t="str">
        <f>IF(OR(Tabela1[[#This Row],[Grau de Risco]]="Médio",Tabela1[[#This Row],[Grau de Risco]]="Baixo"),"Não","Sim")</f>
        <v>Sim</v>
      </c>
    </row>
    <row r="528" spans="1:20" hidden="1">
      <c r="A528" s="28" t="s">
        <v>7</v>
      </c>
      <c r="B528" s="33" t="s">
        <v>1805</v>
      </c>
      <c r="C528" s="28" t="s">
        <v>252</v>
      </c>
      <c r="D528" s="28" t="s">
        <v>1393</v>
      </c>
      <c r="E528" s="32">
        <v>2</v>
      </c>
      <c r="F528" s="32">
        <v>9</v>
      </c>
      <c r="G528" s="32">
        <v>2025</v>
      </c>
      <c r="H528" s="34" t="s">
        <v>27</v>
      </c>
      <c r="I528" s="29" t="s">
        <v>1426</v>
      </c>
      <c r="J528" s="28" t="s">
        <v>61</v>
      </c>
      <c r="K528" s="32"/>
      <c r="L528" s="32"/>
      <c r="M528" s="28"/>
      <c r="N528" s="28"/>
      <c r="O528" s="28" t="s">
        <v>77</v>
      </c>
      <c r="P528" s="32"/>
      <c r="Q528" s="35">
        <v>15</v>
      </c>
      <c r="R528" s="32" t="s">
        <v>52</v>
      </c>
      <c r="S528" s="33" t="s">
        <v>63</v>
      </c>
      <c r="T528" s="4" t="str">
        <f>IF(OR(Tabela1[[#This Row],[Grau de Risco]]="Médio",Tabela1[[#This Row],[Grau de Risco]]="Baixo"),"Não","Sim")</f>
        <v>Não</v>
      </c>
    </row>
    <row r="529" spans="1:20">
      <c r="A529" s="28" t="s">
        <v>8</v>
      </c>
      <c r="B529" s="10" t="s">
        <v>1809</v>
      </c>
      <c r="C529" s="28" t="s">
        <v>81</v>
      </c>
      <c r="D529" s="28" t="s">
        <v>1320</v>
      </c>
      <c r="E529" s="32">
        <v>22</v>
      </c>
      <c r="F529" s="32">
        <v>9</v>
      </c>
      <c r="G529" s="32">
        <v>2025</v>
      </c>
      <c r="H529" s="34" t="s">
        <v>71</v>
      </c>
      <c r="I529" s="7" t="s">
        <v>1635</v>
      </c>
      <c r="J529" s="28" t="s">
        <v>50</v>
      </c>
      <c r="K529" s="32"/>
      <c r="L529" s="32"/>
      <c r="M529" s="28"/>
      <c r="N529" s="28"/>
      <c r="O529" s="28"/>
      <c r="P529" s="32" t="s">
        <v>52</v>
      </c>
      <c r="Q529" s="35">
        <v>14</v>
      </c>
      <c r="R529" s="32" t="str">
        <f>IF(Q529="","",IF(Q529&lt;4,"Crítico",IF(Q529&lt;9,"Alto",IF(Q529&lt;14,"Médio","Baixo"))))</f>
        <v>Baixo</v>
      </c>
      <c r="S529" s="33" t="s">
        <v>56</v>
      </c>
      <c r="T529" s="4" t="str">
        <f>IF(OR(Tabela1[[#This Row],[Grau de Risco]]="Médio",Tabela1[[#This Row],[Grau de Risco]]="Baixo"),"Não","Sim")</f>
        <v>Não</v>
      </c>
    </row>
    <row r="530" spans="1:20" hidden="1">
      <c r="A530" s="28" t="s">
        <v>7</v>
      </c>
      <c r="B530" s="33" t="s">
        <v>1797</v>
      </c>
      <c r="C530" s="28" t="s">
        <v>81</v>
      </c>
      <c r="D530" s="28" t="s">
        <v>47</v>
      </c>
      <c r="E530" s="32">
        <v>17</v>
      </c>
      <c r="F530" s="32">
        <v>10</v>
      </c>
      <c r="G530" s="32">
        <v>2025</v>
      </c>
      <c r="H530" s="34" t="s">
        <v>59</v>
      </c>
      <c r="I530" s="29" t="s">
        <v>1478</v>
      </c>
      <c r="J530" s="28" t="s">
        <v>111</v>
      </c>
      <c r="K530" s="32"/>
      <c r="L530" s="32"/>
      <c r="M530" s="28"/>
      <c r="N530" s="28"/>
      <c r="O530" s="28" t="s">
        <v>4</v>
      </c>
      <c r="P530" s="32"/>
      <c r="Q530" s="35">
        <v>6</v>
      </c>
      <c r="R530" s="32" t="s">
        <v>102</v>
      </c>
      <c r="S530" s="33" t="s">
        <v>63</v>
      </c>
      <c r="T530" s="4" t="str">
        <f>IF(OR(Tabela1[[#This Row],[Grau de Risco]]="Médio",Tabela1[[#This Row],[Grau de Risco]]="Baixo"),"Não","Sim")</f>
        <v>Sim</v>
      </c>
    </row>
    <row r="531" spans="1:20" hidden="1">
      <c r="A531" s="28" t="s">
        <v>1110</v>
      </c>
      <c r="B531" s="33" t="s">
        <v>1797</v>
      </c>
      <c r="C531" s="28" t="s">
        <v>252</v>
      </c>
      <c r="D531" s="28" t="s">
        <v>36</v>
      </c>
      <c r="E531" s="32">
        <v>11</v>
      </c>
      <c r="F531" s="32">
        <v>10</v>
      </c>
      <c r="G531" s="32">
        <v>2025</v>
      </c>
      <c r="H531" s="34" t="s">
        <v>48</v>
      </c>
      <c r="I531" s="29" t="s">
        <v>1518</v>
      </c>
      <c r="J531" s="28" t="s">
        <v>29</v>
      </c>
      <c r="K531" s="32" t="s">
        <v>44</v>
      </c>
      <c r="L531" s="32" t="s">
        <v>44</v>
      </c>
      <c r="M531" s="28"/>
      <c r="N531" s="28" t="s">
        <v>44</v>
      </c>
      <c r="O531" s="28"/>
      <c r="P531" s="32"/>
      <c r="Q531" s="35">
        <v>10</v>
      </c>
      <c r="R531" s="32" t="s">
        <v>31</v>
      </c>
      <c r="S531" s="10" t="s">
        <v>63</v>
      </c>
      <c r="T531" s="4" t="str">
        <f>IF(OR(Tabela1[[#This Row],[Grau de Risco]]="Médio",Tabela1[[#This Row],[Grau de Risco]]="Baixo"),"Não","Sim")</f>
        <v>Não</v>
      </c>
    </row>
    <row r="532" spans="1:20">
      <c r="A532" s="28" t="s">
        <v>7</v>
      </c>
      <c r="B532" s="10" t="s">
        <v>1809</v>
      </c>
      <c r="C532" s="28" t="s">
        <v>81</v>
      </c>
      <c r="D532" s="28" t="s">
        <v>47</v>
      </c>
      <c r="E532" s="32">
        <v>24</v>
      </c>
      <c r="F532" s="32">
        <v>10</v>
      </c>
      <c r="G532" s="32">
        <v>2025</v>
      </c>
      <c r="H532" s="34" t="s">
        <v>33</v>
      </c>
      <c r="I532" s="29" t="s">
        <v>1520</v>
      </c>
      <c r="J532" s="28" t="s">
        <v>29</v>
      </c>
      <c r="K532" s="32" t="s">
        <v>44</v>
      </c>
      <c r="L532" s="32" t="s">
        <v>44</v>
      </c>
      <c r="M532" s="28"/>
      <c r="N532" s="28" t="s">
        <v>44</v>
      </c>
      <c r="O532" s="28"/>
      <c r="P532" s="32" t="s">
        <v>52</v>
      </c>
      <c r="Q532" s="35">
        <v>13</v>
      </c>
      <c r="R532" s="32" t="s">
        <v>31</v>
      </c>
      <c r="S532" s="33" t="s">
        <v>56</v>
      </c>
      <c r="T532" s="4" t="str">
        <f>IF(OR(Tabela1[[#This Row],[Grau de Risco]]="Médio",Tabela1[[#This Row],[Grau de Risco]]="Baixo"),"Não","Sim")</f>
        <v>Não</v>
      </c>
    </row>
    <row r="533" spans="1:20" hidden="1">
      <c r="A533" s="4" t="s">
        <v>9</v>
      </c>
      <c r="B533" s="10" t="s">
        <v>1797</v>
      </c>
      <c r="C533" s="4" t="s">
        <v>46</v>
      </c>
      <c r="D533" s="5" t="s">
        <v>1382</v>
      </c>
      <c r="E533" s="3">
        <v>9</v>
      </c>
      <c r="F533" s="3">
        <v>7</v>
      </c>
      <c r="G533" s="3">
        <v>2025</v>
      </c>
      <c r="H533" s="5" t="s">
        <v>86</v>
      </c>
      <c r="I533" s="7" t="s">
        <v>1525</v>
      </c>
      <c r="J533" s="4" t="s">
        <v>79</v>
      </c>
      <c r="K533" s="3"/>
      <c r="L533" s="3"/>
      <c r="M533" s="4"/>
      <c r="N533" s="4"/>
      <c r="O533" s="4"/>
      <c r="P533" s="3" t="s">
        <v>52</v>
      </c>
      <c r="Q533" s="11">
        <v>7</v>
      </c>
      <c r="R533" s="3" t="s">
        <v>102</v>
      </c>
      <c r="S533" s="10" t="s">
        <v>63</v>
      </c>
      <c r="T533" s="4" t="str">
        <f>IF(OR(Tabela1[[#This Row],[Grau de Risco]]="Médio",Tabela1[[#This Row],[Grau de Risco]]="Baixo"),"Não","Sim")</f>
        <v>Sim</v>
      </c>
    </row>
    <row r="534" spans="1:20">
      <c r="A534" s="28" t="s">
        <v>7</v>
      </c>
      <c r="B534" s="10" t="s">
        <v>1809</v>
      </c>
      <c r="C534" s="32" t="s">
        <v>81</v>
      </c>
      <c r="D534" s="32" t="s">
        <v>1393</v>
      </c>
      <c r="E534" s="32">
        <v>11</v>
      </c>
      <c r="F534" s="32">
        <v>11</v>
      </c>
      <c r="G534" s="32">
        <v>2025</v>
      </c>
      <c r="H534" s="32" t="s">
        <v>112</v>
      </c>
      <c r="I534" s="76" t="s">
        <v>1554</v>
      </c>
      <c r="J534" s="32" t="s">
        <v>111</v>
      </c>
      <c r="K534" s="32"/>
      <c r="L534" s="32"/>
      <c r="M534" s="32"/>
      <c r="N534" s="32"/>
      <c r="O534" s="32" t="s">
        <v>4</v>
      </c>
      <c r="P534" s="32"/>
      <c r="Q534" s="32">
        <v>10</v>
      </c>
      <c r="R534" s="32" t="s">
        <v>31</v>
      </c>
      <c r="S534" s="4" t="s">
        <v>63</v>
      </c>
      <c r="T534" s="4" t="str">
        <f>IF(OR(Tabela1[[#This Row],[Grau de Risco]]="Médio",Tabela1[[#This Row],[Grau de Risco]]="Baixo"),"Não","Sim")</f>
        <v>Não</v>
      </c>
    </row>
    <row r="535" spans="1:20" hidden="1">
      <c r="A535" s="28" t="s">
        <v>10</v>
      </c>
      <c r="B535" s="10" t="s">
        <v>1793</v>
      </c>
      <c r="C535" s="4" t="s">
        <v>81</v>
      </c>
      <c r="D535" s="4" t="s">
        <v>47</v>
      </c>
      <c r="E535" s="3">
        <v>7</v>
      </c>
      <c r="F535" s="3">
        <v>11</v>
      </c>
      <c r="G535" s="3">
        <v>2025</v>
      </c>
      <c r="H535" s="21" t="s">
        <v>27</v>
      </c>
      <c r="I535" s="7" t="s">
        <v>1558</v>
      </c>
      <c r="J535" s="4" t="s">
        <v>35</v>
      </c>
      <c r="K535" s="3" t="s">
        <v>44</v>
      </c>
      <c r="L535" s="3" t="s">
        <v>44</v>
      </c>
      <c r="M535" s="4"/>
      <c r="N535" s="4" t="s">
        <v>44</v>
      </c>
      <c r="O535" s="4" t="s">
        <v>55</v>
      </c>
      <c r="P535" s="3" t="s">
        <v>52</v>
      </c>
      <c r="Q535" s="11">
        <v>15</v>
      </c>
      <c r="R535" s="3" t="str">
        <f>IF(Q535="","",IF(Q535&lt;4,"Crítico",IF(Q535&lt;9,"Alto",IF(Q535&lt;14,"Médio","Baixo"))))</f>
        <v>Baixo</v>
      </c>
      <c r="S535" s="10" t="s">
        <v>56</v>
      </c>
      <c r="T535" s="4" t="str">
        <f>IF(OR(Tabela1[[#This Row],[Grau de Risco]]="Médio",Tabela1[[#This Row],[Grau de Risco]]="Baixo"),"Não","Sim")</f>
        <v>Não</v>
      </c>
    </row>
    <row r="536" spans="1:20" hidden="1">
      <c r="A536" s="4" t="s">
        <v>8</v>
      </c>
      <c r="B536" s="4" t="s">
        <v>1805</v>
      </c>
      <c r="C536" s="5" t="s">
        <v>46</v>
      </c>
      <c r="D536" s="38" t="s">
        <v>47</v>
      </c>
      <c r="E536" s="3">
        <v>24</v>
      </c>
      <c r="F536" s="3">
        <v>1</v>
      </c>
      <c r="G536" s="3">
        <v>2020</v>
      </c>
      <c r="H536" s="5" t="s">
        <v>48</v>
      </c>
      <c r="I536" s="7" t="s">
        <v>49</v>
      </c>
      <c r="J536" s="4" t="s">
        <v>50</v>
      </c>
      <c r="K536" s="3">
        <v>0</v>
      </c>
      <c r="L536" s="3">
        <v>0</v>
      </c>
      <c r="M536" s="5" t="s">
        <v>30</v>
      </c>
      <c r="N536" s="4">
        <v>0</v>
      </c>
      <c r="O536" s="4" t="s">
        <v>51</v>
      </c>
      <c r="P536" s="3" t="s">
        <v>52</v>
      </c>
      <c r="Q536" s="3">
        <v>21</v>
      </c>
      <c r="R536" s="2" t="s">
        <v>52</v>
      </c>
      <c r="S536" s="10" t="s">
        <v>32</v>
      </c>
      <c r="T536" s="4" t="str">
        <f>IF(OR(Tabela1[[#This Row],[Grau de Risco]]="Médio",Tabela1[[#This Row],[Grau de Risco]]="Baixo"),"Não","Sim")</f>
        <v>Não</v>
      </c>
    </row>
    <row r="537" spans="1:20">
      <c r="A537" s="4" t="s">
        <v>2</v>
      </c>
      <c r="B537" s="10" t="s">
        <v>1809</v>
      </c>
      <c r="C537" s="4" t="s">
        <v>26</v>
      </c>
      <c r="D537" s="58" t="s">
        <v>1409</v>
      </c>
      <c r="E537" s="3">
        <v>30</v>
      </c>
      <c r="F537" s="3">
        <v>7</v>
      </c>
      <c r="G537" s="3">
        <v>2020</v>
      </c>
      <c r="H537" s="36" t="s">
        <v>112</v>
      </c>
      <c r="I537" s="7" t="s">
        <v>113</v>
      </c>
      <c r="J537" s="4" t="s">
        <v>79</v>
      </c>
      <c r="K537" s="3">
        <v>7</v>
      </c>
      <c r="L537" s="3">
        <v>0</v>
      </c>
      <c r="M537" s="4" t="s">
        <v>30</v>
      </c>
      <c r="N537" s="4">
        <v>0</v>
      </c>
      <c r="O537" s="4" t="s">
        <v>70</v>
      </c>
      <c r="P537" s="3" t="s">
        <v>52</v>
      </c>
      <c r="Q537" s="11">
        <v>14</v>
      </c>
      <c r="R537" s="3" t="s">
        <v>52</v>
      </c>
      <c r="S537" s="5" t="s">
        <v>56</v>
      </c>
      <c r="T537" s="4" t="str">
        <f>IF(OR(Tabela1[[#This Row],[Grau de Risco]]="Médio",Tabela1[[#This Row],[Grau de Risco]]="Baixo"),"Não","Sim")</f>
        <v>Não</v>
      </c>
    </row>
    <row r="538" spans="1:20">
      <c r="A538" s="4" t="s">
        <v>8</v>
      </c>
      <c r="B538" s="10" t="s">
        <v>1809</v>
      </c>
      <c r="C538" s="4" t="s">
        <v>46</v>
      </c>
      <c r="D538" s="38" t="s">
        <v>1393</v>
      </c>
      <c r="E538" s="3">
        <v>23</v>
      </c>
      <c r="F538" s="3">
        <v>3</v>
      </c>
      <c r="G538" s="3">
        <v>2021</v>
      </c>
      <c r="H538" s="5" t="s">
        <v>71</v>
      </c>
      <c r="I538" s="7" t="s">
        <v>216</v>
      </c>
      <c r="J538" s="4" t="s">
        <v>192</v>
      </c>
      <c r="K538" s="3">
        <v>0</v>
      </c>
      <c r="L538" s="3">
        <v>0</v>
      </c>
      <c r="M538" s="4" t="s">
        <v>30</v>
      </c>
      <c r="N538" s="4"/>
      <c r="O538" s="4" t="s">
        <v>85</v>
      </c>
      <c r="P538" s="3" t="s">
        <v>52</v>
      </c>
      <c r="Q538" s="11">
        <v>13</v>
      </c>
      <c r="R538" s="3" t="str">
        <f>IF(Q538="","",IF(Q538&lt;4,"Crítico",IF(Q538&lt;9,"Alto",IF(Q538&lt;14,"Médio","Baixo"))))</f>
        <v>Médio</v>
      </c>
      <c r="S538" s="10" t="s">
        <v>63</v>
      </c>
      <c r="T538" s="4" t="str">
        <f>IF(OR(Tabela1[[#This Row],[Grau de Risco]]="Médio",Tabela1[[#This Row],[Grau de Risco]]="Baixo"),"Não","Sim")</f>
        <v>Não</v>
      </c>
    </row>
    <row r="539" spans="1:20">
      <c r="A539" s="4" t="s">
        <v>8</v>
      </c>
      <c r="B539" s="10" t="s">
        <v>1809</v>
      </c>
      <c r="C539" s="4" t="s">
        <v>46</v>
      </c>
      <c r="D539" s="5" t="s">
        <v>36</v>
      </c>
      <c r="E539" s="3">
        <v>23</v>
      </c>
      <c r="F539" s="3">
        <v>4</v>
      </c>
      <c r="G539" s="3">
        <v>2022</v>
      </c>
      <c r="H539" s="36" t="s">
        <v>66</v>
      </c>
      <c r="I539" s="7" t="s">
        <v>284</v>
      </c>
      <c r="J539" s="4" t="s">
        <v>61</v>
      </c>
      <c r="K539" s="3">
        <v>0</v>
      </c>
      <c r="L539" s="3">
        <v>0</v>
      </c>
      <c r="M539" s="4" t="s">
        <v>30</v>
      </c>
      <c r="N539" s="4"/>
      <c r="O539" s="4" t="s">
        <v>77</v>
      </c>
      <c r="P539" s="3" t="s">
        <v>102</v>
      </c>
      <c r="Q539" s="11">
        <v>9</v>
      </c>
      <c r="R539" s="3" t="str">
        <f>IF(Q539="","",IF(Q539&lt;4,"Crítico",IF(Q539&lt;9,"Alto",IF(Q539&lt;14,"Médio","Baixo"))))</f>
        <v>Médio</v>
      </c>
      <c r="S539" s="10" t="s">
        <v>63</v>
      </c>
      <c r="T539" s="4" t="str">
        <f>IF(OR(Tabela1[[#This Row],[Grau de Risco]]="Médio",Tabela1[[#This Row],[Grau de Risco]]="Baixo"),"Não","Sim")</f>
        <v>Não</v>
      </c>
    </row>
    <row r="540" spans="1:20" hidden="1">
      <c r="A540" s="4" t="s">
        <v>7</v>
      </c>
      <c r="B540" s="10" t="s">
        <v>1805</v>
      </c>
      <c r="C540" s="4" t="s">
        <v>89</v>
      </c>
      <c r="D540" s="58" t="s">
        <v>1409</v>
      </c>
      <c r="E540" s="3">
        <v>13</v>
      </c>
      <c r="F540" s="3">
        <v>1</v>
      </c>
      <c r="G540" s="3">
        <v>2022</v>
      </c>
      <c r="H540" s="36" t="s">
        <v>107</v>
      </c>
      <c r="I540" s="7" t="s">
        <v>320</v>
      </c>
      <c r="J540" s="4" t="s">
        <v>61</v>
      </c>
      <c r="K540" s="3" t="s">
        <v>62</v>
      </c>
      <c r="L540" s="3" t="s">
        <v>44</v>
      </c>
      <c r="M540" s="4" t="s">
        <v>30</v>
      </c>
      <c r="N540" s="4"/>
      <c r="O540" s="4" t="s">
        <v>51</v>
      </c>
      <c r="P540" s="3" t="s">
        <v>52</v>
      </c>
      <c r="Q540" s="11">
        <v>4</v>
      </c>
      <c r="R540" s="3" t="str">
        <f>IF(Q540="","",IF(Q540&lt;4,"Crítico",IF(Q540&lt;9,"Alto",IF(Q540&lt;14,"Médio","Baixo"))))</f>
        <v>Alto</v>
      </c>
      <c r="S540" s="10" t="s">
        <v>63</v>
      </c>
      <c r="T540" s="4" t="str">
        <f>IF(OR(Tabela1[[#This Row],[Grau de Risco]]="Médio",Tabela1[[#This Row],[Grau de Risco]]="Baixo"),"Não","Sim")</f>
        <v>Sim</v>
      </c>
    </row>
    <row r="541" spans="1:20" hidden="1">
      <c r="A541" s="4" t="s">
        <v>7</v>
      </c>
      <c r="B541" s="10" t="s">
        <v>1793</v>
      </c>
      <c r="C541" s="4" t="s">
        <v>89</v>
      </c>
      <c r="D541" s="38" t="s">
        <v>1382</v>
      </c>
      <c r="E541" s="3">
        <v>30</v>
      </c>
      <c r="F541" s="3">
        <v>3</v>
      </c>
      <c r="G541" s="3">
        <v>2022</v>
      </c>
      <c r="H541" s="36" t="s">
        <v>107</v>
      </c>
      <c r="I541" s="7" t="s">
        <v>321</v>
      </c>
      <c r="J541" s="4" t="s">
        <v>61</v>
      </c>
      <c r="K541" s="3" t="s">
        <v>62</v>
      </c>
      <c r="L541" s="3" t="s">
        <v>44</v>
      </c>
      <c r="M541" s="4" t="s">
        <v>30</v>
      </c>
      <c r="N541" s="4"/>
      <c r="O541" s="4" t="s">
        <v>51</v>
      </c>
      <c r="P541" s="3" t="s">
        <v>52</v>
      </c>
      <c r="Q541" s="11">
        <v>4</v>
      </c>
      <c r="R541" s="3" t="str">
        <f>IF(Q541="","",IF(Q541&lt;4,"Crítico",IF(Q541&lt;9,"Alto",IF(Q541&lt;14,"Médio","Baixo"))))</f>
        <v>Alto</v>
      </c>
      <c r="S541" s="10" t="s">
        <v>63</v>
      </c>
      <c r="T541" s="4" t="str">
        <f>IF(OR(Tabela1[[#This Row],[Grau de Risco]]="Médio",Tabela1[[#This Row],[Grau de Risco]]="Baixo"),"Não","Sim")</f>
        <v>Sim</v>
      </c>
    </row>
    <row r="542" spans="1:20" hidden="1">
      <c r="A542" s="5" t="s">
        <v>2</v>
      </c>
      <c r="B542" s="6" t="s">
        <v>1805</v>
      </c>
      <c r="C542" s="5" t="s">
        <v>26</v>
      </c>
      <c r="D542" s="58" t="s">
        <v>1409</v>
      </c>
      <c r="E542" s="2">
        <v>30</v>
      </c>
      <c r="F542" s="2">
        <v>6</v>
      </c>
      <c r="G542" s="2">
        <v>2022</v>
      </c>
      <c r="H542" s="34" t="s">
        <v>59</v>
      </c>
      <c r="I542" s="5" t="s">
        <v>368</v>
      </c>
      <c r="J542" s="5" t="s">
        <v>54</v>
      </c>
      <c r="K542" s="2">
        <v>8</v>
      </c>
      <c r="L542" s="2">
        <v>8</v>
      </c>
      <c r="M542" s="5" t="s">
        <v>30</v>
      </c>
      <c r="N542" s="5">
        <v>0</v>
      </c>
      <c r="O542" s="5" t="s">
        <v>85</v>
      </c>
      <c r="P542" s="2" t="s">
        <v>31</v>
      </c>
      <c r="Q542" s="2">
        <v>4</v>
      </c>
      <c r="R542" s="2" t="s">
        <v>102</v>
      </c>
      <c r="S542" s="5" t="s">
        <v>40</v>
      </c>
      <c r="T542" s="4" t="str">
        <f>IF(OR(Tabela1[[#This Row],[Grau de Risco]]="Médio",Tabela1[[#This Row],[Grau de Risco]]="Baixo"),"Não","Sim")</f>
        <v>Sim</v>
      </c>
    </row>
    <row r="543" spans="1:20" hidden="1">
      <c r="A543" s="4" t="s">
        <v>2</v>
      </c>
      <c r="B543" s="10" t="s">
        <v>1805</v>
      </c>
      <c r="C543" s="4" t="s">
        <v>81</v>
      </c>
      <c r="D543" s="58" t="s">
        <v>1409</v>
      </c>
      <c r="E543" s="16">
        <v>25</v>
      </c>
      <c r="F543" s="3">
        <v>5</v>
      </c>
      <c r="G543" s="3">
        <v>2023</v>
      </c>
      <c r="H543" s="5" t="s">
        <v>71</v>
      </c>
      <c r="I543" s="7" t="s">
        <v>446</v>
      </c>
      <c r="J543" s="4" t="s">
        <v>54</v>
      </c>
      <c r="K543" s="3">
        <v>90</v>
      </c>
      <c r="L543" s="3">
        <v>0</v>
      </c>
      <c r="M543" s="4" t="s">
        <v>30</v>
      </c>
      <c r="N543" s="4">
        <v>0</v>
      </c>
      <c r="O543" s="4" t="s">
        <v>70</v>
      </c>
      <c r="P543" s="3" t="s">
        <v>102</v>
      </c>
      <c r="Q543" s="11">
        <v>4</v>
      </c>
      <c r="R543" s="3" t="s">
        <v>102</v>
      </c>
      <c r="S543" s="10" t="s">
        <v>63</v>
      </c>
      <c r="T543" s="4" t="str">
        <f>IF(OR(Tabela1[[#This Row],[Grau de Risco]]="Médio",Tabela1[[#This Row],[Grau de Risco]]="Baixo"),"Não","Sim")</f>
        <v>Sim</v>
      </c>
    </row>
    <row r="544" spans="1:20">
      <c r="A544" s="5" t="s">
        <v>7</v>
      </c>
      <c r="B544" s="10" t="s">
        <v>1809</v>
      </c>
      <c r="C544" s="4" t="s">
        <v>81</v>
      </c>
      <c r="D544" s="58" t="s">
        <v>1409</v>
      </c>
      <c r="E544" s="3">
        <v>12</v>
      </c>
      <c r="F544" s="3">
        <v>10</v>
      </c>
      <c r="G544" s="3">
        <v>2023</v>
      </c>
      <c r="H544" s="5" t="s">
        <v>123</v>
      </c>
      <c r="I544" s="7" t="s">
        <v>1819</v>
      </c>
      <c r="J544" s="4" t="s">
        <v>76</v>
      </c>
      <c r="K544" s="3" t="s">
        <v>44</v>
      </c>
      <c r="L544" s="3" t="s">
        <v>44</v>
      </c>
      <c r="M544" s="4" t="s">
        <v>44</v>
      </c>
      <c r="N544" s="4" t="s">
        <v>44</v>
      </c>
      <c r="O544" s="4"/>
      <c r="P544" s="3"/>
      <c r="Q544" s="3">
        <v>11</v>
      </c>
      <c r="R544" s="11" t="s">
        <v>31</v>
      </c>
      <c r="S544" s="10" t="s">
        <v>63</v>
      </c>
      <c r="T544" s="4" t="str">
        <f>IF(OR(Tabela1[[#This Row],[Grau de Risco]]="Médio",Tabela1[[#This Row],[Grau de Risco]]="Baixo"),"Não","Sim")</f>
        <v>Não</v>
      </c>
    </row>
    <row r="545" spans="1:20" hidden="1">
      <c r="A545" s="4" t="s">
        <v>9</v>
      </c>
      <c r="B545" s="10" t="s">
        <v>1793</v>
      </c>
      <c r="C545" s="4" t="s">
        <v>81</v>
      </c>
      <c r="D545" s="58" t="s">
        <v>1409</v>
      </c>
      <c r="E545" s="3">
        <v>21</v>
      </c>
      <c r="F545" s="3">
        <v>12</v>
      </c>
      <c r="G545" s="3">
        <v>2023</v>
      </c>
      <c r="H545" s="60" t="s">
        <v>109</v>
      </c>
      <c r="I545" s="7" t="s">
        <v>480</v>
      </c>
      <c r="J545" s="4" t="s">
        <v>50</v>
      </c>
      <c r="K545" s="3" t="s">
        <v>62</v>
      </c>
      <c r="L545" s="3">
        <v>0</v>
      </c>
      <c r="M545" s="4" t="s">
        <v>30</v>
      </c>
      <c r="N545" s="4">
        <v>0</v>
      </c>
      <c r="O545" s="4" t="s">
        <v>101</v>
      </c>
      <c r="P545" s="3" t="s">
        <v>31</v>
      </c>
      <c r="Q545" s="11">
        <v>11</v>
      </c>
      <c r="R545" s="3" t="s">
        <v>31</v>
      </c>
      <c r="S545" s="10" t="s">
        <v>63</v>
      </c>
      <c r="T545" s="4" t="str">
        <f>IF(OR(Tabela1[[#This Row],[Grau de Risco]]="Médio",Tabela1[[#This Row],[Grau de Risco]]="Baixo"),"Não","Sim")</f>
        <v>Não</v>
      </c>
    </row>
    <row r="546" spans="1:20" hidden="1">
      <c r="A546" s="4" t="s">
        <v>2</v>
      </c>
      <c r="B546" s="10" t="s">
        <v>1805</v>
      </c>
      <c r="C546" s="4" t="s">
        <v>89</v>
      </c>
      <c r="D546" s="38" t="s">
        <v>1382</v>
      </c>
      <c r="E546" s="3">
        <v>5</v>
      </c>
      <c r="F546" s="3">
        <v>4</v>
      </c>
      <c r="G546" s="3">
        <v>2023</v>
      </c>
      <c r="H546" s="36" t="s">
        <v>33</v>
      </c>
      <c r="I546" s="7" t="s">
        <v>593</v>
      </c>
      <c r="J546" s="4" t="s">
        <v>111</v>
      </c>
      <c r="K546" s="3">
        <v>13</v>
      </c>
      <c r="L546" s="3">
        <v>0</v>
      </c>
      <c r="M546" s="4" t="s">
        <v>30</v>
      </c>
      <c r="N546" s="4"/>
      <c r="O546" s="4" t="s">
        <v>77</v>
      </c>
      <c r="P546" s="3" t="s">
        <v>102</v>
      </c>
      <c r="Q546" s="11">
        <v>4</v>
      </c>
      <c r="R546" s="3" t="str">
        <f>IF(Q546="","",IF(Q546&lt;4,"Crítico",IF(Q546&lt;9,"Alto",IF(Q546&lt;14,"Médio","Baixo"))))</f>
        <v>Alto</v>
      </c>
      <c r="S546" s="10" t="s">
        <v>63</v>
      </c>
      <c r="T546" s="4" t="str">
        <f>IF(OR(Tabela1[[#This Row],[Grau de Risco]]="Médio",Tabela1[[#This Row],[Grau de Risco]]="Baixo"),"Não","Sim")</f>
        <v>Sim</v>
      </c>
    </row>
    <row r="547" spans="1:20" hidden="1">
      <c r="A547" s="4" t="s">
        <v>2</v>
      </c>
      <c r="B547" s="10" t="s">
        <v>1800</v>
      </c>
      <c r="C547" s="4" t="s">
        <v>81</v>
      </c>
      <c r="D547" s="58" t="s">
        <v>1409</v>
      </c>
      <c r="E547" s="3">
        <v>30</v>
      </c>
      <c r="F547" s="3">
        <v>10</v>
      </c>
      <c r="G547" s="3">
        <v>2023</v>
      </c>
      <c r="H547" s="5" t="s">
        <v>71</v>
      </c>
      <c r="I547" s="7" t="s">
        <v>608</v>
      </c>
      <c r="J547" s="4" t="s">
        <v>54</v>
      </c>
      <c r="K547" s="3">
        <v>9</v>
      </c>
      <c r="L547" s="3"/>
      <c r="M547" s="4"/>
      <c r="N547" s="4"/>
      <c r="O547" s="4" t="s">
        <v>129</v>
      </c>
      <c r="P547" s="3" t="s">
        <v>31</v>
      </c>
      <c r="Q547" s="11">
        <v>11</v>
      </c>
      <c r="R547" s="3" t="s">
        <v>31</v>
      </c>
      <c r="S547" s="10" t="s">
        <v>32</v>
      </c>
      <c r="T547" s="4" t="str">
        <f>IF(OR(Tabela1[[#This Row],[Grau de Risco]]="Médio",Tabela1[[#This Row],[Grau de Risco]]="Baixo"),"Não","Sim")</f>
        <v>Não</v>
      </c>
    </row>
    <row r="548" spans="1:20" hidden="1">
      <c r="A548" s="5" t="s">
        <v>7</v>
      </c>
      <c r="B548" s="10" t="s">
        <v>1800</v>
      </c>
      <c r="C548" s="4" t="s">
        <v>41</v>
      </c>
      <c r="D548" s="38" t="s">
        <v>1320</v>
      </c>
      <c r="E548" s="3">
        <v>28</v>
      </c>
      <c r="F548" s="3">
        <v>8</v>
      </c>
      <c r="G548" s="3">
        <v>2023</v>
      </c>
      <c r="H548" s="36" t="s">
        <v>33</v>
      </c>
      <c r="I548" s="7" t="s">
        <v>617</v>
      </c>
      <c r="J548" s="4" t="s">
        <v>54</v>
      </c>
      <c r="K548" s="3" t="s">
        <v>44</v>
      </c>
      <c r="L548" s="3" t="s">
        <v>44</v>
      </c>
      <c r="M548" s="4" t="s">
        <v>30</v>
      </c>
      <c r="N548" s="4"/>
      <c r="O548" s="4" t="s">
        <v>4</v>
      </c>
      <c r="P548" s="3"/>
      <c r="Q548" s="11">
        <v>4</v>
      </c>
      <c r="R548" s="3" t="s">
        <v>102</v>
      </c>
      <c r="S548" s="10" t="s">
        <v>63</v>
      </c>
      <c r="T548" s="4" t="str">
        <f>IF(OR(Tabela1[[#This Row],[Grau de Risco]]="Médio",Tabela1[[#This Row],[Grau de Risco]]="Baixo"),"Não","Sim")</f>
        <v>Sim</v>
      </c>
    </row>
    <row r="549" spans="1:20" hidden="1">
      <c r="A549" s="5" t="s">
        <v>7</v>
      </c>
      <c r="B549" s="10" t="s">
        <v>1800</v>
      </c>
      <c r="C549" s="4" t="s">
        <v>41</v>
      </c>
      <c r="D549" s="5" t="s">
        <v>36</v>
      </c>
      <c r="E549" s="3">
        <v>23</v>
      </c>
      <c r="F549" s="3">
        <v>9</v>
      </c>
      <c r="G549" s="3">
        <v>2023</v>
      </c>
      <c r="H549" s="5" t="s">
        <v>48</v>
      </c>
      <c r="I549" s="7" t="s">
        <v>630</v>
      </c>
      <c r="J549" s="4" t="s">
        <v>54</v>
      </c>
      <c r="K549" s="3" t="s">
        <v>44</v>
      </c>
      <c r="L549" s="3"/>
      <c r="M549" s="4"/>
      <c r="N549" s="4"/>
      <c r="O549" s="4" t="s">
        <v>4</v>
      </c>
      <c r="P549" s="3"/>
      <c r="Q549" s="11">
        <v>15</v>
      </c>
      <c r="R549" s="3" t="s">
        <v>52</v>
      </c>
      <c r="S549" s="5" t="s">
        <v>56</v>
      </c>
      <c r="T549" s="4" t="str">
        <f>IF(OR(Tabela1[[#This Row],[Grau de Risco]]="Médio",Tabela1[[#This Row],[Grau de Risco]]="Baixo"),"Não","Sim")</f>
        <v>Não</v>
      </c>
    </row>
    <row r="550" spans="1:20" hidden="1">
      <c r="A550" s="4" t="s">
        <v>8</v>
      </c>
      <c r="B550" s="10" t="s">
        <v>1800</v>
      </c>
      <c r="C550" s="4" t="s">
        <v>81</v>
      </c>
      <c r="D550" s="38" t="s">
        <v>1320</v>
      </c>
      <c r="E550" s="3">
        <v>2</v>
      </c>
      <c r="F550" s="3">
        <v>10</v>
      </c>
      <c r="G550" s="3">
        <v>2023</v>
      </c>
      <c r="H550" s="36" t="s">
        <v>82</v>
      </c>
      <c r="I550" s="7" t="s">
        <v>633</v>
      </c>
      <c r="J550" s="4" t="s">
        <v>54</v>
      </c>
      <c r="K550" s="3">
        <v>0</v>
      </c>
      <c r="L550" s="3"/>
      <c r="M550" s="4"/>
      <c r="N550" s="4"/>
      <c r="O550" s="4" t="s">
        <v>88</v>
      </c>
      <c r="P550" s="3" t="s">
        <v>52</v>
      </c>
      <c r="Q550" s="11">
        <v>15</v>
      </c>
      <c r="R550" s="3" t="s">
        <v>52</v>
      </c>
      <c r="S550" s="5" t="s">
        <v>56</v>
      </c>
      <c r="T550" s="4" t="str">
        <f>IF(OR(Tabela1[[#This Row],[Grau de Risco]]="Médio",Tabela1[[#This Row],[Grau de Risco]]="Baixo"),"Não","Sim")</f>
        <v>Não</v>
      </c>
    </row>
    <row r="551" spans="1:20" hidden="1">
      <c r="A551" s="4" t="s">
        <v>7</v>
      </c>
      <c r="B551" s="10" t="s">
        <v>1793</v>
      </c>
      <c r="C551" s="4"/>
      <c r="D551" s="38" t="s">
        <v>1320</v>
      </c>
      <c r="E551" s="3">
        <v>7</v>
      </c>
      <c r="F551" s="3">
        <v>8</v>
      </c>
      <c r="G551" s="3">
        <v>2023</v>
      </c>
      <c r="H551" s="5" t="s">
        <v>71</v>
      </c>
      <c r="I551" s="7" t="s">
        <v>682</v>
      </c>
      <c r="J551" s="4" t="s">
        <v>115</v>
      </c>
      <c r="K551" s="3" t="s">
        <v>62</v>
      </c>
      <c r="L551" s="3"/>
      <c r="M551" s="4"/>
      <c r="N551" s="4"/>
      <c r="O551" s="4" t="s">
        <v>77</v>
      </c>
      <c r="P551" s="3" t="s">
        <v>52</v>
      </c>
      <c r="Q551" s="11">
        <v>11</v>
      </c>
      <c r="R551" s="3" t="str">
        <f>IF(Q551="","",IF(Q551&lt;4,"Crítico",IF(Q551&lt;9,"Alto",IF(Q551&lt;14,"Médio","Baixo"))))</f>
        <v>Médio</v>
      </c>
      <c r="S551" s="10" t="s">
        <v>63</v>
      </c>
      <c r="T551" s="4" t="str">
        <f>IF(OR(Tabela1[[#This Row],[Grau de Risco]]="Médio",Tabela1[[#This Row],[Grau de Risco]]="Baixo"),"Não","Sim")</f>
        <v>Não</v>
      </c>
    </row>
    <row r="552" spans="1:20" hidden="1">
      <c r="A552" s="4" t="s">
        <v>8</v>
      </c>
      <c r="B552" s="10" t="s">
        <v>1800</v>
      </c>
      <c r="C552" s="4" t="s">
        <v>41</v>
      </c>
      <c r="D552" s="5" t="s">
        <v>36</v>
      </c>
      <c r="E552" s="3">
        <v>25</v>
      </c>
      <c r="F552" s="3">
        <v>10</v>
      </c>
      <c r="G552" s="3">
        <v>2023</v>
      </c>
      <c r="H552" s="4" t="s">
        <v>86</v>
      </c>
      <c r="I552" s="7" t="s">
        <v>694</v>
      </c>
      <c r="J552" s="4" t="s">
        <v>93</v>
      </c>
      <c r="K552" s="3" t="s">
        <v>62</v>
      </c>
      <c r="L552" s="3">
        <v>0</v>
      </c>
      <c r="M552" s="4"/>
      <c r="N552" s="4">
        <v>0</v>
      </c>
      <c r="O552" s="4" t="s">
        <v>88</v>
      </c>
      <c r="P552" s="3" t="s">
        <v>52</v>
      </c>
      <c r="Q552" s="11">
        <v>11</v>
      </c>
      <c r="R552" s="3" t="s">
        <v>31</v>
      </c>
      <c r="S552" s="5" t="s">
        <v>56</v>
      </c>
      <c r="T552" s="4" t="str">
        <f>IF(OR(Tabela1[[#This Row],[Grau de Risco]]="Médio",Tabela1[[#This Row],[Grau de Risco]]="Baixo"),"Não","Sim")</f>
        <v>Não</v>
      </c>
    </row>
    <row r="553" spans="1:20">
      <c r="A553" s="4" t="s">
        <v>7</v>
      </c>
      <c r="B553" s="10" t="s">
        <v>1809</v>
      </c>
      <c r="C553" s="4" t="s">
        <v>41</v>
      </c>
      <c r="D553" s="38" t="s">
        <v>1393</v>
      </c>
      <c r="E553" s="3">
        <v>27</v>
      </c>
      <c r="F553" s="3">
        <v>8</v>
      </c>
      <c r="G553" s="3">
        <v>2024</v>
      </c>
      <c r="H553" s="36" t="s">
        <v>107</v>
      </c>
      <c r="I553" s="7" t="s">
        <v>1636</v>
      </c>
      <c r="J553" s="4" t="s">
        <v>93</v>
      </c>
      <c r="K553" s="3"/>
      <c r="L553" s="3"/>
      <c r="M553" s="4" t="s">
        <v>30</v>
      </c>
      <c r="N553" s="4">
        <v>0</v>
      </c>
      <c r="O553" s="4"/>
      <c r="P553" s="3" t="s">
        <v>52</v>
      </c>
      <c r="Q553" s="11">
        <v>16</v>
      </c>
      <c r="R553" s="3" t="s">
        <v>52</v>
      </c>
      <c r="S553" s="5" t="s">
        <v>56</v>
      </c>
      <c r="T553" s="4" t="str">
        <f>IF(OR(Tabela1[[#This Row],[Grau de Risco]]="Médio",Tabela1[[#This Row],[Grau de Risco]]="Baixo"),"Não","Sim")</f>
        <v>Não</v>
      </c>
    </row>
    <row r="554" spans="1:20" hidden="1">
      <c r="A554" s="4" t="s">
        <v>7</v>
      </c>
      <c r="B554" s="10" t="s">
        <v>1797</v>
      </c>
      <c r="C554" s="4" t="s">
        <v>81</v>
      </c>
      <c r="D554" s="58" t="s">
        <v>1409</v>
      </c>
      <c r="E554" s="3">
        <v>13</v>
      </c>
      <c r="F554" s="3">
        <v>11</v>
      </c>
      <c r="G554" s="3">
        <v>2024</v>
      </c>
      <c r="H554" s="5" t="s">
        <v>48</v>
      </c>
      <c r="I554" s="7" t="s">
        <v>1637</v>
      </c>
      <c r="J554" s="4" t="s">
        <v>35</v>
      </c>
      <c r="K554" s="3" t="s">
        <v>44</v>
      </c>
      <c r="L554" s="3" t="s">
        <v>44</v>
      </c>
      <c r="M554" s="4"/>
      <c r="N554" s="4" t="s">
        <v>44</v>
      </c>
      <c r="O554" s="4"/>
      <c r="P554" s="3"/>
      <c r="Q554" s="11">
        <v>14</v>
      </c>
      <c r="R554" s="3" t="s">
        <v>52</v>
      </c>
      <c r="S554" s="10" t="s">
        <v>63</v>
      </c>
      <c r="T554" s="4" t="str">
        <f>IF(OR(Tabela1[[#This Row],[Grau de Risco]]="Médio",Tabela1[[#This Row],[Grau de Risco]]="Baixo"),"Não","Sim")</f>
        <v>Não</v>
      </c>
    </row>
    <row r="555" spans="1:20" hidden="1">
      <c r="A555" s="47" t="s">
        <v>2</v>
      </c>
      <c r="B555" s="10" t="s">
        <v>1797</v>
      </c>
      <c r="C555" s="47" t="s">
        <v>252</v>
      </c>
      <c r="D555" s="38" t="s">
        <v>1393</v>
      </c>
      <c r="E555" s="31">
        <v>21</v>
      </c>
      <c r="F555" s="31">
        <v>5</v>
      </c>
      <c r="G555" s="31">
        <v>2024</v>
      </c>
      <c r="H555" s="36" t="s">
        <v>33</v>
      </c>
      <c r="I555" s="47" t="s">
        <v>754</v>
      </c>
      <c r="J555" s="47" t="s">
        <v>38</v>
      </c>
      <c r="K555" s="31">
        <v>15</v>
      </c>
      <c r="L555" s="31" t="s">
        <v>30</v>
      </c>
      <c r="M555" s="47" t="s">
        <v>30</v>
      </c>
      <c r="N555" s="31" t="s">
        <v>44</v>
      </c>
      <c r="O555" s="47" t="s">
        <v>70</v>
      </c>
      <c r="P555" s="31" t="s">
        <v>31</v>
      </c>
      <c r="Q555" s="31">
        <v>11</v>
      </c>
      <c r="R555" s="3" t="s">
        <v>31</v>
      </c>
      <c r="S555" s="10" t="s">
        <v>32</v>
      </c>
      <c r="T555" s="4" t="str">
        <f>IF(OR(Tabela1[[#This Row],[Grau de Risco]]="Médio",Tabela1[[#This Row],[Grau de Risco]]="Baixo"),"Não","Sim")</f>
        <v>Não</v>
      </c>
    </row>
    <row r="556" spans="1:20" hidden="1">
      <c r="A556" s="4" t="s">
        <v>7</v>
      </c>
      <c r="B556" s="10" t="s">
        <v>1805</v>
      </c>
      <c r="C556" s="4" t="s">
        <v>81</v>
      </c>
      <c r="D556" s="58" t="s">
        <v>1409</v>
      </c>
      <c r="E556" s="3">
        <v>29</v>
      </c>
      <c r="F556" s="3">
        <v>2</v>
      </c>
      <c r="G556" s="3">
        <v>2024</v>
      </c>
      <c r="H556" s="5" t="s">
        <v>71</v>
      </c>
      <c r="I556" s="7" t="s">
        <v>767</v>
      </c>
      <c r="J556" s="4" t="s">
        <v>73</v>
      </c>
      <c r="K556" s="3" t="s">
        <v>62</v>
      </c>
      <c r="L556" s="3"/>
      <c r="M556" s="4"/>
      <c r="N556" s="4"/>
      <c r="O556" s="4" t="s">
        <v>4</v>
      </c>
      <c r="P556" s="3"/>
      <c r="Q556" s="11">
        <v>14</v>
      </c>
      <c r="R556" s="3" t="s">
        <v>52</v>
      </c>
      <c r="S556" s="10" t="s">
        <v>4</v>
      </c>
      <c r="T556" s="4" t="str">
        <f>IF(OR(Tabela1[[#This Row],[Grau de Risco]]="Médio",Tabela1[[#This Row],[Grau de Risco]]="Baixo"),"Não","Sim")</f>
        <v>Não</v>
      </c>
    </row>
    <row r="557" spans="1:20">
      <c r="A557" s="4" t="s">
        <v>7</v>
      </c>
      <c r="B557" s="10" t="s">
        <v>1809</v>
      </c>
      <c r="C557" s="4" t="s">
        <v>26</v>
      </c>
      <c r="D557" s="38" t="s">
        <v>47</v>
      </c>
      <c r="E557" s="3">
        <v>25</v>
      </c>
      <c r="F557" s="3">
        <v>9</v>
      </c>
      <c r="G557" s="3">
        <v>2024</v>
      </c>
      <c r="H557" s="5" t="s">
        <v>48</v>
      </c>
      <c r="I557" s="7" t="s">
        <v>811</v>
      </c>
      <c r="J557" s="4" t="s">
        <v>135</v>
      </c>
      <c r="K557" s="3"/>
      <c r="L557" s="3"/>
      <c r="M557" s="4"/>
      <c r="N557" s="4"/>
      <c r="O557" s="4" t="s">
        <v>77</v>
      </c>
      <c r="P557" s="3"/>
      <c r="Q557" s="11">
        <v>13</v>
      </c>
      <c r="R557" s="3" t="s">
        <v>31</v>
      </c>
      <c r="S557" s="10" t="s">
        <v>63</v>
      </c>
      <c r="T557" s="4" t="str">
        <f>IF(OR(Tabela1[[#This Row],[Grau de Risco]]="Médio",Tabela1[[#This Row],[Grau de Risco]]="Baixo"),"Não","Sim")</f>
        <v>Não</v>
      </c>
    </row>
    <row r="558" spans="1:20" hidden="1">
      <c r="A558" s="28" t="s">
        <v>2</v>
      </c>
      <c r="B558" s="33" t="s">
        <v>1800</v>
      </c>
      <c r="C558" s="28" t="s">
        <v>252</v>
      </c>
      <c r="D558" s="58" t="s">
        <v>1409</v>
      </c>
      <c r="E558" s="32">
        <v>3</v>
      </c>
      <c r="F558" s="32">
        <v>7</v>
      </c>
      <c r="G558" s="32">
        <v>2024</v>
      </c>
      <c r="H558" s="36" t="s">
        <v>107</v>
      </c>
      <c r="I558" s="29" t="s">
        <v>825</v>
      </c>
      <c r="J558" s="28" t="s">
        <v>84</v>
      </c>
      <c r="K558" s="32">
        <v>3</v>
      </c>
      <c r="L558" s="32" t="s">
        <v>80</v>
      </c>
      <c r="M558" s="28" t="s">
        <v>30</v>
      </c>
      <c r="N558" s="28" t="s">
        <v>80</v>
      </c>
      <c r="O558" s="28" t="s">
        <v>45</v>
      </c>
      <c r="P558" s="32"/>
      <c r="Q558" s="35">
        <v>7</v>
      </c>
      <c r="R558" s="3" t="s">
        <v>102</v>
      </c>
      <c r="S558" s="33" t="s">
        <v>178</v>
      </c>
      <c r="T558" s="4" t="str">
        <f>IF(OR(Tabela1[[#This Row],[Grau de Risco]]="Médio",Tabela1[[#This Row],[Grau de Risco]]="Baixo"),"Não","Sim")</f>
        <v>Sim</v>
      </c>
    </row>
    <row r="559" spans="1:20" hidden="1">
      <c r="A559" s="4" t="s">
        <v>7</v>
      </c>
      <c r="B559" s="10" t="s">
        <v>1797</v>
      </c>
      <c r="C559" s="4" t="s">
        <v>41</v>
      </c>
      <c r="D559" s="38" t="s">
        <v>1382</v>
      </c>
      <c r="E559" s="3">
        <v>26</v>
      </c>
      <c r="F559" s="3">
        <v>6</v>
      </c>
      <c r="G559" s="3">
        <v>2024</v>
      </c>
      <c r="H559" s="36" t="s">
        <v>375</v>
      </c>
      <c r="I559" s="7" t="s">
        <v>838</v>
      </c>
      <c r="J559" s="4" t="s">
        <v>290</v>
      </c>
      <c r="K559" s="3">
        <v>0</v>
      </c>
      <c r="L559" s="3">
        <v>0</v>
      </c>
      <c r="M559" s="4" t="s">
        <v>30</v>
      </c>
      <c r="N559" s="4">
        <v>0</v>
      </c>
      <c r="O559" s="4" t="s">
        <v>77</v>
      </c>
      <c r="P559" s="3" t="s">
        <v>52</v>
      </c>
      <c r="Q559" s="11">
        <v>11</v>
      </c>
      <c r="R559" s="3" t="s">
        <v>31</v>
      </c>
      <c r="S559" s="10" t="s">
        <v>63</v>
      </c>
      <c r="T559" s="4" t="str">
        <f>IF(OR(Tabela1[[#This Row],[Grau de Risco]]="Médio",Tabela1[[#This Row],[Grau de Risco]]="Baixo"),"Não","Sim")</f>
        <v>Não</v>
      </c>
    </row>
    <row r="560" spans="1:20">
      <c r="A560" s="4" t="s">
        <v>7</v>
      </c>
      <c r="B560" s="10" t="s">
        <v>1809</v>
      </c>
      <c r="C560" s="4" t="s">
        <v>252</v>
      </c>
      <c r="D560" s="38" t="s">
        <v>1382</v>
      </c>
      <c r="E560" s="3">
        <v>31</v>
      </c>
      <c r="F560" s="3">
        <v>1</v>
      </c>
      <c r="G560" s="3">
        <v>2024</v>
      </c>
      <c r="H560" s="36" t="s">
        <v>66</v>
      </c>
      <c r="I560" s="7" t="s">
        <v>842</v>
      </c>
      <c r="J560" s="4" t="s">
        <v>73</v>
      </c>
      <c r="K560" s="3" t="s">
        <v>62</v>
      </c>
      <c r="L560" s="3">
        <v>0</v>
      </c>
      <c r="M560" s="4" t="s">
        <v>30</v>
      </c>
      <c r="N560" s="4">
        <v>0</v>
      </c>
      <c r="O560" s="4" t="s">
        <v>4</v>
      </c>
      <c r="P560" s="3"/>
      <c r="Q560" s="11">
        <v>14</v>
      </c>
      <c r="R560" s="3" t="s">
        <v>52</v>
      </c>
      <c r="S560" s="10" t="s">
        <v>141</v>
      </c>
      <c r="T560" s="4" t="str">
        <f>IF(OR(Tabela1[[#This Row],[Grau de Risco]]="Médio",Tabela1[[#This Row],[Grau de Risco]]="Baixo"),"Não","Sim")</f>
        <v>Não</v>
      </c>
    </row>
    <row r="561" spans="1:20" hidden="1">
      <c r="A561" s="5" t="s">
        <v>7</v>
      </c>
      <c r="B561" s="33" t="s">
        <v>1800</v>
      </c>
      <c r="C561" s="28" t="s">
        <v>46</v>
      </c>
      <c r="D561" s="38" t="s">
        <v>1320</v>
      </c>
      <c r="E561" s="32">
        <v>22</v>
      </c>
      <c r="F561" s="32">
        <v>7</v>
      </c>
      <c r="G561" s="32">
        <v>2024</v>
      </c>
      <c r="H561" s="36" t="s">
        <v>33</v>
      </c>
      <c r="I561" s="29" t="s">
        <v>860</v>
      </c>
      <c r="J561" s="28" t="s">
        <v>111</v>
      </c>
      <c r="K561" s="3" t="s">
        <v>44</v>
      </c>
      <c r="L561" s="32" t="s">
        <v>80</v>
      </c>
      <c r="M561" s="28" t="s">
        <v>30</v>
      </c>
      <c r="N561" s="28" t="s">
        <v>80</v>
      </c>
      <c r="O561" s="28" t="s">
        <v>77</v>
      </c>
      <c r="P561" s="32"/>
      <c r="Q561" s="35">
        <v>7</v>
      </c>
      <c r="R561" s="3" t="s">
        <v>102</v>
      </c>
      <c r="S561" s="33" t="s">
        <v>63</v>
      </c>
      <c r="T561" s="4" t="str">
        <f>IF(OR(Tabela1[[#This Row],[Grau de Risco]]="Médio",Tabela1[[#This Row],[Grau de Risco]]="Baixo"),"Não","Sim")</f>
        <v>Sim</v>
      </c>
    </row>
    <row r="562" spans="1:20">
      <c r="A562" s="4" t="s">
        <v>7</v>
      </c>
      <c r="B562" s="10" t="s">
        <v>1809</v>
      </c>
      <c r="C562" s="4" t="s">
        <v>81</v>
      </c>
      <c r="D562" s="58" t="s">
        <v>1409</v>
      </c>
      <c r="E562" s="3">
        <v>25</v>
      </c>
      <c r="F562" s="3">
        <v>1</v>
      </c>
      <c r="G562" s="3">
        <v>2024</v>
      </c>
      <c r="H562" s="5" t="s">
        <v>71</v>
      </c>
      <c r="I562" s="7" t="s">
        <v>870</v>
      </c>
      <c r="J562" s="4" t="s">
        <v>61</v>
      </c>
      <c r="K562" s="3" t="s">
        <v>62</v>
      </c>
      <c r="L562" s="3">
        <v>0</v>
      </c>
      <c r="M562" s="4" t="s">
        <v>30</v>
      </c>
      <c r="N562" s="4">
        <v>0</v>
      </c>
      <c r="O562" s="4" t="s">
        <v>51</v>
      </c>
      <c r="P562" s="3"/>
      <c r="Q562" s="11">
        <v>15</v>
      </c>
      <c r="R562" s="3" t="s">
        <v>52</v>
      </c>
      <c r="S562" s="10" t="s">
        <v>4</v>
      </c>
      <c r="T562" s="4" t="str">
        <f>IF(OR(Tabela1[[#This Row],[Grau de Risco]]="Médio",Tabela1[[#This Row],[Grau de Risco]]="Baixo"),"Não","Sim")</f>
        <v>Não</v>
      </c>
    </row>
    <row r="563" spans="1:20" hidden="1">
      <c r="A563" s="4" t="s">
        <v>7</v>
      </c>
      <c r="B563" s="10" t="s">
        <v>1805</v>
      </c>
      <c r="C563" s="4" t="s">
        <v>252</v>
      </c>
      <c r="D563" s="38" t="s">
        <v>1382</v>
      </c>
      <c r="E563" s="3">
        <v>7</v>
      </c>
      <c r="F563" s="3">
        <v>8</v>
      </c>
      <c r="G563" s="3">
        <v>2024</v>
      </c>
      <c r="H563" s="36" t="s">
        <v>33</v>
      </c>
      <c r="I563" s="7" t="s">
        <v>873</v>
      </c>
      <c r="J563" s="4" t="s">
        <v>61</v>
      </c>
      <c r="K563" s="3" t="s">
        <v>62</v>
      </c>
      <c r="L563" s="3"/>
      <c r="M563" s="4"/>
      <c r="N563" s="4"/>
      <c r="O563" s="4" t="s">
        <v>77</v>
      </c>
      <c r="P563" s="3"/>
      <c r="Q563" s="11">
        <v>16</v>
      </c>
      <c r="R563" s="3" t="s">
        <v>52</v>
      </c>
      <c r="S563" s="10" t="s">
        <v>63</v>
      </c>
      <c r="T563" s="4" t="str">
        <f>IF(OR(Tabela1[[#This Row],[Grau de Risco]]="Médio",Tabela1[[#This Row],[Grau de Risco]]="Baixo"),"Não","Sim")</f>
        <v>Não</v>
      </c>
    </row>
    <row r="564" spans="1:20" hidden="1">
      <c r="A564" s="4" t="s">
        <v>7</v>
      </c>
      <c r="B564" s="10" t="s">
        <v>1793</v>
      </c>
      <c r="C564" s="4" t="s">
        <v>252</v>
      </c>
      <c r="D564" s="38" t="s">
        <v>47</v>
      </c>
      <c r="E564" s="3">
        <v>5</v>
      </c>
      <c r="F564" s="3">
        <v>4</v>
      </c>
      <c r="G564" s="3">
        <v>2024</v>
      </c>
      <c r="H564" s="36" t="s">
        <v>33</v>
      </c>
      <c r="I564" s="7" t="s">
        <v>1638</v>
      </c>
      <c r="J564" s="4" t="s">
        <v>69</v>
      </c>
      <c r="K564" s="3" t="s">
        <v>44</v>
      </c>
      <c r="L564" s="3" t="s">
        <v>44</v>
      </c>
      <c r="M564" s="4"/>
      <c r="N564" s="4" t="s">
        <v>44</v>
      </c>
      <c r="O564" s="4"/>
      <c r="P564" s="3"/>
      <c r="Q564" s="11">
        <v>15</v>
      </c>
      <c r="R564" s="3" t="s">
        <v>52</v>
      </c>
      <c r="S564" s="10" t="s">
        <v>32</v>
      </c>
      <c r="T564" s="4" t="str">
        <f>IF(OR(Tabela1[[#This Row],[Grau de Risco]]="Médio",Tabela1[[#This Row],[Grau de Risco]]="Baixo"),"Não","Sim")</f>
        <v>Não</v>
      </c>
    </row>
    <row r="565" spans="1:20" hidden="1">
      <c r="A565" s="4" t="s">
        <v>9</v>
      </c>
      <c r="B565" s="10" t="s">
        <v>1800</v>
      </c>
      <c r="C565" s="4" t="s">
        <v>89</v>
      </c>
      <c r="D565" s="58" t="s">
        <v>1409</v>
      </c>
      <c r="E565" s="3">
        <v>14</v>
      </c>
      <c r="F565" s="3">
        <v>3</v>
      </c>
      <c r="G565" s="3">
        <v>2024</v>
      </c>
      <c r="H565" s="5" t="s">
        <v>209</v>
      </c>
      <c r="I565" s="7" t="s">
        <v>949</v>
      </c>
      <c r="J565" s="4" t="s">
        <v>35</v>
      </c>
      <c r="K565" s="3">
        <v>1</v>
      </c>
      <c r="L565" s="3">
        <v>0</v>
      </c>
      <c r="M565" s="4" t="s">
        <v>30</v>
      </c>
      <c r="N565" s="4"/>
      <c r="O565" s="4" t="s">
        <v>541</v>
      </c>
      <c r="P565" s="3" t="s">
        <v>31</v>
      </c>
      <c r="Q565" s="11">
        <v>7</v>
      </c>
      <c r="R565" s="3" t="s">
        <v>102</v>
      </c>
      <c r="S565" s="5" t="s">
        <v>56</v>
      </c>
      <c r="T565" s="4" t="str">
        <f>IF(OR(Tabela1[[#This Row],[Grau de Risco]]="Médio",Tabela1[[#This Row],[Grau de Risco]]="Baixo"),"Não","Sim")</f>
        <v>Sim</v>
      </c>
    </row>
    <row r="566" spans="1:20" hidden="1">
      <c r="A566" s="4" t="s">
        <v>2</v>
      </c>
      <c r="B566" s="10" t="s">
        <v>1797</v>
      </c>
      <c r="C566" s="4" t="s">
        <v>125</v>
      </c>
      <c r="D566" s="38" t="s">
        <v>1382</v>
      </c>
      <c r="E566" s="3">
        <v>18</v>
      </c>
      <c r="F566" s="3">
        <v>9</v>
      </c>
      <c r="G566" s="3">
        <v>2024</v>
      </c>
      <c r="H566" s="5" t="s">
        <v>71</v>
      </c>
      <c r="I566" s="7" t="s">
        <v>953</v>
      </c>
      <c r="J566" s="4" t="s">
        <v>35</v>
      </c>
      <c r="K566" s="3">
        <v>3</v>
      </c>
      <c r="L566" s="3">
        <v>0</v>
      </c>
      <c r="M566" s="4" t="s">
        <v>30</v>
      </c>
      <c r="N566" s="4"/>
      <c r="O566" s="4" t="s">
        <v>45</v>
      </c>
      <c r="P566" s="3" t="s">
        <v>31</v>
      </c>
      <c r="Q566" s="11">
        <v>11</v>
      </c>
      <c r="R566" s="3" t="s">
        <v>31</v>
      </c>
      <c r="S566" s="5" t="s">
        <v>56</v>
      </c>
      <c r="T566" s="4" t="str">
        <f>IF(OR(Tabela1[[#This Row],[Grau de Risco]]="Médio",Tabela1[[#This Row],[Grau de Risco]]="Baixo"),"Não","Sim")</f>
        <v>Não</v>
      </c>
    </row>
    <row r="567" spans="1:20" ht="28.8" hidden="1">
      <c r="A567" s="4" t="s">
        <v>8</v>
      </c>
      <c r="B567" s="10" t="s">
        <v>1800</v>
      </c>
      <c r="C567" s="4" t="s">
        <v>81</v>
      </c>
      <c r="D567" s="38" t="s">
        <v>47</v>
      </c>
      <c r="E567" s="3">
        <v>1</v>
      </c>
      <c r="F567" s="3">
        <v>3</v>
      </c>
      <c r="G567" s="3">
        <v>2024</v>
      </c>
      <c r="H567" s="5" t="s">
        <v>332</v>
      </c>
      <c r="I567" s="7" t="s">
        <v>991</v>
      </c>
      <c r="J567" s="4" t="s">
        <v>54</v>
      </c>
      <c r="K567" s="3">
        <v>0</v>
      </c>
      <c r="L567" s="3" t="s">
        <v>30</v>
      </c>
      <c r="M567" s="4" t="s">
        <v>30</v>
      </c>
      <c r="N567" s="4" t="s">
        <v>44</v>
      </c>
      <c r="O567" s="109" t="s">
        <v>1790</v>
      </c>
      <c r="P567" s="3" t="s">
        <v>52</v>
      </c>
      <c r="Q567" s="11">
        <v>10</v>
      </c>
      <c r="R567" s="3" t="s">
        <v>31</v>
      </c>
      <c r="S567" s="5" t="s">
        <v>56</v>
      </c>
      <c r="T567" s="4" t="str">
        <f>IF(OR(Tabela1[[#This Row],[Grau de Risco]]="Médio",Tabela1[[#This Row],[Grau de Risco]]="Baixo"),"Não","Sim")</f>
        <v>Não</v>
      </c>
    </row>
    <row r="568" spans="1:20">
      <c r="A568" s="4" t="s">
        <v>7</v>
      </c>
      <c r="B568" s="10" t="s">
        <v>1809</v>
      </c>
      <c r="C568" s="4" t="s">
        <v>41</v>
      </c>
      <c r="D568" s="38" t="s">
        <v>47</v>
      </c>
      <c r="E568" s="3">
        <v>10</v>
      </c>
      <c r="F568" s="3">
        <v>1</v>
      </c>
      <c r="G568" s="3">
        <v>2025</v>
      </c>
      <c r="H568" s="36" t="s">
        <v>82</v>
      </c>
      <c r="I568" s="7" t="s">
        <v>1639</v>
      </c>
      <c r="J568" s="4" t="s">
        <v>835</v>
      </c>
      <c r="K568" s="3"/>
      <c r="L568" s="3"/>
      <c r="M568" s="4"/>
      <c r="N568" s="4"/>
      <c r="O568" s="4"/>
      <c r="P568" s="3"/>
      <c r="Q568" s="11">
        <v>10</v>
      </c>
      <c r="R568" s="3" t="s">
        <v>31</v>
      </c>
      <c r="S568" s="5" t="s">
        <v>56</v>
      </c>
      <c r="T568" s="4" t="str">
        <f>IF(OR(Tabela1[[#This Row],[Grau de Risco]]="Médio",Tabela1[[#This Row],[Grau de Risco]]="Baixo"),"Não","Sim")</f>
        <v>Não</v>
      </c>
    </row>
    <row r="569" spans="1:20">
      <c r="A569" s="28" t="s">
        <v>2</v>
      </c>
      <c r="B569" s="10" t="s">
        <v>1809</v>
      </c>
      <c r="C569" s="28" t="s">
        <v>252</v>
      </c>
      <c r="D569" s="38" t="s">
        <v>1320</v>
      </c>
      <c r="E569" s="32">
        <v>20</v>
      </c>
      <c r="F569" s="32">
        <v>1</v>
      </c>
      <c r="G569" s="32">
        <v>2025</v>
      </c>
      <c r="H569" s="36" t="s">
        <v>107</v>
      </c>
      <c r="I569" s="29" t="s">
        <v>1122</v>
      </c>
      <c r="J569" s="28" t="s">
        <v>135</v>
      </c>
      <c r="K569" s="32">
        <v>3</v>
      </c>
      <c r="L569" s="32"/>
      <c r="M569" s="4" t="s">
        <v>30</v>
      </c>
      <c r="N569" s="28"/>
      <c r="O569" s="4" t="s">
        <v>45</v>
      </c>
      <c r="P569" s="3" t="s">
        <v>31</v>
      </c>
      <c r="Q569" s="35">
        <v>10</v>
      </c>
      <c r="R569" s="32" t="s">
        <v>31</v>
      </c>
      <c r="S569" s="33" t="s">
        <v>141</v>
      </c>
      <c r="T569" s="4" t="str">
        <f>IF(OR(Tabela1[[#This Row],[Grau de Risco]]="Médio",Tabela1[[#This Row],[Grau de Risco]]="Baixo"),"Não","Sim")</f>
        <v>Não</v>
      </c>
    </row>
    <row r="570" spans="1:20" hidden="1">
      <c r="A570" s="28" t="s">
        <v>2</v>
      </c>
      <c r="B570" s="56" t="s">
        <v>1797</v>
      </c>
      <c r="C570" s="28" t="s">
        <v>81</v>
      </c>
      <c r="D570" s="38" t="s">
        <v>1393</v>
      </c>
      <c r="E570" s="32">
        <v>12</v>
      </c>
      <c r="F570" s="32">
        <v>2</v>
      </c>
      <c r="G570" s="32">
        <v>2025</v>
      </c>
      <c r="H570" s="5" t="s">
        <v>48</v>
      </c>
      <c r="I570" s="29" t="s">
        <v>1156</v>
      </c>
      <c r="J570" s="28" t="s">
        <v>111</v>
      </c>
      <c r="K570" s="32">
        <v>15</v>
      </c>
      <c r="L570" s="32"/>
      <c r="M570" s="28"/>
      <c r="N570" s="28"/>
      <c r="O570" s="28" t="s">
        <v>45</v>
      </c>
      <c r="P570" s="3" t="s">
        <v>31</v>
      </c>
      <c r="Q570" s="35">
        <v>11</v>
      </c>
      <c r="R570" s="32" t="s">
        <v>31</v>
      </c>
      <c r="S570" s="5" t="s">
        <v>56</v>
      </c>
      <c r="T570" s="4" t="str">
        <f>IF(OR(Tabela1[[#This Row],[Grau de Risco]]="Médio",Tabela1[[#This Row],[Grau de Risco]]="Baixo"),"Não","Sim")</f>
        <v>Não</v>
      </c>
    </row>
    <row r="571" spans="1:20" hidden="1">
      <c r="A571" s="4" t="s">
        <v>9</v>
      </c>
      <c r="B571" s="10" t="s">
        <v>1797</v>
      </c>
      <c r="C571" s="4" t="s">
        <v>252</v>
      </c>
      <c r="D571" s="38" t="s">
        <v>1382</v>
      </c>
      <c r="E571" s="3">
        <v>19</v>
      </c>
      <c r="F571" s="3">
        <v>2</v>
      </c>
      <c r="G571" s="3">
        <v>2025</v>
      </c>
      <c r="H571" s="21" t="s">
        <v>86</v>
      </c>
      <c r="I571" s="7" t="s">
        <v>1169</v>
      </c>
      <c r="J571" s="4" t="s">
        <v>50</v>
      </c>
      <c r="K571" s="3">
        <v>2</v>
      </c>
      <c r="L571" s="3">
        <v>0</v>
      </c>
      <c r="M571" s="4" t="s">
        <v>30</v>
      </c>
      <c r="N571" s="4"/>
      <c r="O571" s="4" t="s">
        <v>508</v>
      </c>
      <c r="P571" s="3" t="s">
        <v>52</v>
      </c>
      <c r="Q571" s="11">
        <v>14</v>
      </c>
      <c r="R571" s="3" t="s">
        <v>52</v>
      </c>
      <c r="S571" s="10" t="s">
        <v>63</v>
      </c>
      <c r="T571" s="4" t="str">
        <f>IF(OR(Tabela1[[#This Row],[Grau de Risco]]="Médio",Tabela1[[#This Row],[Grau de Risco]]="Baixo"),"Não","Sim")</f>
        <v>Não</v>
      </c>
    </row>
    <row r="572" spans="1:20" hidden="1">
      <c r="A572" s="4" t="s">
        <v>8</v>
      </c>
      <c r="B572" s="10" t="s">
        <v>1805</v>
      </c>
      <c r="C572" s="4" t="s">
        <v>81</v>
      </c>
      <c r="D572" s="58" t="s">
        <v>1409</v>
      </c>
      <c r="E572" s="3">
        <v>22</v>
      </c>
      <c r="F572" s="3">
        <v>5</v>
      </c>
      <c r="G572" s="3">
        <v>2025</v>
      </c>
      <c r="H572" s="36" t="s">
        <v>107</v>
      </c>
      <c r="I572" s="7" t="s">
        <v>1265</v>
      </c>
      <c r="J572" s="4" t="s">
        <v>79</v>
      </c>
      <c r="K572" s="3" t="s">
        <v>44</v>
      </c>
      <c r="L572" s="3" t="s">
        <v>44</v>
      </c>
      <c r="M572" s="4"/>
      <c r="N572" s="4" t="s">
        <v>44</v>
      </c>
      <c r="O572" s="4" t="s">
        <v>159</v>
      </c>
      <c r="P572" s="3" t="s">
        <v>52</v>
      </c>
      <c r="Q572" s="11">
        <v>16</v>
      </c>
      <c r="R572" s="3" t="s">
        <v>52</v>
      </c>
      <c r="S572" s="5" t="s">
        <v>56</v>
      </c>
      <c r="T572" s="4" t="str">
        <f>IF(OR(Tabela1[[#This Row],[Grau de Risco]]="Médio",Tabela1[[#This Row],[Grau de Risco]]="Baixo"),"Não","Sim")</f>
        <v>Não</v>
      </c>
    </row>
    <row r="573" spans="1:20">
      <c r="A573" s="28" t="s">
        <v>7</v>
      </c>
      <c r="B573" s="10" t="s">
        <v>1809</v>
      </c>
      <c r="C573" s="28" t="s">
        <v>252</v>
      </c>
      <c r="D573" s="38" t="s">
        <v>1393</v>
      </c>
      <c r="E573" s="32">
        <v>3</v>
      </c>
      <c r="F573" s="32">
        <v>6</v>
      </c>
      <c r="G573" s="32">
        <v>2025</v>
      </c>
      <c r="H573" s="36" t="s">
        <v>66</v>
      </c>
      <c r="I573" s="29" t="s">
        <v>1277</v>
      </c>
      <c r="J573" s="28" t="s">
        <v>111</v>
      </c>
      <c r="K573" s="32"/>
      <c r="L573" s="32"/>
      <c r="M573" s="28"/>
      <c r="N573" s="28"/>
      <c r="O573" s="28" t="s">
        <v>4</v>
      </c>
      <c r="P573" s="32"/>
      <c r="Q573" s="11">
        <v>10</v>
      </c>
      <c r="R573" s="3" t="s">
        <v>31</v>
      </c>
      <c r="S573" s="10" t="s">
        <v>141</v>
      </c>
      <c r="T573" s="4" t="str">
        <f>IF(OR(Tabela1[[#This Row],[Grau de Risco]]="Médio",Tabela1[[#This Row],[Grau de Risco]]="Baixo"),"Não","Sim")</f>
        <v>Não</v>
      </c>
    </row>
    <row r="574" spans="1:20" hidden="1">
      <c r="A574" s="4" t="s">
        <v>8</v>
      </c>
      <c r="B574" s="10" t="s">
        <v>1797</v>
      </c>
      <c r="C574" s="4" t="s">
        <v>252</v>
      </c>
      <c r="D574" s="38" t="s">
        <v>1393</v>
      </c>
      <c r="E574" s="3">
        <v>10</v>
      </c>
      <c r="F574" s="3">
        <v>6</v>
      </c>
      <c r="G574" s="3">
        <v>2025</v>
      </c>
      <c r="H574" s="36" t="s">
        <v>82</v>
      </c>
      <c r="I574" s="7" t="s">
        <v>1640</v>
      </c>
      <c r="J574" s="4" t="s">
        <v>150</v>
      </c>
      <c r="K574" s="3"/>
      <c r="L574" s="3"/>
      <c r="M574" s="4"/>
      <c r="N574" s="4"/>
      <c r="O574" s="4"/>
      <c r="P574" s="3" t="s">
        <v>52</v>
      </c>
      <c r="Q574" s="11">
        <v>15</v>
      </c>
      <c r="R574" s="3" t="s">
        <v>52</v>
      </c>
      <c r="S574" s="5" t="s">
        <v>56</v>
      </c>
      <c r="T574" s="4" t="str">
        <f>IF(OR(Tabela1[[#This Row],[Grau de Risco]]="Médio",Tabela1[[#This Row],[Grau de Risco]]="Baixo"),"Não","Sim")</f>
        <v>Não</v>
      </c>
    </row>
    <row r="575" spans="1:20" hidden="1">
      <c r="A575" s="4" t="s">
        <v>7</v>
      </c>
      <c r="B575" s="10" t="s">
        <v>1797</v>
      </c>
      <c r="C575" s="4" t="s">
        <v>125</v>
      </c>
      <c r="D575" s="38" t="s">
        <v>47</v>
      </c>
      <c r="E575" s="3">
        <v>25</v>
      </c>
      <c r="F575" s="3">
        <v>7</v>
      </c>
      <c r="G575" s="3">
        <v>2025</v>
      </c>
      <c r="H575" s="5" t="s">
        <v>474</v>
      </c>
      <c r="I575" s="7" t="s">
        <v>1641</v>
      </c>
      <c r="J575" s="4" t="s">
        <v>290</v>
      </c>
      <c r="K575" s="3">
        <v>0</v>
      </c>
      <c r="L575" s="3">
        <v>0</v>
      </c>
      <c r="M575" s="4">
        <v>0</v>
      </c>
      <c r="N575" s="4">
        <v>0</v>
      </c>
      <c r="O575" s="4"/>
      <c r="P575" s="3"/>
      <c r="Q575" s="11">
        <v>4</v>
      </c>
      <c r="R575" s="3" t="s">
        <v>102</v>
      </c>
      <c r="S575" s="10" t="s">
        <v>4</v>
      </c>
      <c r="T575" s="4" t="str">
        <f>IF(OR(Tabela1[[#This Row],[Grau de Risco]]="Médio",Tabela1[[#This Row],[Grau de Risco]]="Baixo"),"Não","Sim")</f>
        <v>Sim</v>
      </c>
    </row>
    <row r="576" spans="1:20" hidden="1">
      <c r="A576" s="28" t="s">
        <v>7</v>
      </c>
      <c r="B576" s="33" t="s">
        <v>1800</v>
      </c>
      <c r="C576" s="28" t="s">
        <v>252</v>
      </c>
      <c r="D576" s="38" t="s">
        <v>47</v>
      </c>
      <c r="E576" s="32">
        <v>22</v>
      </c>
      <c r="F576" s="32">
        <v>8</v>
      </c>
      <c r="G576" s="32">
        <v>2025</v>
      </c>
      <c r="H576" s="38" t="s">
        <v>27</v>
      </c>
      <c r="I576" s="29" t="s">
        <v>1406</v>
      </c>
      <c r="J576" s="28" t="s">
        <v>84</v>
      </c>
      <c r="K576" s="32" t="s">
        <v>80</v>
      </c>
      <c r="L576" s="32" t="s">
        <v>80</v>
      </c>
      <c r="M576" s="28" t="s">
        <v>30</v>
      </c>
      <c r="N576" s="28" t="s">
        <v>80</v>
      </c>
      <c r="O576" s="4" t="s">
        <v>85</v>
      </c>
      <c r="P576" s="32" t="s">
        <v>44</v>
      </c>
      <c r="Q576" s="35">
        <v>8</v>
      </c>
      <c r="R576" s="32" t="s">
        <v>102</v>
      </c>
      <c r="S576" s="5" t="s">
        <v>40</v>
      </c>
      <c r="T576" s="4" t="str">
        <f>IF(OR(Tabela1[[#This Row],[Grau de Risco]]="Médio",Tabela1[[#This Row],[Grau de Risco]]="Baixo"),"Não","Sim")</f>
        <v>Sim</v>
      </c>
    </row>
    <row r="577" spans="1:20" ht="28.8">
      <c r="A577" s="28" t="s">
        <v>7</v>
      </c>
      <c r="B577" s="10" t="s">
        <v>1809</v>
      </c>
      <c r="C577" s="28" t="s">
        <v>252</v>
      </c>
      <c r="D577" s="28" t="s">
        <v>47</v>
      </c>
      <c r="E577" s="32">
        <v>12</v>
      </c>
      <c r="F577" s="32">
        <v>9</v>
      </c>
      <c r="G577" s="32">
        <v>2025</v>
      </c>
      <c r="H577" s="34" t="s">
        <v>33</v>
      </c>
      <c r="I577" s="100" t="s">
        <v>1820</v>
      </c>
      <c r="J577" s="28" t="s">
        <v>61</v>
      </c>
      <c r="K577" s="32"/>
      <c r="L577" s="32"/>
      <c r="M577" s="28"/>
      <c r="N577" s="28"/>
      <c r="O577" s="28" t="s">
        <v>51</v>
      </c>
      <c r="P577" s="32"/>
      <c r="Q577" s="35">
        <v>11</v>
      </c>
      <c r="R577" s="32" t="s">
        <v>31</v>
      </c>
      <c r="S577" s="10" t="s">
        <v>56</v>
      </c>
      <c r="T577" s="4" t="str">
        <f>IF(OR(Tabela1[[#This Row],[Grau de Risco]]="Médio",Tabela1[[#This Row],[Grau de Risco]]="Baixo"),"Não","Sim")</f>
        <v>Não</v>
      </c>
    </row>
    <row r="578" spans="1:20" hidden="1">
      <c r="A578" s="28" t="s">
        <v>7</v>
      </c>
      <c r="B578" s="33" t="s">
        <v>1800</v>
      </c>
      <c r="C578" s="28" t="s">
        <v>252</v>
      </c>
      <c r="D578" s="38" t="s">
        <v>47</v>
      </c>
      <c r="E578" s="32">
        <v>19</v>
      </c>
      <c r="F578" s="32">
        <v>9</v>
      </c>
      <c r="G578" s="32">
        <v>2025</v>
      </c>
      <c r="H578" s="38" t="s">
        <v>27</v>
      </c>
      <c r="I578" s="7" t="s">
        <v>1457</v>
      </c>
      <c r="J578" s="28" t="s">
        <v>84</v>
      </c>
      <c r="K578" s="32" t="s">
        <v>80</v>
      </c>
      <c r="L578" s="32" t="s">
        <v>80</v>
      </c>
      <c r="M578" s="28" t="s">
        <v>30</v>
      </c>
      <c r="N578" s="28" t="s">
        <v>80</v>
      </c>
      <c r="O578" s="4" t="s">
        <v>4</v>
      </c>
      <c r="P578" s="32" t="s">
        <v>44</v>
      </c>
      <c r="Q578" s="35">
        <v>11</v>
      </c>
      <c r="R578" s="32" t="s">
        <v>31</v>
      </c>
      <c r="S578" s="33" t="s">
        <v>63</v>
      </c>
      <c r="T578" s="4" t="str">
        <f>IF(OR(Tabela1[[#This Row],[Grau de Risco]]="Médio",Tabela1[[#This Row],[Grau de Risco]]="Baixo"),"Não","Sim")</f>
        <v>Não</v>
      </c>
    </row>
    <row r="579" spans="1:20" hidden="1">
      <c r="A579" s="28" t="s">
        <v>7</v>
      </c>
      <c r="B579" s="63" t="s">
        <v>1805</v>
      </c>
      <c r="C579" s="61" t="s">
        <v>252</v>
      </c>
      <c r="D579" s="61" t="s">
        <v>1320</v>
      </c>
      <c r="E579" s="44">
        <v>13</v>
      </c>
      <c r="F579" s="44">
        <v>10</v>
      </c>
      <c r="G579" s="44">
        <v>2025</v>
      </c>
      <c r="H579" s="34" t="s">
        <v>48</v>
      </c>
      <c r="I579" s="29" t="s">
        <v>1477</v>
      </c>
      <c r="J579" s="28" t="s">
        <v>115</v>
      </c>
      <c r="K579" s="32"/>
      <c r="L579" s="32"/>
      <c r="M579" s="28"/>
      <c r="N579" s="28"/>
      <c r="O579" s="28" t="s">
        <v>4</v>
      </c>
      <c r="P579" s="32"/>
      <c r="Q579" s="35">
        <v>15</v>
      </c>
      <c r="R579" s="32" t="s">
        <v>52</v>
      </c>
      <c r="S579" s="23" t="s">
        <v>56</v>
      </c>
      <c r="T579" s="4" t="str">
        <f>IF(OR(Tabela1[[#This Row],[Grau de Risco]]="Médio",Tabela1[[#This Row],[Grau de Risco]]="Baixo"),"Não","Sim")</f>
        <v>Não</v>
      </c>
    </row>
    <row r="580" spans="1:20" hidden="1">
      <c r="A580" s="28" t="s">
        <v>7</v>
      </c>
      <c r="B580" s="33" t="s">
        <v>1800</v>
      </c>
      <c r="C580" s="28" t="s">
        <v>41</v>
      </c>
      <c r="D580" s="38" t="s">
        <v>47</v>
      </c>
      <c r="E580" s="32">
        <v>31</v>
      </c>
      <c r="F580" s="32">
        <v>10</v>
      </c>
      <c r="G580" s="32">
        <v>2025</v>
      </c>
      <c r="H580" s="38" t="s">
        <v>107</v>
      </c>
      <c r="I580" s="7" t="s">
        <v>1514</v>
      </c>
      <c r="J580" s="28" t="s">
        <v>69</v>
      </c>
      <c r="K580" s="32" t="s">
        <v>80</v>
      </c>
      <c r="L580" s="32" t="s">
        <v>80</v>
      </c>
      <c r="M580" s="28" t="s">
        <v>30</v>
      </c>
      <c r="N580" s="28" t="s">
        <v>80</v>
      </c>
      <c r="O580" s="4" t="s">
        <v>70</v>
      </c>
      <c r="P580" s="32" t="s">
        <v>44</v>
      </c>
      <c r="Q580" s="35">
        <v>15</v>
      </c>
      <c r="R580" s="32" t="s">
        <v>52</v>
      </c>
      <c r="S580" s="33" t="s">
        <v>63</v>
      </c>
      <c r="T580" s="4" t="str">
        <f>IF(OR(Tabela1[[#This Row],[Grau de Risco]]="Médio",Tabela1[[#This Row],[Grau de Risco]]="Baixo"),"Não","Sim")</f>
        <v>Não</v>
      </c>
    </row>
    <row r="581" spans="1:20" hidden="1">
      <c r="A581" s="4" t="s">
        <v>7</v>
      </c>
      <c r="B581" s="10" t="s">
        <v>1805</v>
      </c>
      <c r="C581" s="4" t="s">
        <v>125</v>
      </c>
      <c r="D581" s="5" t="s">
        <v>1320</v>
      </c>
      <c r="E581" s="3">
        <v>25</v>
      </c>
      <c r="F581" s="3">
        <v>8</v>
      </c>
      <c r="G581" s="3">
        <v>2025</v>
      </c>
      <c r="H581" s="5" t="s">
        <v>112</v>
      </c>
      <c r="I581" s="7" t="s">
        <v>1642</v>
      </c>
      <c r="J581" s="4" t="s">
        <v>79</v>
      </c>
      <c r="K581" s="3" t="s">
        <v>44</v>
      </c>
      <c r="L581" s="3" t="s">
        <v>44</v>
      </c>
      <c r="M581" s="4"/>
      <c r="N581" s="4" t="s">
        <v>44</v>
      </c>
      <c r="O581" s="4"/>
      <c r="P581" s="3"/>
      <c r="Q581" s="11">
        <v>11</v>
      </c>
      <c r="R581" s="3" t="s">
        <v>31</v>
      </c>
      <c r="S581" s="10" t="s">
        <v>56</v>
      </c>
      <c r="T581" s="4" t="str">
        <f>IF(OR(Tabela1[[#This Row],[Grau de Risco]]="Médio",Tabela1[[#This Row],[Grau de Risco]]="Baixo"),"Não","Sim")</f>
        <v>Não</v>
      </c>
    </row>
    <row r="582" spans="1:20">
      <c r="A582" s="5" t="s">
        <v>2</v>
      </c>
      <c r="B582" s="10" t="s">
        <v>1809</v>
      </c>
      <c r="C582" s="4" t="s">
        <v>41</v>
      </c>
      <c r="D582" s="58" t="s">
        <v>1409</v>
      </c>
      <c r="E582" s="3">
        <v>23</v>
      </c>
      <c r="F582" s="3">
        <v>7</v>
      </c>
      <c r="G582" s="3">
        <v>2020</v>
      </c>
      <c r="H582" s="36" t="s">
        <v>33</v>
      </c>
      <c r="I582" s="7" t="s">
        <v>42</v>
      </c>
      <c r="J582" s="4" t="s">
        <v>43</v>
      </c>
      <c r="K582" s="3">
        <v>30</v>
      </c>
      <c r="L582" s="3">
        <v>0</v>
      </c>
      <c r="M582" s="5" t="s">
        <v>30</v>
      </c>
      <c r="N582" s="4">
        <v>30</v>
      </c>
      <c r="O582" s="4" t="s">
        <v>45</v>
      </c>
      <c r="P582" s="3" t="s">
        <v>31</v>
      </c>
      <c r="Q582" s="3">
        <v>9</v>
      </c>
      <c r="R582" s="2" t="s">
        <v>31</v>
      </c>
      <c r="S582" s="10" t="s">
        <v>32</v>
      </c>
      <c r="T582" s="4" t="str">
        <f>IF(OR(Tabela1[[#This Row],[Grau de Risco]]="Médio",Tabela1[[#This Row],[Grau de Risco]]="Baixo"),"Não","Sim")</f>
        <v>Não</v>
      </c>
    </row>
    <row r="583" spans="1:20">
      <c r="A583" s="4" t="s">
        <v>9</v>
      </c>
      <c r="B583" s="10" t="s">
        <v>1809</v>
      </c>
      <c r="C583" s="4" t="s">
        <v>89</v>
      </c>
      <c r="D583" s="38" t="s">
        <v>1393</v>
      </c>
      <c r="E583" s="3">
        <v>3</v>
      </c>
      <c r="F583" s="3">
        <v>11</v>
      </c>
      <c r="G583" s="3">
        <v>2020</v>
      </c>
      <c r="H583" s="36" t="s">
        <v>66</v>
      </c>
      <c r="I583" s="7" t="s">
        <v>122</v>
      </c>
      <c r="J583" s="4" t="s">
        <v>111</v>
      </c>
      <c r="K583" s="3">
        <v>3</v>
      </c>
      <c r="L583" s="3">
        <v>0</v>
      </c>
      <c r="M583" s="4" t="s">
        <v>30</v>
      </c>
      <c r="N583" s="4"/>
      <c r="O583" s="4" t="s">
        <v>4</v>
      </c>
      <c r="P583" s="3" t="s">
        <v>52</v>
      </c>
      <c r="Q583" s="11">
        <v>17</v>
      </c>
      <c r="R583" s="3" t="str">
        <f>IF(Q583="","",IF(Q583&lt;4,"Crítico",IF(Q583&lt;9,"Alto",IF(Q583&lt;14,"Médio","Baixo"))))</f>
        <v>Baixo</v>
      </c>
      <c r="S583" s="10" t="s">
        <v>63</v>
      </c>
      <c r="T583" s="4" t="str">
        <f>IF(OR(Tabela1[[#This Row],[Grau de Risco]]="Médio",Tabela1[[#This Row],[Grau de Risco]]="Baixo"),"Não","Sim")</f>
        <v>Não</v>
      </c>
    </row>
    <row r="584" spans="1:20" hidden="1">
      <c r="A584" s="4" t="s">
        <v>2</v>
      </c>
      <c r="B584" s="10" t="s">
        <v>1805</v>
      </c>
      <c r="C584" s="4" t="s">
        <v>26</v>
      </c>
      <c r="D584" s="58" t="s">
        <v>1409</v>
      </c>
      <c r="E584" s="3">
        <v>2</v>
      </c>
      <c r="F584" s="3">
        <v>12</v>
      </c>
      <c r="G584" s="3">
        <v>2021</v>
      </c>
      <c r="H584" s="36" t="s">
        <v>33</v>
      </c>
      <c r="I584" s="7" t="s">
        <v>143</v>
      </c>
      <c r="J584" s="4" t="s">
        <v>93</v>
      </c>
      <c r="K584" s="3">
        <v>14</v>
      </c>
      <c r="L584" s="3">
        <v>0</v>
      </c>
      <c r="M584" s="4" t="s">
        <v>30</v>
      </c>
      <c r="N584" s="4">
        <v>0</v>
      </c>
      <c r="O584" s="4" t="s">
        <v>45</v>
      </c>
      <c r="P584" s="3" t="s">
        <v>31</v>
      </c>
      <c r="Q584" s="11">
        <v>10</v>
      </c>
      <c r="R584" s="3" t="s">
        <v>31</v>
      </c>
      <c r="S584" s="10" t="s">
        <v>144</v>
      </c>
      <c r="T584" s="4" t="str">
        <f>IF(OR(Tabela1[[#This Row],[Grau de Risco]]="Médio",Tabela1[[#This Row],[Grau de Risco]]="Baixo"),"Não","Sim")</f>
        <v>Não</v>
      </c>
    </row>
    <row r="585" spans="1:20" hidden="1">
      <c r="A585" s="5" t="s">
        <v>175</v>
      </c>
      <c r="B585" s="6" t="s">
        <v>1805</v>
      </c>
      <c r="C585" s="5" t="s">
        <v>26</v>
      </c>
      <c r="D585" s="38" t="s">
        <v>47</v>
      </c>
      <c r="E585" s="2">
        <v>24</v>
      </c>
      <c r="F585" s="2">
        <v>9</v>
      </c>
      <c r="G585" s="2">
        <v>2021</v>
      </c>
      <c r="H585" s="36" t="s">
        <v>66</v>
      </c>
      <c r="I585" s="5" t="s">
        <v>176</v>
      </c>
      <c r="J585" s="5" t="s">
        <v>54</v>
      </c>
      <c r="K585" s="2">
        <v>0</v>
      </c>
      <c r="L585" s="2">
        <v>0</v>
      </c>
      <c r="M585" s="5" t="s">
        <v>30</v>
      </c>
      <c r="N585" s="5">
        <v>0</v>
      </c>
      <c r="O585" s="5" t="s">
        <v>4</v>
      </c>
      <c r="P585" s="2" t="s">
        <v>31</v>
      </c>
      <c r="Q585" s="2">
        <v>13</v>
      </c>
      <c r="R585" s="2" t="s">
        <v>31</v>
      </c>
      <c r="S585" s="5" t="s">
        <v>141</v>
      </c>
      <c r="T585" s="4" t="str">
        <f>IF(OR(Tabela1[[#This Row],[Grau de Risco]]="Médio",Tabela1[[#This Row],[Grau de Risco]]="Baixo"),"Não","Sim")</f>
        <v>Não</v>
      </c>
    </row>
    <row r="586" spans="1:20">
      <c r="A586" s="4" t="s">
        <v>2</v>
      </c>
      <c r="B586" s="10" t="s">
        <v>1809</v>
      </c>
      <c r="C586" s="4" t="s">
        <v>26</v>
      </c>
      <c r="D586" s="5" t="s">
        <v>148</v>
      </c>
      <c r="E586" s="3">
        <v>24</v>
      </c>
      <c r="F586" s="3">
        <v>10</v>
      </c>
      <c r="G586" s="3">
        <v>2021</v>
      </c>
      <c r="H586" s="34" t="s">
        <v>59</v>
      </c>
      <c r="I586" s="7" t="s">
        <v>201</v>
      </c>
      <c r="J586" s="4" t="s">
        <v>79</v>
      </c>
      <c r="K586" s="3">
        <v>238</v>
      </c>
      <c r="L586" s="3">
        <v>0</v>
      </c>
      <c r="M586" s="4" t="s">
        <v>30</v>
      </c>
      <c r="N586" s="4">
        <v>0</v>
      </c>
      <c r="O586" s="4" t="s">
        <v>39</v>
      </c>
      <c r="P586" s="3" t="s">
        <v>102</v>
      </c>
      <c r="Q586" s="11">
        <v>4</v>
      </c>
      <c r="R586" s="3" t="s">
        <v>102</v>
      </c>
      <c r="S586" s="5" t="s">
        <v>40</v>
      </c>
      <c r="T586" s="4" t="str">
        <f>IF(OR(Tabela1[[#This Row],[Grau de Risco]]="Médio",Tabela1[[#This Row],[Grau de Risco]]="Baixo"),"Não","Sim")</f>
        <v>Sim</v>
      </c>
    </row>
    <row r="587" spans="1:20" hidden="1">
      <c r="A587" s="5" t="s">
        <v>2</v>
      </c>
      <c r="B587" s="4" t="s">
        <v>1803</v>
      </c>
      <c r="C587" s="4" t="s">
        <v>41</v>
      </c>
      <c r="D587" s="38" t="s">
        <v>1320</v>
      </c>
      <c r="E587" s="3">
        <v>29</v>
      </c>
      <c r="F587" s="2">
        <v>11</v>
      </c>
      <c r="G587" s="3">
        <v>2021</v>
      </c>
      <c r="H587" s="36" t="s">
        <v>33</v>
      </c>
      <c r="I587" s="7" t="s">
        <v>225</v>
      </c>
      <c r="J587" s="4" t="s">
        <v>69</v>
      </c>
      <c r="K587" s="3">
        <v>5</v>
      </c>
      <c r="L587" s="3">
        <v>0</v>
      </c>
      <c r="M587" s="5" t="s">
        <v>30</v>
      </c>
      <c r="N587" s="4">
        <v>5</v>
      </c>
      <c r="O587" s="4" t="s">
        <v>70</v>
      </c>
      <c r="P587" s="3" t="s">
        <v>31</v>
      </c>
      <c r="Q587" s="3">
        <v>17</v>
      </c>
      <c r="R587" s="2" t="s">
        <v>31</v>
      </c>
      <c r="S587" s="10" t="s">
        <v>32</v>
      </c>
      <c r="T587" s="4" t="str">
        <f>IF(OR(Tabela1[[#This Row],[Grau de Risco]]="Médio",Tabela1[[#This Row],[Grau de Risco]]="Baixo"),"Não","Sim")</f>
        <v>Não</v>
      </c>
    </row>
    <row r="588" spans="1:20">
      <c r="A588" s="4" t="s">
        <v>8</v>
      </c>
      <c r="B588" s="10" t="s">
        <v>1809</v>
      </c>
      <c r="C588" s="4" t="s">
        <v>133</v>
      </c>
      <c r="D588" s="4" t="s">
        <v>148</v>
      </c>
      <c r="E588" s="3">
        <v>16</v>
      </c>
      <c r="F588" s="3">
        <v>1</v>
      </c>
      <c r="G588" s="3">
        <v>2022</v>
      </c>
      <c r="H588" s="36" t="s">
        <v>66</v>
      </c>
      <c r="I588" s="7" t="s">
        <v>295</v>
      </c>
      <c r="J588" s="4" t="s">
        <v>73</v>
      </c>
      <c r="K588" s="3">
        <v>0</v>
      </c>
      <c r="L588" s="3">
        <v>0</v>
      </c>
      <c r="M588" s="4" t="s">
        <v>30</v>
      </c>
      <c r="N588" s="4"/>
      <c r="O588" s="4" t="s">
        <v>70</v>
      </c>
      <c r="P588" s="3" t="s">
        <v>52</v>
      </c>
      <c r="Q588" s="11">
        <v>24</v>
      </c>
      <c r="R588" s="3" t="str">
        <f>IF(Q588="","",IF(Q588&lt;4,"Crítico",IF(Q588&lt;9,"Alto",IF(Q588&lt;14,"Médio","Baixo"))))</f>
        <v>Baixo</v>
      </c>
      <c r="S588" s="5" t="s">
        <v>56</v>
      </c>
      <c r="T588" s="4" t="str">
        <f>IF(OR(Tabela1[[#This Row],[Grau de Risco]]="Médio",Tabela1[[#This Row],[Grau de Risco]]="Baixo"),"Não","Sim")</f>
        <v>Não</v>
      </c>
    </row>
    <row r="589" spans="1:20" hidden="1">
      <c r="A589" s="4" t="s">
        <v>2</v>
      </c>
      <c r="B589" s="10" t="s">
        <v>1800</v>
      </c>
      <c r="C589" s="4"/>
      <c r="D589" s="5" t="s">
        <v>36</v>
      </c>
      <c r="E589" s="3">
        <v>19</v>
      </c>
      <c r="F589" s="3">
        <v>11</v>
      </c>
      <c r="G589" s="3">
        <v>2022</v>
      </c>
      <c r="H589" s="4" t="s">
        <v>27</v>
      </c>
      <c r="I589" s="7" t="s">
        <v>315</v>
      </c>
      <c r="J589" s="4" t="s">
        <v>61</v>
      </c>
      <c r="K589" s="3">
        <v>2</v>
      </c>
      <c r="L589" s="3">
        <v>0</v>
      </c>
      <c r="M589" s="4" t="s">
        <v>30</v>
      </c>
      <c r="N589" s="4"/>
      <c r="O589" s="4" t="s">
        <v>45</v>
      </c>
      <c r="P589" s="3" t="s">
        <v>52</v>
      </c>
      <c r="Q589" s="11">
        <v>17</v>
      </c>
      <c r="R589" s="3" t="str">
        <f>IF(Q589="","",IF(Q589&lt;4,"Crítico",IF(Q589&lt;9,"Alto",IF(Q589&lt;14,"Médio","Baixo"))))</f>
        <v>Baixo</v>
      </c>
      <c r="S589" s="10" t="s">
        <v>63</v>
      </c>
      <c r="T589" s="4" t="str">
        <f>IF(OR(Tabela1[[#This Row],[Grau de Risco]]="Médio",Tabela1[[#This Row],[Grau de Risco]]="Baixo"),"Não","Sim")</f>
        <v>Não</v>
      </c>
    </row>
    <row r="590" spans="1:20">
      <c r="A590" s="4" t="s">
        <v>7</v>
      </c>
      <c r="B590" s="10" t="s">
        <v>1809</v>
      </c>
      <c r="C590" s="4" t="s">
        <v>89</v>
      </c>
      <c r="D590" s="38" t="s">
        <v>1393</v>
      </c>
      <c r="E590" s="3">
        <v>15</v>
      </c>
      <c r="F590" s="3">
        <v>3</v>
      </c>
      <c r="G590" s="3">
        <v>2022</v>
      </c>
      <c r="H590" s="36" t="s">
        <v>112</v>
      </c>
      <c r="I590" s="7" t="s">
        <v>1643</v>
      </c>
      <c r="J590" s="4" t="s">
        <v>111</v>
      </c>
      <c r="K590" s="3" t="s">
        <v>62</v>
      </c>
      <c r="L590" s="3" t="s">
        <v>44</v>
      </c>
      <c r="M590" s="4" t="s">
        <v>30</v>
      </c>
      <c r="N590" s="4"/>
      <c r="O590" s="4"/>
      <c r="P590" s="3" t="s">
        <v>52</v>
      </c>
      <c r="Q590" s="11">
        <v>25</v>
      </c>
      <c r="R590" s="3" t="str">
        <f>IF(Q590="","",IF(Q590&lt;4,"Crítico",IF(Q590&lt;9,"Alto",IF(Q590&lt;14,"Médio","Baixo"))))</f>
        <v>Baixo</v>
      </c>
      <c r="S590" s="5" t="s">
        <v>56</v>
      </c>
      <c r="T590" s="4" t="str">
        <f>IF(OR(Tabela1[[#This Row],[Grau de Risco]]="Médio",Tabela1[[#This Row],[Grau de Risco]]="Baixo"),"Não","Sim")</f>
        <v>Não</v>
      </c>
    </row>
    <row r="591" spans="1:20" hidden="1">
      <c r="A591" s="4" t="s">
        <v>2</v>
      </c>
      <c r="B591" s="10" t="s">
        <v>1805</v>
      </c>
      <c r="C591" s="4"/>
      <c r="D591" s="38" t="s">
        <v>47</v>
      </c>
      <c r="E591" s="3">
        <v>29</v>
      </c>
      <c r="F591" s="3">
        <v>7</v>
      </c>
      <c r="G591" s="3">
        <v>2022</v>
      </c>
      <c r="H591" s="5" t="s">
        <v>48</v>
      </c>
      <c r="I591" s="7" t="s">
        <v>349</v>
      </c>
      <c r="J591" s="4" t="s">
        <v>61</v>
      </c>
      <c r="K591" s="3">
        <v>60</v>
      </c>
      <c r="L591" s="3">
        <v>0</v>
      </c>
      <c r="M591" s="4" t="s">
        <v>30</v>
      </c>
      <c r="N591" s="4"/>
      <c r="O591" s="4" t="s">
        <v>74</v>
      </c>
      <c r="P591" s="3" t="s">
        <v>31</v>
      </c>
      <c r="Q591" s="11">
        <v>17</v>
      </c>
      <c r="R591" s="3" t="str">
        <f>IF(Q591="","",IF(Q591&lt;4,"Crítico",IF(Q591&lt;9,"Alto",IF(Q591&lt;14,"Médio","Baixo"))))</f>
        <v>Baixo</v>
      </c>
      <c r="S591" s="10" t="s">
        <v>63</v>
      </c>
      <c r="T591" s="4" t="str">
        <f>IF(OR(Tabela1[[#This Row],[Grau de Risco]]="Médio",Tabela1[[#This Row],[Grau de Risco]]="Baixo"),"Não","Sim")</f>
        <v>Não</v>
      </c>
    </row>
    <row r="592" spans="1:20">
      <c r="A592" s="4" t="s">
        <v>9</v>
      </c>
      <c r="B592" s="10" t="s">
        <v>1809</v>
      </c>
      <c r="C592" s="5" t="s">
        <v>26</v>
      </c>
      <c r="D592" s="58" t="s">
        <v>1409</v>
      </c>
      <c r="E592" s="3">
        <v>8</v>
      </c>
      <c r="F592" s="2">
        <v>12</v>
      </c>
      <c r="G592" s="3">
        <v>2022</v>
      </c>
      <c r="H592" s="36" t="s">
        <v>375</v>
      </c>
      <c r="I592" s="7" t="s">
        <v>204</v>
      </c>
      <c r="J592" s="4" t="s">
        <v>76</v>
      </c>
      <c r="K592" s="3">
        <v>1</v>
      </c>
      <c r="L592" s="3">
        <v>0</v>
      </c>
      <c r="M592" s="5" t="s">
        <v>30</v>
      </c>
      <c r="N592" s="4">
        <v>1</v>
      </c>
      <c r="O592" s="4" t="s">
        <v>55</v>
      </c>
      <c r="P592" s="3" t="s">
        <v>52</v>
      </c>
      <c r="Q592" s="3">
        <v>17</v>
      </c>
      <c r="R592" s="2" t="s">
        <v>31</v>
      </c>
      <c r="S592" s="10" t="s">
        <v>32</v>
      </c>
      <c r="T592" s="4" t="str">
        <f>IF(OR(Tabela1[[#This Row],[Grau de Risco]]="Médio",Tabela1[[#This Row],[Grau de Risco]]="Baixo"),"Não","Sim")</f>
        <v>Não</v>
      </c>
    </row>
    <row r="593" spans="1:20">
      <c r="A593" s="4" t="s">
        <v>7</v>
      </c>
      <c r="B593" s="10" t="s">
        <v>1809</v>
      </c>
      <c r="C593" s="4" t="s">
        <v>89</v>
      </c>
      <c r="D593" s="38" t="s">
        <v>1393</v>
      </c>
      <c r="E593" s="3">
        <v>17</v>
      </c>
      <c r="F593" s="3">
        <v>1</v>
      </c>
      <c r="G593" s="3">
        <v>2023</v>
      </c>
      <c r="H593" s="5" t="s">
        <v>71</v>
      </c>
      <c r="I593" s="7" t="s">
        <v>427</v>
      </c>
      <c r="J593" s="4" t="s">
        <v>61</v>
      </c>
      <c r="K593" s="3" t="s">
        <v>62</v>
      </c>
      <c r="L593" s="3" t="s">
        <v>44</v>
      </c>
      <c r="M593" s="4" t="s">
        <v>30</v>
      </c>
      <c r="N593" s="4"/>
      <c r="O593" s="4" t="s">
        <v>4</v>
      </c>
      <c r="P593" s="3" t="s">
        <v>52</v>
      </c>
      <c r="Q593" s="11">
        <v>16</v>
      </c>
      <c r="R593" s="3" t="str">
        <f>IF(Q593="","",IF(Q593&lt;4,"Crítico",IF(Q593&lt;9,"Alto",IF(Q593&lt;14,"Médio","Baixo"))))</f>
        <v>Baixo</v>
      </c>
      <c r="S593" s="5" t="s">
        <v>56</v>
      </c>
      <c r="T593" s="4" t="str">
        <f>IF(OR(Tabela1[[#This Row],[Grau de Risco]]="Médio",Tabela1[[#This Row],[Grau de Risco]]="Baixo"),"Não","Sim")</f>
        <v>Não</v>
      </c>
    </row>
    <row r="594" spans="1:20" hidden="1">
      <c r="A594" s="4" t="s">
        <v>8</v>
      </c>
      <c r="B594" s="10" t="s">
        <v>1805</v>
      </c>
      <c r="C594" s="4" t="s">
        <v>81</v>
      </c>
      <c r="D594" s="38" t="s">
        <v>47</v>
      </c>
      <c r="E594" s="3">
        <v>21</v>
      </c>
      <c r="F594" s="3">
        <v>7</v>
      </c>
      <c r="G594" s="3">
        <v>2023</v>
      </c>
      <c r="H594" s="36" t="s">
        <v>66</v>
      </c>
      <c r="I594" s="7" t="s">
        <v>438</v>
      </c>
      <c r="J594" s="4" t="s">
        <v>54</v>
      </c>
      <c r="K594" s="3">
        <v>0</v>
      </c>
      <c r="L594" s="3"/>
      <c r="M594" s="4" t="s">
        <v>30</v>
      </c>
      <c r="N594" s="4"/>
      <c r="O594" s="4" t="s">
        <v>4</v>
      </c>
      <c r="P594" s="3" t="s">
        <v>31</v>
      </c>
      <c r="Q594" s="11">
        <v>4</v>
      </c>
      <c r="R594" s="3" t="s">
        <v>102</v>
      </c>
      <c r="S594" s="10" t="s">
        <v>180</v>
      </c>
      <c r="T594" s="4" t="str">
        <f>IF(OR(Tabela1[[#This Row],[Grau de Risco]]="Médio",Tabela1[[#This Row],[Grau de Risco]]="Baixo"),"Não","Sim")</f>
        <v>Sim</v>
      </c>
    </row>
    <row r="595" spans="1:20" hidden="1">
      <c r="A595" s="4" t="s">
        <v>7</v>
      </c>
      <c r="B595" s="10" t="s">
        <v>1800</v>
      </c>
      <c r="C595" s="4" t="s">
        <v>252</v>
      </c>
      <c r="D595" s="38" t="s">
        <v>1382</v>
      </c>
      <c r="E595" s="3">
        <v>6</v>
      </c>
      <c r="F595" s="3">
        <v>12</v>
      </c>
      <c r="G595" s="3">
        <v>2023</v>
      </c>
      <c r="H595" s="5" t="s">
        <v>71</v>
      </c>
      <c r="I595" s="7" t="s">
        <v>448</v>
      </c>
      <c r="J595" s="4" t="s">
        <v>73</v>
      </c>
      <c r="K595" s="3" t="s">
        <v>62</v>
      </c>
      <c r="L595" s="3" t="s">
        <v>44</v>
      </c>
      <c r="M595" s="4" t="s">
        <v>30</v>
      </c>
      <c r="N595" s="4" t="s">
        <v>44</v>
      </c>
      <c r="O595" s="4" t="s">
        <v>4</v>
      </c>
      <c r="P595" s="3" t="s">
        <v>31</v>
      </c>
      <c r="Q595" s="11">
        <v>13</v>
      </c>
      <c r="R595" s="3" t="str">
        <f>IF(Q595="","",IF(Q595&lt;4,"Crítico",IF(Q595&lt;9,"Alto",IF(Q595&lt;14,"Médio","Baixo"))))</f>
        <v>Médio</v>
      </c>
      <c r="S595" s="5" t="s">
        <v>56</v>
      </c>
      <c r="T595" s="4" t="str">
        <f>IF(OR(Tabela1[[#This Row],[Grau de Risco]]="Médio",Tabela1[[#This Row],[Grau de Risco]]="Baixo"),"Não","Sim")</f>
        <v>Não</v>
      </c>
    </row>
    <row r="596" spans="1:20" hidden="1">
      <c r="A596" s="4" t="s">
        <v>2</v>
      </c>
      <c r="B596" s="10" t="s">
        <v>1805</v>
      </c>
      <c r="C596" s="4" t="s">
        <v>81</v>
      </c>
      <c r="D596" s="38" t="s">
        <v>1393</v>
      </c>
      <c r="E596" s="3">
        <v>24</v>
      </c>
      <c r="F596" s="3">
        <v>10</v>
      </c>
      <c r="G596" s="3">
        <v>2023</v>
      </c>
      <c r="H596" s="4" t="s">
        <v>27</v>
      </c>
      <c r="I596" s="7" t="s">
        <v>462</v>
      </c>
      <c r="J596" s="4" t="s">
        <v>69</v>
      </c>
      <c r="K596" s="3">
        <v>5</v>
      </c>
      <c r="L596" s="3">
        <v>0</v>
      </c>
      <c r="M596" s="4" t="s">
        <v>44</v>
      </c>
      <c r="N596" s="4">
        <v>0</v>
      </c>
      <c r="O596" s="4" t="s">
        <v>117</v>
      </c>
      <c r="P596" s="3" t="s">
        <v>31</v>
      </c>
      <c r="Q596" s="3">
        <v>11</v>
      </c>
      <c r="R596" s="3" t="s">
        <v>31</v>
      </c>
      <c r="S596" s="5" t="s">
        <v>56</v>
      </c>
      <c r="T596" s="4" t="str">
        <f>IF(OR(Tabela1[[#This Row],[Grau de Risco]]="Médio",Tabela1[[#This Row],[Grau de Risco]]="Baixo"),"Não","Sim")</f>
        <v>Não</v>
      </c>
    </row>
    <row r="597" spans="1:20" hidden="1">
      <c r="A597" s="4" t="s">
        <v>7</v>
      </c>
      <c r="B597" s="10" t="s">
        <v>1793</v>
      </c>
      <c r="C597" s="4" t="s">
        <v>252</v>
      </c>
      <c r="D597" s="5" t="s">
        <v>1393</v>
      </c>
      <c r="E597" s="3">
        <v>13</v>
      </c>
      <c r="F597" s="3">
        <v>9</v>
      </c>
      <c r="G597" s="3">
        <v>2023</v>
      </c>
      <c r="H597" s="34" t="s">
        <v>59</v>
      </c>
      <c r="I597" s="7" t="s">
        <v>467</v>
      </c>
      <c r="J597" s="4" t="s">
        <v>290</v>
      </c>
      <c r="K597" s="3" t="s">
        <v>62</v>
      </c>
      <c r="L597" s="3">
        <v>0</v>
      </c>
      <c r="M597" s="4" t="s">
        <v>30</v>
      </c>
      <c r="N597" s="4">
        <v>0</v>
      </c>
      <c r="O597" s="4" t="s">
        <v>167</v>
      </c>
      <c r="P597" s="3" t="s">
        <v>52</v>
      </c>
      <c r="Q597" s="11">
        <v>11</v>
      </c>
      <c r="R597" s="3" t="s">
        <v>31</v>
      </c>
      <c r="S597" s="5" t="s">
        <v>56</v>
      </c>
      <c r="T597" s="4" t="str">
        <f>IF(OR(Tabela1[[#This Row],[Grau de Risco]]="Médio",Tabela1[[#This Row],[Grau de Risco]]="Baixo"),"Não","Sim")</f>
        <v>Não</v>
      </c>
    </row>
    <row r="598" spans="1:20">
      <c r="A598" s="4" t="s">
        <v>9</v>
      </c>
      <c r="B598" s="10" t="s">
        <v>1809</v>
      </c>
      <c r="C598" s="4" t="s">
        <v>26</v>
      </c>
      <c r="D598" s="38" t="s">
        <v>1393</v>
      </c>
      <c r="E598" s="3">
        <v>18</v>
      </c>
      <c r="F598" s="3">
        <v>4</v>
      </c>
      <c r="G598" s="3">
        <v>2023</v>
      </c>
      <c r="H598" s="5" t="s">
        <v>209</v>
      </c>
      <c r="I598" s="7" t="s">
        <v>1572</v>
      </c>
      <c r="J598" s="4" t="s">
        <v>79</v>
      </c>
      <c r="K598" s="3">
        <v>9</v>
      </c>
      <c r="L598" s="3">
        <v>0</v>
      </c>
      <c r="M598" s="4" t="s">
        <v>30</v>
      </c>
      <c r="N598" s="4">
        <v>0</v>
      </c>
      <c r="O598" s="4" t="s">
        <v>101</v>
      </c>
      <c r="P598" s="3" t="s">
        <v>52</v>
      </c>
      <c r="Q598" s="11">
        <v>14</v>
      </c>
      <c r="R598" s="3" t="s">
        <v>52</v>
      </c>
      <c r="S598" s="10" t="s">
        <v>63</v>
      </c>
      <c r="T598" s="4" t="str">
        <f>IF(OR(Tabela1[[#This Row],[Grau de Risco]]="Médio",Tabela1[[#This Row],[Grau de Risco]]="Baixo"),"Não","Sim")</f>
        <v>Não</v>
      </c>
    </row>
    <row r="599" spans="1:20">
      <c r="A599" s="4" t="s">
        <v>2</v>
      </c>
      <c r="B599" s="10" t="s">
        <v>1809</v>
      </c>
      <c r="C599" s="4" t="s">
        <v>252</v>
      </c>
      <c r="D599" s="38" t="s">
        <v>1393</v>
      </c>
      <c r="E599" s="3">
        <v>21</v>
      </c>
      <c r="F599" s="3">
        <v>11</v>
      </c>
      <c r="G599" s="3">
        <v>2023</v>
      </c>
      <c r="H599" s="4" t="s">
        <v>27</v>
      </c>
      <c r="I599" s="7" t="s">
        <v>546</v>
      </c>
      <c r="J599" s="4" t="s">
        <v>115</v>
      </c>
      <c r="K599" s="3">
        <v>5</v>
      </c>
      <c r="L599" s="3">
        <v>0</v>
      </c>
      <c r="M599" s="4" t="s">
        <v>30</v>
      </c>
      <c r="N599" s="4">
        <v>0</v>
      </c>
      <c r="O599" s="4" t="s">
        <v>88</v>
      </c>
      <c r="P599" s="3" t="s">
        <v>52</v>
      </c>
      <c r="Q599" s="11">
        <v>16</v>
      </c>
      <c r="R599" s="3" t="str">
        <f>IF(Q599="","",IF(Q599&lt;4,"Crítico",IF(Q599&lt;9,"Alto",IF(Q599&lt;14,"Médio","Baixo"))))</f>
        <v>Baixo</v>
      </c>
      <c r="S599" s="5" t="s">
        <v>56</v>
      </c>
      <c r="T599" s="4" t="str">
        <f>IF(OR(Tabela1[[#This Row],[Grau de Risco]]="Médio",Tabela1[[#This Row],[Grau de Risco]]="Baixo"),"Não","Sim")</f>
        <v>Não</v>
      </c>
    </row>
    <row r="600" spans="1:20" hidden="1">
      <c r="A600" s="4" t="s">
        <v>2</v>
      </c>
      <c r="B600" s="10" t="s">
        <v>1800</v>
      </c>
      <c r="C600" s="4" t="s">
        <v>41</v>
      </c>
      <c r="D600" s="38" t="s">
        <v>1393</v>
      </c>
      <c r="E600" s="3">
        <v>29</v>
      </c>
      <c r="F600" s="3">
        <v>8</v>
      </c>
      <c r="G600" s="3">
        <v>2023</v>
      </c>
      <c r="H600" s="36" t="s">
        <v>375</v>
      </c>
      <c r="I600" s="7" t="s">
        <v>618</v>
      </c>
      <c r="J600" s="4" t="s">
        <v>54</v>
      </c>
      <c r="K600" s="3">
        <v>2</v>
      </c>
      <c r="L600" s="3">
        <v>2</v>
      </c>
      <c r="M600" s="4" t="s">
        <v>30</v>
      </c>
      <c r="N600" s="4"/>
      <c r="O600" s="4" t="s">
        <v>39</v>
      </c>
      <c r="P600" s="3" t="s">
        <v>31</v>
      </c>
      <c r="Q600" s="11">
        <v>4</v>
      </c>
      <c r="R600" s="3" t="s">
        <v>102</v>
      </c>
      <c r="S600" s="23" t="s">
        <v>4</v>
      </c>
      <c r="T600" s="4" t="str">
        <f>IF(OR(Tabela1[[#This Row],[Grau de Risco]]="Médio",Tabela1[[#This Row],[Grau de Risco]]="Baixo"),"Não","Sim")</f>
        <v>Sim</v>
      </c>
    </row>
    <row r="601" spans="1:20" hidden="1">
      <c r="A601" s="5" t="s">
        <v>7</v>
      </c>
      <c r="B601" s="10" t="s">
        <v>1805</v>
      </c>
      <c r="C601" s="4" t="s">
        <v>41</v>
      </c>
      <c r="D601" s="38" t="s">
        <v>1393</v>
      </c>
      <c r="E601" s="3">
        <v>12</v>
      </c>
      <c r="F601" s="3">
        <v>9</v>
      </c>
      <c r="G601" s="3">
        <v>2023</v>
      </c>
      <c r="H601" s="34" t="s">
        <v>59</v>
      </c>
      <c r="I601" s="7" t="s">
        <v>626</v>
      </c>
      <c r="J601" s="4" t="s">
        <v>54</v>
      </c>
      <c r="K601" s="3" t="s">
        <v>44</v>
      </c>
      <c r="L601" s="3" t="s">
        <v>80</v>
      </c>
      <c r="M601" s="4"/>
      <c r="N601" s="4"/>
      <c r="O601" s="4" t="s">
        <v>55</v>
      </c>
      <c r="P601" s="3"/>
      <c r="Q601" s="11">
        <v>15</v>
      </c>
      <c r="R601" s="3" t="s">
        <v>52</v>
      </c>
      <c r="S601" s="5" t="s">
        <v>56</v>
      </c>
      <c r="T601" s="4" t="str">
        <f>IF(OR(Tabela1[[#This Row],[Grau de Risco]]="Médio",Tabela1[[#This Row],[Grau de Risco]]="Baixo"),"Não","Sim")</f>
        <v>Não</v>
      </c>
    </row>
    <row r="602" spans="1:20">
      <c r="A602" s="4" t="s">
        <v>2</v>
      </c>
      <c r="B602" s="10" t="s">
        <v>1809</v>
      </c>
      <c r="C602" s="4"/>
      <c r="D602" s="38" t="s">
        <v>47</v>
      </c>
      <c r="E602" s="3">
        <v>24</v>
      </c>
      <c r="F602" s="3">
        <v>3</v>
      </c>
      <c r="G602" s="3">
        <v>2023</v>
      </c>
      <c r="H602" s="5" t="s">
        <v>48</v>
      </c>
      <c r="I602" s="7" t="s">
        <v>661</v>
      </c>
      <c r="J602" s="4" t="s">
        <v>50</v>
      </c>
      <c r="K602" s="3">
        <v>5</v>
      </c>
      <c r="L602" s="3">
        <v>0</v>
      </c>
      <c r="M602" s="4" t="s">
        <v>30</v>
      </c>
      <c r="N602" s="4">
        <v>0</v>
      </c>
      <c r="O602" s="4" t="s">
        <v>77</v>
      </c>
      <c r="P602" s="3" t="s">
        <v>31</v>
      </c>
      <c r="Q602" s="11">
        <v>14</v>
      </c>
      <c r="R602" s="3" t="s">
        <v>52</v>
      </c>
      <c r="S602" s="10" t="s">
        <v>63</v>
      </c>
      <c r="T602" s="4" t="str">
        <f>IF(OR(Tabela1[[#This Row],[Grau de Risco]]="Médio",Tabela1[[#This Row],[Grau de Risco]]="Baixo"),"Não","Sim")</f>
        <v>Não</v>
      </c>
    </row>
    <row r="603" spans="1:20">
      <c r="A603" s="4" t="s">
        <v>2</v>
      </c>
      <c r="B603" s="10" t="s">
        <v>1809</v>
      </c>
      <c r="C603" s="4" t="s">
        <v>252</v>
      </c>
      <c r="D603" s="38" t="s">
        <v>1382</v>
      </c>
      <c r="E603" s="3">
        <v>29</v>
      </c>
      <c r="F603" s="3">
        <v>5</v>
      </c>
      <c r="G603" s="3">
        <v>2024</v>
      </c>
      <c r="H603" s="36" t="s">
        <v>33</v>
      </c>
      <c r="I603" s="7" t="s">
        <v>1821</v>
      </c>
      <c r="J603" s="4" t="s">
        <v>61</v>
      </c>
      <c r="K603" s="3">
        <v>60</v>
      </c>
      <c r="L603" s="3">
        <v>0</v>
      </c>
      <c r="M603" s="4" t="s">
        <v>30</v>
      </c>
      <c r="N603" s="4"/>
      <c r="O603" s="4" t="s">
        <v>85</v>
      </c>
      <c r="P603" s="3" t="s">
        <v>31</v>
      </c>
      <c r="Q603" s="11">
        <v>7</v>
      </c>
      <c r="R603" s="3" t="s">
        <v>102</v>
      </c>
      <c r="S603" s="5" t="s">
        <v>40</v>
      </c>
      <c r="T603" s="4" t="str">
        <f>IF(OR(Tabela1[[#This Row],[Grau de Risco]]="Médio",Tabela1[[#This Row],[Grau de Risco]]="Baixo"),"Não","Sim")</f>
        <v>Sim</v>
      </c>
    </row>
    <row r="604" spans="1:20">
      <c r="A604" s="4" t="s">
        <v>7</v>
      </c>
      <c r="B604" s="10" t="s">
        <v>1809</v>
      </c>
      <c r="C604" s="4" t="s">
        <v>252</v>
      </c>
      <c r="D604" s="38" t="s">
        <v>1393</v>
      </c>
      <c r="E604" s="3">
        <v>17</v>
      </c>
      <c r="F604" s="3">
        <v>12</v>
      </c>
      <c r="G604" s="3">
        <v>2024</v>
      </c>
      <c r="H604" s="5" t="s">
        <v>123</v>
      </c>
      <c r="I604" s="7" t="s">
        <v>704</v>
      </c>
      <c r="J604" s="4" t="s">
        <v>61</v>
      </c>
      <c r="K604" s="3"/>
      <c r="L604" s="3"/>
      <c r="M604" s="4"/>
      <c r="N604" s="4"/>
      <c r="O604" s="4" t="s">
        <v>4</v>
      </c>
      <c r="P604" s="3"/>
      <c r="Q604" s="11">
        <v>13</v>
      </c>
      <c r="R604" s="3" t="s">
        <v>31</v>
      </c>
      <c r="S604" s="10" t="s">
        <v>141</v>
      </c>
      <c r="T604" s="4" t="str">
        <f>IF(OR(Tabela1[[#This Row],[Grau de Risco]]="Médio",Tabela1[[#This Row],[Grau de Risco]]="Baixo"),"Não","Sim")</f>
        <v>Não</v>
      </c>
    </row>
    <row r="605" spans="1:20" hidden="1">
      <c r="A605" s="4" t="s">
        <v>7</v>
      </c>
      <c r="B605" s="10" t="s">
        <v>1797</v>
      </c>
      <c r="C605" s="4" t="s">
        <v>81</v>
      </c>
      <c r="D605" s="38" t="s">
        <v>1320</v>
      </c>
      <c r="E605" s="3">
        <v>27</v>
      </c>
      <c r="F605" s="3">
        <v>5</v>
      </c>
      <c r="G605" s="3">
        <v>2024</v>
      </c>
      <c r="H605" s="5" t="s">
        <v>48</v>
      </c>
      <c r="I605" s="7" t="s">
        <v>781</v>
      </c>
      <c r="J605" s="4" t="s">
        <v>69</v>
      </c>
      <c r="K605" s="3" t="s">
        <v>44</v>
      </c>
      <c r="L605" s="3" t="s">
        <v>44</v>
      </c>
      <c r="M605" s="4"/>
      <c r="N605" s="4" t="s">
        <v>44</v>
      </c>
      <c r="O605" s="4"/>
      <c r="P605" s="3" t="s">
        <v>52</v>
      </c>
      <c r="Q605" s="11">
        <v>15</v>
      </c>
      <c r="R605" s="3" t="s">
        <v>52</v>
      </c>
      <c r="S605" s="10" t="s">
        <v>178</v>
      </c>
      <c r="T605" s="4" t="str">
        <f>IF(OR(Tabela1[[#This Row],[Grau de Risco]]="Médio",Tabela1[[#This Row],[Grau de Risco]]="Baixo"),"Não","Sim")</f>
        <v>Não</v>
      </c>
    </row>
    <row r="606" spans="1:20" hidden="1">
      <c r="A606" s="47" t="s">
        <v>2</v>
      </c>
      <c r="B606" s="47" t="s">
        <v>1797</v>
      </c>
      <c r="C606" s="47" t="s">
        <v>81</v>
      </c>
      <c r="D606" s="38" t="s">
        <v>1320</v>
      </c>
      <c r="E606" s="31">
        <v>19</v>
      </c>
      <c r="F606" s="31">
        <v>8</v>
      </c>
      <c r="G606" s="31">
        <v>2024</v>
      </c>
      <c r="H606" s="4" t="s">
        <v>27</v>
      </c>
      <c r="I606" s="47" t="s">
        <v>788</v>
      </c>
      <c r="J606" s="47" t="s">
        <v>54</v>
      </c>
      <c r="K606" s="31">
        <v>20</v>
      </c>
      <c r="L606" s="41" t="s">
        <v>30</v>
      </c>
      <c r="M606" s="47" t="s">
        <v>30</v>
      </c>
      <c r="N606" s="41" t="s">
        <v>44</v>
      </c>
      <c r="O606" s="47" t="s">
        <v>117</v>
      </c>
      <c r="P606" s="47" t="s">
        <v>31</v>
      </c>
      <c r="Q606" s="47">
        <v>11</v>
      </c>
      <c r="R606" s="32" t="s">
        <v>31</v>
      </c>
      <c r="S606" s="10" t="s">
        <v>32</v>
      </c>
      <c r="T606" s="4" t="str">
        <f>IF(OR(Tabela1[[#This Row],[Grau de Risco]]="Médio",Tabela1[[#This Row],[Grau de Risco]]="Baixo"),"Não","Sim")</f>
        <v>Não</v>
      </c>
    </row>
    <row r="607" spans="1:20">
      <c r="A607" s="4" t="s">
        <v>7</v>
      </c>
      <c r="B607" s="10" t="s">
        <v>1809</v>
      </c>
      <c r="C607" s="4" t="s">
        <v>252</v>
      </c>
      <c r="D607" s="5" t="s">
        <v>36</v>
      </c>
      <c r="E607" s="3">
        <v>23</v>
      </c>
      <c r="F607" s="3">
        <v>11</v>
      </c>
      <c r="G607" s="3">
        <v>2024</v>
      </c>
      <c r="H607" s="4" t="s">
        <v>27</v>
      </c>
      <c r="I607" s="7" t="s">
        <v>806</v>
      </c>
      <c r="J607" s="4" t="s">
        <v>111</v>
      </c>
      <c r="K607" s="3"/>
      <c r="L607" s="3"/>
      <c r="M607" s="4"/>
      <c r="N607" s="4"/>
      <c r="O607" s="4" t="s">
        <v>70</v>
      </c>
      <c r="P607" s="3"/>
      <c r="Q607" s="11">
        <v>15</v>
      </c>
      <c r="R607" s="3" t="s">
        <v>52</v>
      </c>
      <c r="S607" s="5" t="s">
        <v>56</v>
      </c>
      <c r="T607" s="4" t="str">
        <f>IF(OR(Tabela1[[#This Row],[Grau de Risco]]="Médio",Tabela1[[#This Row],[Grau de Risco]]="Baixo"),"Não","Sim")</f>
        <v>Não</v>
      </c>
    </row>
    <row r="608" spans="1:20" hidden="1">
      <c r="A608" s="4" t="s">
        <v>7</v>
      </c>
      <c r="B608" s="10" t="s">
        <v>1797</v>
      </c>
      <c r="C608" s="4" t="s">
        <v>41</v>
      </c>
      <c r="D608" s="38" t="s">
        <v>47</v>
      </c>
      <c r="E608" s="3">
        <v>30</v>
      </c>
      <c r="F608" s="3">
        <v>8</v>
      </c>
      <c r="G608" s="3">
        <v>2024</v>
      </c>
      <c r="H608" s="60" t="s">
        <v>109</v>
      </c>
      <c r="I608" s="7" t="s">
        <v>807</v>
      </c>
      <c r="J608" s="4" t="s">
        <v>111</v>
      </c>
      <c r="K608" s="3" t="s">
        <v>62</v>
      </c>
      <c r="L608" s="3"/>
      <c r="M608" s="4"/>
      <c r="N608" s="4"/>
      <c r="O608" s="4" t="s">
        <v>51</v>
      </c>
      <c r="P608" s="3" t="s">
        <v>52</v>
      </c>
      <c r="Q608" s="11">
        <v>11</v>
      </c>
      <c r="R608" s="3" t="s">
        <v>31</v>
      </c>
      <c r="S608" s="10" t="s">
        <v>4</v>
      </c>
      <c r="T608" s="4" t="str">
        <f>IF(OR(Tabela1[[#This Row],[Grau de Risco]]="Médio",Tabela1[[#This Row],[Grau de Risco]]="Baixo"),"Não","Sim")</f>
        <v>Não</v>
      </c>
    </row>
    <row r="609" spans="1:20">
      <c r="A609" s="4" t="s">
        <v>7</v>
      </c>
      <c r="B609" s="10" t="s">
        <v>1809</v>
      </c>
      <c r="C609" s="4" t="s">
        <v>26</v>
      </c>
      <c r="D609" s="58" t="s">
        <v>1409</v>
      </c>
      <c r="E609" s="3">
        <v>29</v>
      </c>
      <c r="F609" s="3">
        <v>8</v>
      </c>
      <c r="G609" s="3">
        <v>2024</v>
      </c>
      <c r="H609" s="4" t="s">
        <v>27</v>
      </c>
      <c r="I609" s="7" t="s">
        <v>829</v>
      </c>
      <c r="J609" s="4" t="s">
        <v>229</v>
      </c>
      <c r="K609" s="3" t="s">
        <v>62</v>
      </c>
      <c r="L609" s="3"/>
      <c r="M609" s="4"/>
      <c r="N609" s="4"/>
      <c r="O609" s="4" t="s">
        <v>4</v>
      </c>
      <c r="P609" s="3"/>
      <c r="Q609" s="11">
        <v>16</v>
      </c>
      <c r="R609" s="3" t="s">
        <v>52</v>
      </c>
      <c r="S609" s="10" t="s">
        <v>4</v>
      </c>
      <c r="T609" s="4" t="str">
        <f>IF(OR(Tabela1[[#This Row],[Grau de Risco]]="Médio",Tabela1[[#This Row],[Grau de Risco]]="Baixo"),"Não","Sim")</f>
        <v>Não</v>
      </c>
    </row>
    <row r="610" spans="1:20" hidden="1">
      <c r="A610" s="4" t="s">
        <v>2</v>
      </c>
      <c r="B610" s="10" t="s">
        <v>1805</v>
      </c>
      <c r="C610" s="4" t="s">
        <v>252</v>
      </c>
      <c r="D610" s="38" t="s">
        <v>1320</v>
      </c>
      <c r="E610" s="3">
        <v>11</v>
      </c>
      <c r="F610" s="3">
        <v>11</v>
      </c>
      <c r="G610" s="3">
        <v>2024</v>
      </c>
      <c r="H610" s="5" t="s">
        <v>71</v>
      </c>
      <c r="I610" s="7" t="s">
        <v>863</v>
      </c>
      <c r="J610" s="4" t="s">
        <v>61</v>
      </c>
      <c r="K610" s="3">
        <v>0</v>
      </c>
      <c r="L610" s="3" t="s">
        <v>30</v>
      </c>
      <c r="M610" s="4" t="s">
        <v>30</v>
      </c>
      <c r="N610" s="4"/>
      <c r="O610" s="4" t="s">
        <v>159</v>
      </c>
      <c r="P610" s="3" t="s">
        <v>52</v>
      </c>
      <c r="Q610" s="11">
        <v>15</v>
      </c>
      <c r="R610" s="3" t="s">
        <v>52</v>
      </c>
      <c r="S610" s="10" t="s">
        <v>178</v>
      </c>
      <c r="T610" s="4" t="str">
        <f>IF(OR(Tabela1[[#This Row],[Grau de Risco]]="Médio",Tabela1[[#This Row],[Grau de Risco]]="Baixo"),"Não","Sim")</f>
        <v>Não</v>
      </c>
    </row>
    <row r="611" spans="1:20" hidden="1">
      <c r="A611" s="4" t="s">
        <v>2</v>
      </c>
      <c r="B611" s="10" t="s">
        <v>1805</v>
      </c>
      <c r="C611" s="4" t="s">
        <v>133</v>
      </c>
      <c r="D611" s="38" t="s">
        <v>1382</v>
      </c>
      <c r="E611" s="3">
        <v>10</v>
      </c>
      <c r="F611" s="3">
        <v>1</v>
      </c>
      <c r="G611" s="3">
        <v>2024</v>
      </c>
      <c r="H611" s="5" t="s">
        <v>71</v>
      </c>
      <c r="I611" s="7" t="s">
        <v>880</v>
      </c>
      <c r="J611" s="4" t="s">
        <v>76</v>
      </c>
      <c r="K611" s="3">
        <v>2</v>
      </c>
      <c r="L611" s="3">
        <v>0</v>
      </c>
      <c r="M611" s="4" t="s">
        <v>30</v>
      </c>
      <c r="N611" s="4" t="s">
        <v>44</v>
      </c>
      <c r="O611" s="4" t="s">
        <v>70</v>
      </c>
      <c r="P611" s="3" t="s">
        <v>52</v>
      </c>
      <c r="Q611" s="11">
        <v>14</v>
      </c>
      <c r="R611" s="3" t="s">
        <v>52</v>
      </c>
      <c r="S611" s="5" t="s">
        <v>56</v>
      </c>
      <c r="T611" s="4" t="str">
        <f>IF(OR(Tabela1[[#This Row],[Grau de Risco]]="Médio",Tabela1[[#This Row],[Grau de Risco]]="Baixo"),"Não","Sim")</f>
        <v>Não</v>
      </c>
    </row>
    <row r="612" spans="1:20" hidden="1">
      <c r="A612" s="4" t="s">
        <v>8</v>
      </c>
      <c r="B612" s="10" t="s">
        <v>1805</v>
      </c>
      <c r="C612" s="4" t="s">
        <v>81</v>
      </c>
      <c r="D612" s="38" t="s">
        <v>47</v>
      </c>
      <c r="E612" s="3">
        <v>16</v>
      </c>
      <c r="F612" s="3">
        <v>8</v>
      </c>
      <c r="G612" s="3">
        <v>2024</v>
      </c>
      <c r="H612" s="34" t="s">
        <v>59</v>
      </c>
      <c r="I612" s="7" t="s">
        <v>893</v>
      </c>
      <c r="J612" s="4" t="s">
        <v>69</v>
      </c>
      <c r="K612" s="3" t="s">
        <v>44</v>
      </c>
      <c r="L612" s="3" t="s">
        <v>44</v>
      </c>
      <c r="M612" s="4"/>
      <c r="N612" s="4" t="s">
        <v>44</v>
      </c>
      <c r="O612" s="4" t="s">
        <v>167</v>
      </c>
      <c r="P612" s="3" t="s">
        <v>52</v>
      </c>
      <c r="Q612" s="11">
        <v>15</v>
      </c>
      <c r="R612" s="3" t="s">
        <v>52</v>
      </c>
      <c r="S612" s="5" t="s">
        <v>56</v>
      </c>
      <c r="T612" s="4" t="str">
        <f>IF(OR(Tabela1[[#This Row],[Grau de Risco]]="Médio",Tabela1[[#This Row],[Grau de Risco]]="Baixo"),"Não","Sim")</f>
        <v>Não</v>
      </c>
    </row>
    <row r="613" spans="1:20" hidden="1">
      <c r="A613" s="4" t="s">
        <v>7</v>
      </c>
      <c r="B613" s="10" t="s">
        <v>1805</v>
      </c>
      <c r="C613" s="4" t="s">
        <v>46</v>
      </c>
      <c r="D613" s="58" t="s">
        <v>1409</v>
      </c>
      <c r="E613" s="3">
        <v>31</v>
      </c>
      <c r="F613" s="3">
        <v>10</v>
      </c>
      <c r="G613" s="3">
        <v>2024</v>
      </c>
      <c r="H613" s="36" t="s">
        <v>112</v>
      </c>
      <c r="I613" s="7" t="s">
        <v>1644</v>
      </c>
      <c r="J613" s="4" t="s">
        <v>79</v>
      </c>
      <c r="K613" s="3" t="s">
        <v>44</v>
      </c>
      <c r="L613" s="3" t="s">
        <v>44</v>
      </c>
      <c r="M613" s="4"/>
      <c r="N613" s="4" t="s">
        <v>44</v>
      </c>
      <c r="O613" s="4"/>
      <c r="P613" s="3"/>
      <c r="Q613" s="11">
        <v>15</v>
      </c>
      <c r="R613" s="3" t="s">
        <v>52</v>
      </c>
      <c r="S613" s="5" t="s">
        <v>56</v>
      </c>
      <c r="T613" s="4" t="str">
        <f>IF(OR(Tabela1[[#This Row],[Grau de Risco]]="Médio",Tabela1[[#This Row],[Grau de Risco]]="Baixo"),"Não","Sim")</f>
        <v>Não</v>
      </c>
    </row>
    <row r="614" spans="1:20" hidden="1">
      <c r="A614" s="4" t="s">
        <v>2</v>
      </c>
      <c r="B614" s="10" t="s">
        <v>1800</v>
      </c>
      <c r="C614" s="4" t="s">
        <v>41</v>
      </c>
      <c r="D614" s="58" t="s">
        <v>1409</v>
      </c>
      <c r="E614" s="3">
        <v>18</v>
      </c>
      <c r="F614" s="3">
        <v>1</v>
      </c>
      <c r="G614" s="3">
        <v>2024</v>
      </c>
      <c r="H614" s="36" t="s">
        <v>33</v>
      </c>
      <c r="I614" s="7" t="s">
        <v>983</v>
      </c>
      <c r="J614" s="4" t="s">
        <v>54</v>
      </c>
      <c r="K614" s="3">
        <v>5</v>
      </c>
      <c r="L614" s="3" t="s">
        <v>30</v>
      </c>
      <c r="M614" s="4" t="s">
        <v>30</v>
      </c>
      <c r="N614" s="4" t="s">
        <v>44</v>
      </c>
      <c r="O614" s="4" t="s">
        <v>1791</v>
      </c>
      <c r="P614" s="3" t="s">
        <v>31</v>
      </c>
      <c r="Q614" s="11">
        <v>11</v>
      </c>
      <c r="R614" s="3" t="s">
        <v>31</v>
      </c>
      <c r="S614" s="5" t="s">
        <v>56</v>
      </c>
      <c r="T614" s="4" t="str">
        <f>IF(OR(Tabela1[[#This Row],[Grau de Risco]]="Médio",Tabela1[[#This Row],[Grau de Risco]]="Baixo"),"Não","Sim")</f>
        <v>Não</v>
      </c>
    </row>
    <row r="615" spans="1:20" hidden="1">
      <c r="A615" s="4" t="s">
        <v>8</v>
      </c>
      <c r="B615" s="10" t="s">
        <v>1800</v>
      </c>
      <c r="C615" s="4" t="s">
        <v>41</v>
      </c>
      <c r="D615" s="5" t="s">
        <v>36</v>
      </c>
      <c r="E615" s="3">
        <v>2</v>
      </c>
      <c r="F615" s="3">
        <v>3</v>
      </c>
      <c r="G615" s="3">
        <v>2024</v>
      </c>
      <c r="H615" s="5" t="s">
        <v>48</v>
      </c>
      <c r="I615" s="7" t="s">
        <v>1645</v>
      </c>
      <c r="J615" s="4" t="s">
        <v>54</v>
      </c>
      <c r="K615" s="3">
        <v>0</v>
      </c>
      <c r="L615" s="3" t="s">
        <v>30</v>
      </c>
      <c r="M615" s="4" t="s">
        <v>30</v>
      </c>
      <c r="N615" s="4" t="s">
        <v>44</v>
      </c>
      <c r="O615" s="4"/>
      <c r="P615" s="3" t="s">
        <v>52</v>
      </c>
      <c r="Q615" s="11">
        <v>11</v>
      </c>
      <c r="R615" s="3" t="s">
        <v>31</v>
      </c>
      <c r="S615" s="5" t="s">
        <v>56</v>
      </c>
      <c r="T615" s="4" t="str">
        <f>IF(OR(Tabela1[[#This Row],[Grau de Risco]]="Médio",Tabela1[[#This Row],[Grau de Risco]]="Baixo"),"Não","Sim")</f>
        <v>Não</v>
      </c>
    </row>
    <row r="616" spans="1:20" hidden="1">
      <c r="A616" s="4" t="s">
        <v>2</v>
      </c>
      <c r="B616" s="10" t="s">
        <v>1800</v>
      </c>
      <c r="C616" s="4" t="s">
        <v>81</v>
      </c>
      <c r="D616" s="38" t="s">
        <v>1320</v>
      </c>
      <c r="E616" s="3">
        <v>1</v>
      </c>
      <c r="F616" s="3">
        <v>4</v>
      </c>
      <c r="G616" s="3">
        <v>2024</v>
      </c>
      <c r="H616" s="5" t="s">
        <v>123</v>
      </c>
      <c r="I616" s="7" t="s">
        <v>1023</v>
      </c>
      <c r="J616" s="4" t="s">
        <v>54</v>
      </c>
      <c r="K616" s="3">
        <v>9</v>
      </c>
      <c r="L616" s="3" t="s">
        <v>30</v>
      </c>
      <c r="M616" s="4" t="s">
        <v>30</v>
      </c>
      <c r="N616" s="4" t="s">
        <v>44</v>
      </c>
      <c r="O616" s="4" t="s">
        <v>129</v>
      </c>
      <c r="P616" s="3" t="s">
        <v>31</v>
      </c>
      <c r="Q616" s="11">
        <v>11</v>
      </c>
      <c r="R616" s="3" t="s">
        <v>31</v>
      </c>
      <c r="S616" s="10" t="s">
        <v>32</v>
      </c>
      <c r="T616" s="4" t="str">
        <f>IF(OR(Tabela1[[#This Row],[Grau de Risco]]="Médio",Tabela1[[#This Row],[Grau de Risco]]="Baixo"),"Não","Sim")</f>
        <v>Não</v>
      </c>
    </row>
    <row r="617" spans="1:20" hidden="1">
      <c r="A617" s="5" t="s">
        <v>7</v>
      </c>
      <c r="B617" s="33" t="s">
        <v>1805</v>
      </c>
      <c r="C617" s="28" t="s">
        <v>1118</v>
      </c>
      <c r="D617" s="58" t="s">
        <v>1409</v>
      </c>
      <c r="E617" s="32">
        <v>16</v>
      </c>
      <c r="F617" s="32">
        <v>1</v>
      </c>
      <c r="G617" s="32">
        <v>2025</v>
      </c>
      <c r="H617" s="36" t="s">
        <v>82</v>
      </c>
      <c r="I617" s="29" t="s">
        <v>1646</v>
      </c>
      <c r="J617" s="28" t="s">
        <v>38</v>
      </c>
      <c r="K617" s="32" t="s">
        <v>1581</v>
      </c>
      <c r="L617" s="32" t="s">
        <v>44</v>
      </c>
      <c r="M617" s="28" t="s">
        <v>30</v>
      </c>
      <c r="N617" s="28" t="s">
        <v>44</v>
      </c>
      <c r="O617" s="28"/>
      <c r="P617" s="32"/>
      <c r="Q617" s="35">
        <v>11</v>
      </c>
      <c r="R617" s="32" t="s">
        <v>31</v>
      </c>
      <c r="S617" s="10" t="s">
        <v>63</v>
      </c>
      <c r="T617" s="4" t="str">
        <f>IF(OR(Tabela1[[#This Row],[Grau de Risco]]="Médio",Tabela1[[#This Row],[Grau de Risco]]="Baixo"),"Não","Sim")</f>
        <v>Não</v>
      </c>
    </row>
    <row r="618" spans="1:20" hidden="1">
      <c r="A618" s="4" t="s">
        <v>1110</v>
      </c>
      <c r="B618" s="10" t="s">
        <v>1797</v>
      </c>
      <c r="C618" s="4" t="s">
        <v>81</v>
      </c>
      <c r="D618" s="38" t="s">
        <v>1320</v>
      </c>
      <c r="E618" s="3">
        <v>20</v>
      </c>
      <c r="F618" s="3">
        <v>1</v>
      </c>
      <c r="G618" s="3">
        <v>2025</v>
      </c>
      <c r="H618" s="36" t="s">
        <v>82</v>
      </c>
      <c r="I618" s="7" t="s">
        <v>1647</v>
      </c>
      <c r="J618" s="4" t="s">
        <v>29</v>
      </c>
      <c r="K618" s="3" t="s">
        <v>44</v>
      </c>
      <c r="L618" s="3" t="s">
        <v>44</v>
      </c>
      <c r="M618" s="4"/>
      <c r="N618" s="4" t="s">
        <v>44</v>
      </c>
      <c r="O618" s="4"/>
      <c r="P618" s="3"/>
      <c r="Q618" s="11">
        <v>14</v>
      </c>
      <c r="R618" s="3" t="s">
        <v>52</v>
      </c>
      <c r="S618" s="5" t="s">
        <v>56</v>
      </c>
      <c r="T618" s="4" t="str">
        <f>IF(OR(Tabela1[[#This Row],[Grau de Risco]]="Médio",Tabela1[[#This Row],[Grau de Risco]]="Baixo"),"Não","Sim")</f>
        <v>Não</v>
      </c>
    </row>
    <row r="619" spans="1:20" hidden="1">
      <c r="A619" s="4" t="s">
        <v>10</v>
      </c>
      <c r="B619" s="10" t="s">
        <v>1797</v>
      </c>
      <c r="C619" s="4" t="s">
        <v>81</v>
      </c>
      <c r="D619" s="38" t="s">
        <v>1382</v>
      </c>
      <c r="E619" s="3">
        <v>5</v>
      </c>
      <c r="F619" s="3">
        <v>2</v>
      </c>
      <c r="G619" s="3">
        <v>2025</v>
      </c>
      <c r="H619" s="60" t="s">
        <v>109</v>
      </c>
      <c r="I619" s="7" t="s">
        <v>1147</v>
      </c>
      <c r="J619" s="4" t="s">
        <v>154</v>
      </c>
      <c r="K619" s="3" t="s">
        <v>44</v>
      </c>
      <c r="L619" s="3" t="s">
        <v>44</v>
      </c>
      <c r="M619" s="4"/>
      <c r="N619" s="4" t="s">
        <v>44</v>
      </c>
      <c r="O619" s="4" t="s">
        <v>508</v>
      </c>
      <c r="P619" s="3" t="s">
        <v>31</v>
      </c>
      <c r="Q619" s="11">
        <v>10</v>
      </c>
      <c r="R619" s="3" t="s">
        <v>31</v>
      </c>
      <c r="S619" s="33" t="s">
        <v>63</v>
      </c>
      <c r="T619" s="4" t="str">
        <f>IF(OR(Tabela1[[#This Row],[Grau de Risco]]="Médio",Tabela1[[#This Row],[Grau de Risco]]="Baixo"),"Não","Sim")</f>
        <v>Não</v>
      </c>
    </row>
    <row r="620" spans="1:20">
      <c r="A620" s="28" t="s">
        <v>7</v>
      </c>
      <c r="B620" s="10" t="s">
        <v>1809</v>
      </c>
      <c r="C620" s="28" t="s">
        <v>81</v>
      </c>
      <c r="D620" s="38" t="s">
        <v>47</v>
      </c>
      <c r="E620" s="32">
        <v>14</v>
      </c>
      <c r="F620" s="32">
        <v>2</v>
      </c>
      <c r="G620" s="32">
        <v>2025</v>
      </c>
      <c r="H620" s="4" t="s">
        <v>27</v>
      </c>
      <c r="I620" s="29" t="s">
        <v>1163</v>
      </c>
      <c r="J620" s="28" t="s">
        <v>61</v>
      </c>
      <c r="K620" s="32"/>
      <c r="L620" s="32"/>
      <c r="M620" s="28"/>
      <c r="N620" s="28"/>
      <c r="O620" s="28"/>
      <c r="P620" s="32"/>
      <c r="Q620" s="35">
        <v>14</v>
      </c>
      <c r="R620" s="32" t="s">
        <v>52</v>
      </c>
      <c r="S620" s="10" t="s">
        <v>141</v>
      </c>
      <c r="T620" s="4" t="str">
        <f>IF(OR(Tabela1[[#This Row],[Grau de Risco]]="Médio",Tabela1[[#This Row],[Grau de Risco]]="Baixo"),"Não","Sim")</f>
        <v>Não</v>
      </c>
    </row>
    <row r="621" spans="1:20">
      <c r="A621" s="28" t="s">
        <v>7</v>
      </c>
      <c r="B621" s="10" t="s">
        <v>1809</v>
      </c>
      <c r="C621" s="28" t="s">
        <v>41</v>
      </c>
      <c r="D621" s="58" t="s">
        <v>1409</v>
      </c>
      <c r="E621" s="32">
        <v>20</v>
      </c>
      <c r="F621" s="32">
        <v>2</v>
      </c>
      <c r="G621" s="32">
        <v>2025</v>
      </c>
      <c r="H621" s="5" t="s">
        <v>123</v>
      </c>
      <c r="I621" s="29" t="s">
        <v>1648</v>
      </c>
      <c r="J621" s="28" t="s">
        <v>61</v>
      </c>
      <c r="K621" s="32"/>
      <c r="L621" s="32"/>
      <c r="M621" s="28"/>
      <c r="N621" s="28"/>
      <c r="O621" s="28"/>
      <c r="P621" s="3"/>
      <c r="Q621" s="35">
        <v>10</v>
      </c>
      <c r="R621" s="32" t="s">
        <v>31</v>
      </c>
      <c r="S621" s="10" t="s">
        <v>141</v>
      </c>
      <c r="T621" s="4" t="str">
        <f>IF(OR(Tabela1[[#This Row],[Grau de Risco]]="Médio",Tabela1[[#This Row],[Grau de Risco]]="Baixo"),"Não","Sim")</f>
        <v>Não</v>
      </c>
    </row>
    <row r="622" spans="1:20">
      <c r="A622" s="4" t="s">
        <v>2</v>
      </c>
      <c r="B622" s="10" t="s">
        <v>1809</v>
      </c>
      <c r="C622" s="4" t="s">
        <v>41</v>
      </c>
      <c r="D622" s="58" t="s">
        <v>1409</v>
      </c>
      <c r="E622" s="3">
        <v>20</v>
      </c>
      <c r="F622" s="3">
        <v>2</v>
      </c>
      <c r="G622" s="3">
        <v>2025</v>
      </c>
      <c r="H622" s="36" t="s">
        <v>112</v>
      </c>
      <c r="I622" s="7" t="s">
        <v>1171</v>
      </c>
      <c r="J622" s="4" t="s">
        <v>35</v>
      </c>
      <c r="K622" s="3">
        <v>15</v>
      </c>
      <c r="L622" s="3">
        <v>0</v>
      </c>
      <c r="M622" s="4" t="s">
        <v>30</v>
      </c>
      <c r="N622" s="4"/>
      <c r="O622" s="4" t="s">
        <v>301</v>
      </c>
      <c r="P622" s="3" t="s">
        <v>31</v>
      </c>
      <c r="Q622" s="11">
        <v>4</v>
      </c>
      <c r="R622" s="3" t="s">
        <v>102</v>
      </c>
      <c r="S622" s="10" t="s">
        <v>63</v>
      </c>
      <c r="T622" s="4" t="str">
        <f>IF(OR(Tabela1[[#This Row],[Grau de Risco]]="Médio",Tabela1[[#This Row],[Grau de Risco]]="Baixo"),"Não","Sim")</f>
        <v>Sim</v>
      </c>
    </row>
    <row r="623" spans="1:20" hidden="1">
      <c r="A623" s="4" t="s">
        <v>2</v>
      </c>
      <c r="B623" s="10" t="s">
        <v>1805</v>
      </c>
      <c r="C623" s="4" t="s">
        <v>41</v>
      </c>
      <c r="D623" s="38" t="s">
        <v>1320</v>
      </c>
      <c r="E623" s="3">
        <v>10</v>
      </c>
      <c r="F623" s="3">
        <v>3</v>
      </c>
      <c r="G623" s="3">
        <v>2025</v>
      </c>
      <c r="H623" s="36" t="s">
        <v>82</v>
      </c>
      <c r="I623" s="7" t="s">
        <v>1186</v>
      </c>
      <c r="J623" s="4" t="s">
        <v>69</v>
      </c>
      <c r="K623" s="3">
        <v>14</v>
      </c>
      <c r="L623" s="3">
        <v>0</v>
      </c>
      <c r="M623" s="4" t="s">
        <v>30</v>
      </c>
      <c r="N623" s="4"/>
      <c r="O623" s="4" t="s">
        <v>55</v>
      </c>
      <c r="P623" s="3" t="s">
        <v>31</v>
      </c>
      <c r="Q623" s="11">
        <v>11</v>
      </c>
      <c r="R623" s="3" t="s">
        <v>31</v>
      </c>
      <c r="S623" s="10" t="s">
        <v>56</v>
      </c>
      <c r="T623" s="4" t="str">
        <f>IF(OR(Tabela1[[#This Row],[Grau de Risco]]="Médio",Tabela1[[#This Row],[Grau de Risco]]="Baixo"),"Não","Sim")</f>
        <v>Não</v>
      </c>
    </row>
    <row r="624" spans="1:20">
      <c r="A624" s="28" t="s">
        <v>7</v>
      </c>
      <c r="B624" s="10" t="s">
        <v>1809</v>
      </c>
      <c r="C624" s="28" t="s">
        <v>26</v>
      </c>
      <c r="D624" s="28" t="s">
        <v>47</v>
      </c>
      <c r="E624" s="32">
        <v>21</v>
      </c>
      <c r="F624" s="32">
        <v>3</v>
      </c>
      <c r="G624" s="32">
        <v>2025</v>
      </c>
      <c r="H624" s="34" t="s">
        <v>107</v>
      </c>
      <c r="I624" s="29" t="s">
        <v>1198</v>
      </c>
      <c r="J624" s="28" t="s">
        <v>61</v>
      </c>
      <c r="K624" s="32"/>
      <c r="L624" s="32"/>
      <c r="M624" s="28"/>
      <c r="N624" s="28"/>
      <c r="O624" s="28" t="s">
        <v>77</v>
      </c>
      <c r="P624" s="32"/>
      <c r="Q624" s="11">
        <v>15</v>
      </c>
      <c r="R624" s="3" t="s">
        <v>52</v>
      </c>
      <c r="S624" s="33" t="s">
        <v>63</v>
      </c>
      <c r="T624" s="4" t="str">
        <f>IF(OR(Tabela1[[#This Row],[Grau de Risco]]="Médio",Tabela1[[#This Row],[Grau de Risco]]="Baixo"),"Não","Sim")</f>
        <v>Não</v>
      </c>
    </row>
    <row r="625" spans="1:20" hidden="1">
      <c r="A625" s="28" t="s">
        <v>8</v>
      </c>
      <c r="B625" s="33" t="s">
        <v>1800</v>
      </c>
      <c r="C625" s="28" t="s">
        <v>252</v>
      </c>
      <c r="D625" s="38" t="s">
        <v>47</v>
      </c>
      <c r="E625" s="32">
        <v>25</v>
      </c>
      <c r="F625" s="32">
        <v>4</v>
      </c>
      <c r="G625" s="32">
        <v>2025</v>
      </c>
      <c r="H625" s="38" t="s">
        <v>212</v>
      </c>
      <c r="I625" s="29" t="s">
        <v>1234</v>
      </c>
      <c r="J625" s="28" t="s">
        <v>61</v>
      </c>
      <c r="K625" s="32" t="s">
        <v>80</v>
      </c>
      <c r="L625" s="32" t="s">
        <v>80</v>
      </c>
      <c r="M625" s="28" t="s">
        <v>30</v>
      </c>
      <c r="N625" s="28" t="s">
        <v>80</v>
      </c>
      <c r="O625" s="28" t="s">
        <v>4</v>
      </c>
      <c r="P625" s="32" t="s">
        <v>52</v>
      </c>
      <c r="Q625" s="35">
        <v>11</v>
      </c>
      <c r="R625" s="32" t="s">
        <v>31</v>
      </c>
      <c r="S625" s="33" t="s">
        <v>4</v>
      </c>
      <c r="T625" s="4" t="str">
        <f>IF(OR(Tabela1[[#This Row],[Grau de Risco]]="Médio",Tabela1[[#This Row],[Grau de Risco]]="Baixo"),"Não","Sim")</f>
        <v>Não</v>
      </c>
    </row>
    <row r="626" spans="1:20">
      <c r="A626" s="5" t="s">
        <v>7</v>
      </c>
      <c r="B626" s="10" t="s">
        <v>1809</v>
      </c>
      <c r="C626" s="28" t="s">
        <v>46</v>
      </c>
      <c r="D626" s="38" t="s">
        <v>1393</v>
      </c>
      <c r="E626" s="32">
        <v>29</v>
      </c>
      <c r="F626" s="32">
        <v>4</v>
      </c>
      <c r="G626" s="32">
        <v>2025</v>
      </c>
      <c r="H626" s="36" t="s">
        <v>332</v>
      </c>
      <c r="I626" s="29" t="s">
        <v>1649</v>
      </c>
      <c r="J626" s="28" t="s">
        <v>54</v>
      </c>
      <c r="K626" s="32" t="s">
        <v>44</v>
      </c>
      <c r="L626" s="32" t="s">
        <v>44</v>
      </c>
      <c r="M626" s="28" t="s">
        <v>30</v>
      </c>
      <c r="N626" s="28" t="s">
        <v>44</v>
      </c>
      <c r="O626" s="28"/>
      <c r="P626" s="32"/>
      <c r="Q626" s="35">
        <v>15</v>
      </c>
      <c r="R626" s="32" t="s">
        <v>1239</v>
      </c>
      <c r="S626" s="5" t="s">
        <v>40</v>
      </c>
      <c r="T626" s="4" t="str">
        <f>IF(OR(Tabela1[[#This Row],[Grau de Risco]]="Médio",Tabela1[[#This Row],[Grau de Risco]]="Baixo"),"Não","Sim")</f>
        <v>Sim</v>
      </c>
    </row>
    <row r="627" spans="1:20" hidden="1">
      <c r="A627" s="28" t="s">
        <v>8</v>
      </c>
      <c r="B627" s="33" t="s">
        <v>1805</v>
      </c>
      <c r="C627" s="28" t="s">
        <v>252</v>
      </c>
      <c r="D627" s="38" t="s">
        <v>1393</v>
      </c>
      <c r="E627" s="32">
        <v>6</v>
      </c>
      <c r="F627" s="32">
        <v>5</v>
      </c>
      <c r="G627" s="32">
        <v>2025</v>
      </c>
      <c r="H627" s="36" t="s">
        <v>66</v>
      </c>
      <c r="I627" s="29" t="s">
        <v>1251</v>
      </c>
      <c r="J627" s="28" t="s">
        <v>61</v>
      </c>
      <c r="K627" s="32">
        <v>0</v>
      </c>
      <c r="L627" s="32"/>
      <c r="M627" s="28" t="s">
        <v>25</v>
      </c>
      <c r="N627" s="28">
        <v>7</v>
      </c>
      <c r="O627" s="28" t="s">
        <v>159</v>
      </c>
      <c r="P627" s="32" t="s">
        <v>52</v>
      </c>
      <c r="Q627" s="11">
        <v>11</v>
      </c>
      <c r="R627" s="3" t="s">
        <v>31</v>
      </c>
      <c r="S627" s="5" t="s">
        <v>56</v>
      </c>
      <c r="T627" s="4" t="str">
        <f>IF(OR(Tabela1[[#This Row],[Grau de Risco]]="Médio",Tabela1[[#This Row],[Grau de Risco]]="Baixo"),"Não","Sim")</f>
        <v>Não</v>
      </c>
    </row>
    <row r="628" spans="1:20">
      <c r="A628" s="4" t="s">
        <v>7</v>
      </c>
      <c r="B628" s="10" t="s">
        <v>1809</v>
      </c>
      <c r="C628" s="4" t="s">
        <v>81</v>
      </c>
      <c r="D628" s="38" t="s">
        <v>1320</v>
      </c>
      <c r="E628" s="3">
        <v>12</v>
      </c>
      <c r="F628" s="3">
        <v>5</v>
      </c>
      <c r="G628" s="3">
        <v>2025</v>
      </c>
      <c r="H628" s="5" t="s">
        <v>48</v>
      </c>
      <c r="I628" s="7" t="s">
        <v>1256</v>
      </c>
      <c r="J628" s="4" t="s">
        <v>290</v>
      </c>
      <c r="K628" s="3"/>
      <c r="L628" s="3"/>
      <c r="M628" s="4"/>
      <c r="N628" s="4"/>
      <c r="O628" s="4"/>
      <c r="P628" s="3"/>
      <c r="Q628" s="11">
        <v>14</v>
      </c>
      <c r="R628" s="3" t="s">
        <v>52</v>
      </c>
      <c r="S628" s="10" t="s">
        <v>178</v>
      </c>
      <c r="T628" s="4" t="str">
        <f>IF(OR(Tabela1[[#This Row],[Grau de Risco]]="Médio",Tabela1[[#This Row],[Grau de Risco]]="Baixo"),"Não","Sim")</f>
        <v>Não</v>
      </c>
    </row>
    <row r="629" spans="1:20" hidden="1">
      <c r="A629" s="4" t="s">
        <v>7</v>
      </c>
      <c r="B629" s="10" t="s">
        <v>1793</v>
      </c>
      <c r="C629" s="4" t="s">
        <v>252</v>
      </c>
      <c r="D629" s="58" t="s">
        <v>1409</v>
      </c>
      <c r="E629" s="3">
        <v>15</v>
      </c>
      <c r="F629" s="3">
        <v>5</v>
      </c>
      <c r="G629" s="3">
        <v>2025</v>
      </c>
      <c r="H629" s="34" t="s">
        <v>59</v>
      </c>
      <c r="I629" s="7" t="s">
        <v>1262</v>
      </c>
      <c r="J629" s="4" t="s">
        <v>93</v>
      </c>
      <c r="K629" s="3"/>
      <c r="L629" s="3"/>
      <c r="M629" s="4"/>
      <c r="N629" s="4"/>
      <c r="O629" s="4"/>
      <c r="P629" s="3"/>
      <c r="Q629" s="11">
        <v>15</v>
      </c>
      <c r="R629" s="3" t="s">
        <v>52</v>
      </c>
      <c r="S629" s="5" t="s">
        <v>56</v>
      </c>
      <c r="T629" s="4" t="str">
        <f>IF(OR(Tabela1[[#This Row],[Grau de Risco]]="Médio",Tabela1[[#This Row],[Grau de Risco]]="Baixo"),"Não","Sim")</f>
        <v>Não</v>
      </c>
    </row>
    <row r="630" spans="1:20" hidden="1">
      <c r="A630" s="4" t="s">
        <v>10</v>
      </c>
      <c r="B630" s="10" t="s">
        <v>1805</v>
      </c>
      <c r="C630" s="4" t="s">
        <v>252</v>
      </c>
      <c r="D630" s="38" t="s">
        <v>1393</v>
      </c>
      <c r="E630" s="3">
        <v>20</v>
      </c>
      <c r="F630" s="3">
        <v>5</v>
      </c>
      <c r="G630" s="3">
        <v>2025</v>
      </c>
      <c r="H630" s="60" t="s">
        <v>109</v>
      </c>
      <c r="I630" s="7" t="s">
        <v>1650</v>
      </c>
      <c r="J630" s="4" t="s">
        <v>93</v>
      </c>
      <c r="K630" s="3"/>
      <c r="L630" s="3"/>
      <c r="M630" s="4"/>
      <c r="N630" s="4"/>
      <c r="O630" s="4"/>
      <c r="P630" s="3" t="s">
        <v>52</v>
      </c>
      <c r="Q630" s="11">
        <v>15</v>
      </c>
      <c r="R630" s="3" t="s">
        <v>52</v>
      </c>
      <c r="S630" s="10" t="s">
        <v>63</v>
      </c>
      <c r="T630" s="4" t="str">
        <f>IF(OR(Tabela1[[#This Row],[Grau de Risco]]="Médio",Tabela1[[#This Row],[Grau de Risco]]="Baixo"),"Não","Sim")</f>
        <v>Não</v>
      </c>
    </row>
    <row r="631" spans="1:20" hidden="1">
      <c r="A631" s="4" t="s">
        <v>7</v>
      </c>
      <c r="B631" s="10" t="s">
        <v>1805</v>
      </c>
      <c r="C631" s="4" t="s">
        <v>81</v>
      </c>
      <c r="D631" s="38" t="s">
        <v>1320</v>
      </c>
      <c r="E631" s="3">
        <v>26</v>
      </c>
      <c r="F631" s="3">
        <v>5</v>
      </c>
      <c r="G631" s="3">
        <v>2025</v>
      </c>
      <c r="H631" s="36" t="s">
        <v>107</v>
      </c>
      <c r="I631" s="7" t="s">
        <v>1268</v>
      </c>
      <c r="J631" s="4" t="s">
        <v>79</v>
      </c>
      <c r="K631" s="3" t="s">
        <v>44</v>
      </c>
      <c r="L631" s="3" t="s">
        <v>44</v>
      </c>
      <c r="M631" s="4"/>
      <c r="N631" s="4" t="s">
        <v>44</v>
      </c>
      <c r="O631" s="4"/>
      <c r="P631" s="3"/>
      <c r="Q631" s="11">
        <v>14</v>
      </c>
      <c r="R631" s="3" t="s">
        <v>52</v>
      </c>
      <c r="S631" s="10" t="s">
        <v>179</v>
      </c>
      <c r="T631" s="4" t="str">
        <f>IF(OR(Tabela1[[#This Row],[Grau de Risco]]="Médio",Tabela1[[#This Row],[Grau de Risco]]="Baixo"),"Não","Sim")</f>
        <v>Não</v>
      </c>
    </row>
    <row r="632" spans="1:20" hidden="1">
      <c r="A632" s="28" t="s">
        <v>6</v>
      </c>
      <c r="B632" s="33" t="s">
        <v>1800</v>
      </c>
      <c r="C632" s="28" t="s">
        <v>41</v>
      </c>
      <c r="D632" s="38" t="s">
        <v>148</v>
      </c>
      <c r="E632" s="32">
        <v>5</v>
      </c>
      <c r="F632" s="32">
        <v>10</v>
      </c>
      <c r="G632" s="32">
        <v>2025</v>
      </c>
      <c r="H632" s="38" t="s">
        <v>33</v>
      </c>
      <c r="I632" s="7" t="s">
        <v>1495</v>
      </c>
      <c r="J632" s="28" t="s">
        <v>38</v>
      </c>
      <c r="K632" s="32" t="s">
        <v>80</v>
      </c>
      <c r="L632" s="32" t="s">
        <v>80</v>
      </c>
      <c r="M632" s="28" t="s">
        <v>30</v>
      </c>
      <c r="N632" s="28" t="s">
        <v>80</v>
      </c>
      <c r="O632" s="4" t="s">
        <v>85</v>
      </c>
      <c r="P632" s="32" t="s">
        <v>44</v>
      </c>
      <c r="Q632" s="35">
        <v>7</v>
      </c>
      <c r="R632" s="3" t="s">
        <v>102</v>
      </c>
      <c r="S632" s="5" t="s">
        <v>40</v>
      </c>
      <c r="T632" s="4" t="str">
        <f>IF(OR(Tabela1[[#This Row],[Grau de Risco]]="Médio",Tabela1[[#This Row],[Grau de Risco]]="Baixo"),"Não","Sim")</f>
        <v>Sim</v>
      </c>
    </row>
    <row r="633" spans="1:20" hidden="1">
      <c r="A633" s="28" t="s">
        <v>10</v>
      </c>
      <c r="B633" s="33" t="s">
        <v>1797</v>
      </c>
      <c r="C633" s="28" t="s">
        <v>125</v>
      </c>
      <c r="D633" s="5" t="s">
        <v>36</v>
      </c>
      <c r="E633" s="32">
        <v>5</v>
      </c>
      <c r="F633" s="32">
        <v>7</v>
      </c>
      <c r="G633" s="32">
        <v>2025</v>
      </c>
      <c r="H633" s="60" t="s">
        <v>109</v>
      </c>
      <c r="I633" s="29" t="s">
        <v>1336</v>
      </c>
      <c r="J633" s="28" t="s">
        <v>61</v>
      </c>
      <c r="K633" s="32"/>
      <c r="L633" s="32"/>
      <c r="M633" s="28" t="s">
        <v>25</v>
      </c>
      <c r="N633" s="28"/>
      <c r="O633" s="28" t="s">
        <v>77</v>
      </c>
      <c r="P633" s="32" t="s">
        <v>31</v>
      </c>
      <c r="Q633" s="35">
        <v>7</v>
      </c>
      <c r="R633" s="32" t="s">
        <v>102</v>
      </c>
      <c r="S633" s="33" t="s">
        <v>63</v>
      </c>
      <c r="T633" s="4" t="str">
        <f>IF(OR(Tabela1[[#This Row],[Grau de Risco]]="Médio",Tabela1[[#This Row],[Grau de Risco]]="Baixo"),"Não","Sim")</f>
        <v>Sim</v>
      </c>
    </row>
    <row r="634" spans="1:20" hidden="1">
      <c r="A634" s="28" t="s">
        <v>2</v>
      </c>
      <c r="B634" s="33" t="s">
        <v>1805</v>
      </c>
      <c r="C634" s="28" t="s">
        <v>252</v>
      </c>
      <c r="D634" s="38" t="s">
        <v>1320</v>
      </c>
      <c r="E634" s="32">
        <v>7</v>
      </c>
      <c r="F634" s="32">
        <v>7</v>
      </c>
      <c r="G634" s="32">
        <v>2025</v>
      </c>
      <c r="H634" s="36" t="s">
        <v>107</v>
      </c>
      <c r="I634" s="29" t="s">
        <v>1350</v>
      </c>
      <c r="J634" s="28" t="s">
        <v>61</v>
      </c>
      <c r="K634" s="32">
        <v>90</v>
      </c>
      <c r="L634" s="32"/>
      <c r="M634" s="28"/>
      <c r="N634" s="28"/>
      <c r="O634" s="28" t="s">
        <v>45</v>
      </c>
      <c r="P634" s="32" t="s">
        <v>31</v>
      </c>
      <c r="Q634" s="35">
        <v>11</v>
      </c>
      <c r="R634" s="32" t="s">
        <v>31</v>
      </c>
      <c r="S634" s="33" t="s">
        <v>56</v>
      </c>
      <c r="T634" s="4" t="str">
        <f>IF(OR(Tabela1[[#This Row],[Grau de Risco]]="Médio",Tabela1[[#This Row],[Grau de Risco]]="Baixo"),"Não","Sim")</f>
        <v>Não</v>
      </c>
    </row>
    <row r="635" spans="1:20">
      <c r="A635" s="28" t="s">
        <v>8</v>
      </c>
      <c r="B635" s="10" t="s">
        <v>1809</v>
      </c>
      <c r="C635" s="28" t="s">
        <v>26</v>
      </c>
      <c r="D635" s="58" t="s">
        <v>1409</v>
      </c>
      <c r="E635" s="32">
        <v>17</v>
      </c>
      <c r="F635" s="32">
        <v>7</v>
      </c>
      <c r="G635" s="32">
        <v>2025</v>
      </c>
      <c r="H635" s="36" t="s">
        <v>33</v>
      </c>
      <c r="I635" s="29" t="s">
        <v>1356</v>
      </c>
      <c r="J635" s="28" t="s">
        <v>192</v>
      </c>
      <c r="K635" s="32"/>
      <c r="L635" s="32"/>
      <c r="M635" s="28" t="s">
        <v>30</v>
      </c>
      <c r="N635" s="28"/>
      <c r="O635" s="28" t="s">
        <v>74</v>
      </c>
      <c r="P635" s="32" t="s">
        <v>31</v>
      </c>
      <c r="Q635" s="35">
        <v>13</v>
      </c>
      <c r="R635" s="32" t="s">
        <v>31</v>
      </c>
      <c r="S635" s="5" t="s">
        <v>56</v>
      </c>
      <c r="T635" s="4" t="str">
        <f>IF(OR(Tabela1[[#This Row],[Grau de Risco]]="Médio",Tabela1[[#This Row],[Grau de Risco]]="Baixo"),"Não","Sim")</f>
        <v>Não</v>
      </c>
    </row>
    <row r="636" spans="1:20" hidden="1">
      <c r="A636" s="4" t="s">
        <v>7</v>
      </c>
      <c r="B636" s="10" t="s">
        <v>1797</v>
      </c>
      <c r="C636" s="4" t="s">
        <v>46</v>
      </c>
      <c r="D636" s="58" t="s">
        <v>1409</v>
      </c>
      <c r="E636" s="3">
        <v>21</v>
      </c>
      <c r="F636" s="3">
        <v>7</v>
      </c>
      <c r="G636" s="3">
        <v>2025</v>
      </c>
      <c r="H636" s="36" t="s">
        <v>112</v>
      </c>
      <c r="I636" s="7" t="s">
        <v>1362</v>
      </c>
      <c r="J636" s="4" t="s">
        <v>69</v>
      </c>
      <c r="K636" s="3" t="s">
        <v>44</v>
      </c>
      <c r="L636" s="3" t="s">
        <v>44</v>
      </c>
      <c r="M636" s="4"/>
      <c r="N636" s="4" t="s">
        <v>44</v>
      </c>
      <c r="O636" s="4"/>
      <c r="P636" s="3"/>
      <c r="Q636" s="11">
        <v>14</v>
      </c>
      <c r="R636" s="3" t="s">
        <v>52</v>
      </c>
      <c r="S636" s="10" t="s">
        <v>63</v>
      </c>
      <c r="T636" s="4" t="str">
        <f>IF(OR(Tabela1[[#This Row],[Grau de Risco]]="Médio",Tabela1[[#This Row],[Grau de Risco]]="Baixo"),"Não","Sim")</f>
        <v>Não</v>
      </c>
    </row>
    <row r="637" spans="1:20" hidden="1">
      <c r="A637" s="28" t="s">
        <v>7</v>
      </c>
      <c r="B637" s="33" t="s">
        <v>1805</v>
      </c>
      <c r="C637" s="28" t="s">
        <v>26</v>
      </c>
      <c r="D637" s="28" t="s">
        <v>47</v>
      </c>
      <c r="E637" s="32">
        <v>12</v>
      </c>
      <c r="F637" s="32">
        <v>9</v>
      </c>
      <c r="G637" s="32">
        <v>2025</v>
      </c>
      <c r="H637" s="34" t="s">
        <v>71</v>
      </c>
      <c r="I637" s="29" t="s">
        <v>1432</v>
      </c>
      <c r="J637" s="28" t="s">
        <v>61</v>
      </c>
      <c r="K637" s="32"/>
      <c r="L637" s="32"/>
      <c r="M637" s="28"/>
      <c r="N637" s="28"/>
      <c r="O637" s="28" t="s">
        <v>117</v>
      </c>
      <c r="P637" s="32"/>
      <c r="Q637" s="35">
        <v>14</v>
      </c>
      <c r="R637" s="32" t="s">
        <v>52</v>
      </c>
      <c r="S637" s="10" t="s">
        <v>56</v>
      </c>
      <c r="T637" s="4" t="str">
        <f>IF(OR(Tabela1[[#This Row],[Grau de Risco]]="Médio",Tabela1[[#This Row],[Grau de Risco]]="Baixo"),"Não","Sim")</f>
        <v>Não</v>
      </c>
    </row>
    <row r="638" spans="1:20" hidden="1">
      <c r="A638" s="28" t="s">
        <v>9</v>
      </c>
      <c r="B638" s="33" t="s">
        <v>1793</v>
      </c>
      <c r="C638" s="28" t="s">
        <v>26</v>
      </c>
      <c r="D638" s="28" t="s">
        <v>1393</v>
      </c>
      <c r="E638" s="32">
        <v>23</v>
      </c>
      <c r="F638" s="32">
        <v>9</v>
      </c>
      <c r="G638" s="32">
        <v>2025</v>
      </c>
      <c r="H638" s="34" t="s">
        <v>86</v>
      </c>
      <c r="I638" s="29" t="s">
        <v>1441</v>
      </c>
      <c r="J638" s="28" t="s">
        <v>111</v>
      </c>
      <c r="K638" s="32">
        <v>7</v>
      </c>
      <c r="L638" s="32"/>
      <c r="M638" s="28"/>
      <c r="N638" s="28"/>
      <c r="O638" s="28" t="s">
        <v>4</v>
      </c>
      <c r="P638" s="32" t="s">
        <v>31</v>
      </c>
      <c r="Q638" s="35">
        <v>11</v>
      </c>
      <c r="R638" s="32" t="s">
        <v>31</v>
      </c>
      <c r="S638" s="10" t="s">
        <v>63</v>
      </c>
      <c r="T638" s="4" t="str">
        <f>IF(OR(Tabela1[[#This Row],[Grau de Risco]]="Médio",Tabela1[[#This Row],[Grau de Risco]]="Baixo"),"Não","Sim")</f>
        <v>Não</v>
      </c>
    </row>
    <row r="639" spans="1:20" hidden="1">
      <c r="A639" s="28" t="s">
        <v>7</v>
      </c>
      <c r="B639" s="33" t="s">
        <v>1800</v>
      </c>
      <c r="C639" s="28" t="s">
        <v>252</v>
      </c>
      <c r="D639" s="38" t="s">
        <v>1320</v>
      </c>
      <c r="E639" s="32">
        <v>13</v>
      </c>
      <c r="F639" s="32">
        <v>10</v>
      </c>
      <c r="G639" s="32">
        <v>2025</v>
      </c>
      <c r="H639" s="38" t="s">
        <v>375</v>
      </c>
      <c r="I639" s="7" t="s">
        <v>1496</v>
      </c>
      <c r="J639" s="28" t="s">
        <v>69</v>
      </c>
      <c r="K639" s="32" t="s">
        <v>80</v>
      </c>
      <c r="L639" s="32" t="s">
        <v>80</v>
      </c>
      <c r="M639" s="28" t="s">
        <v>30</v>
      </c>
      <c r="N639" s="28" t="s">
        <v>80</v>
      </c>
      <c r="O639" s="4" t="s">
        <v>77</v>
      </c>
      <c r="P639" s="32" t="s">
        <v>31</v>
      </c>
      <c r="Q639" s="35">
        <v>16</v>
      </c>
      <c r="R639" s="32" t="s">
        <v>52</v>
      </c>
      <c r="S639" s="33" t="s">
        <v>63</v>
      </c>
      <c r="T639" s="4" t="str">
        <f>IF(OR(Tabela1[[#This Row],[Grau de Risco]]="Médio",Tabela1[[#This Row],[Grau de Risco]]="Baixo"),"Não","Sim")</f>
        <v>Não</v>
      </c>
    </row>
    <row r="640" spans="1:20" hidden="1">
      <c r="A640" s="28" t="s">
        <v>7</v>
      </c>
      <c r="B640" s="33" t="s">
        <v>1800</v>
      </c>
      <c r="C640" s="28" t="s">
        <v>252</v>
      </c>
      <c r="D640" s="38" t="s">
        <v>1382</v>
      </c>
      <c r="E640" s="32">
        <v>15</v>
      </c>
      <c r="F640" s="32">
        <v>10</v>
      </c>
      <c r="G640" s="32">
        <v>2025</v>
      </c>
      <c r="H640" s="38" t="s">
        <v>107</v>
      </c>
      <c r="I640" s="7" t="s">
        <v>1504</v>
      </c>
      <c r="J640" s="28" t="s">
        <v>84</v>
      </c>
      <c r="K640" s="32" t="s">
        <v>80</v>
      </c>
      <c r="L640" s="32" t="s">
        <v>80</v>
      </c>
      <c r="M640" s="28" t="s">
        <v>30</v>
      </c>
      <c r="N640" s="28" t="s">
        <v>80</v>
      </c>
      <c r="O640" s="4" t="s">
        <v>167</v>
      </c>
      <c r="P640" s="32" t="s">
        <v>44</v>
      </c>
      <c r="Q640" s="35">
        <v>11</v>
      </c>
      <c r="R640" s="32" t="s">
        <v>31</v>
      </c>
      <c r="S640" s="33" t="s">
        <v>63</v>
      </c>
      <c r="T640" s="4" t="str">
        <f>IF(OR(Tabela1[[#This Row],[Grau de Risco]]="Médio",Tabela1[[#This Row],[Grau de Risco]]="Baixo"),"Não","Sim")</f>
        <v>Não</v>
      </c>
    </row>
    <row r="641" spans="1:20">
      <c r="A641" s="4" t="s">
        <v>2</v>
      </c>
      <c r="B641" s="10" t="s">
        <v>1809</v>
      </c>
      <c r="C641" s="4" t="s">
        <v>89</v>
      </c>
      <c r="D641" s="38" t="s">
        <v>47</v>
      </c>
      <c r="E641" s="3">
        <v>21</v>
      </c>
      <c r="F641" s="3">
        <v>8</v>
      </c>
      <c r="G641" s="3">
        <v>2020</v>
      </c>
      <c r="H641" s="4" t="s">
        <v>27</v>
      </c>
      <c r="I641" s="7" t="s">
        <v>96</v>
      </c>
      <c r="J641" s="4" t="s">
        <v>91</v>
      </c>
      <c r="K641" s="3">
        <v>1</v>
      </c>
      <c r="L641" s="3">
        <v>0</v>
      </c>
      <c r="M641" s="4" t="s">
        <v>30</v>
      </c>
      <c r="N641" s="4"/>
      <c r="O641" s="4" t="s">
        <v>4</v>
      </c>
      <c r="P641" s="3" t="s">
        <v>52</v>
      </c>
      <c r="Q641" s="11">
        <v>12</v>
      </c>
      <c r="R641" s="3" t="str">
        <f>IF(Q641="","",IF(Q641&lt;4,"Crítico",IF(Q641&lt;9,"Alto",IF(Q641&lt;14,"Médio","Baixo"))))</f>
        <v>Médio</v>
      </c>
      <c r="S641" s="10" t="s">
        <v>63</v>
      </c>
      <c r="T641" s="4" t="str">
        <f>IF(OR(Tabela1[[#This Row],[Grau de Risco]]="Médio",Tabela1[[#This Row],[Grau de Risco]]="Baixo"),"Não","Sim")</f>
        <v>Não</v>
      </c>
    </row>
    <row r="642" spans="1:20" hidden="1">
      <c r="A642" s="4" t="s">
        <v>2</v>
      </c>
      <c r="B642" s="10" t="s">
        <v>1800</v>
      </c>
      <c r="C642" s="4" t="s">
        <v>133</v>
      </c>
      <c r="D642" s="38" t="s">
        <v>1382</v>
      </c>
      <c r="E642" s="3">
        <v>9</v>
      </c>
      <c r="F642" s="3">
        <v>6</v>
      </c>
      <c r="G642" s="3">
        <v>2021</v>
      </c>
      <c r="H642" s="36" t="s">
        <v>107</v>
      </c>
      <c r="I642" s="7" t="s">
        <v>205</v>
      </c>
      <c r="J642" s="4" t="s">
        <v>111</v>
      </c>
      <c r="K642" s="3">
        <v>2</v>
      </c>
      <c r="L642" s="3">
        <v>0</v>
      </c>
      <c r="M642" s="4" t="s">
        <v>30</v>
      </c>
      <c r="N642" s="4"/>
      <c r="O642" s="4" t="s">
        <v>55</v>
      </c>
      <c r="P642" s="3" t="s">
        <v>52</v>
      </c>
      <c r="Q642" s="11">
        <v>17</v>
      </c>
      <c r="R642" s="3" t="str">
        <f>IF(Q642="","",IF(Q642&lt;4,"Crítico",IF(Q642&lt;9,"Alto",IF(Q642&lt;14,"Médio","Baixo"))))</f>
        <v>Baixo</v>
      </c>
      <c r="S642" s="10" t="s">
        <v>63</v>
      </c>
      <c r="T642" s="4" t="str">
        <f>IF(OR(Tabela1[[#This Row],[Grau de Risco]]="Médio",Tabela1[[#This Row],[Grau de Risco]]="Baixo"),"Não","Sim")</f>
        <v>Não</v>
      </c>
    </row>
    <row r="643" spans="1:20">
      <c r="A643" s="5" t="s">
        <v>2</v>
      </c>
      <c r="B643" s="10" t="s">
        <v>1809</v>
      </c>
      <c r="C643" s="5" t="s">
        <v>26</v>
      </c>
      <c r="D643" s="38" t="s">
        <v>1393</v>
      </c>
      <c r="E643" s="3">
        <v>10</v>
      </c>
      <c r="F643" s="2">
        <v>5</v>
      </c>
      <c r="G643" s="3">
        <v>2022</v>
      </c>
      <c r="H643" s="36" t="s">
        <v>33</v>
      </c>
      <c r="I643" s="7" t="s">
        <v>243</v>
      </c>
      <c r="J643" s="4" t="s">
        <v>29</v>
      </c>
      <c r="K643" s="3">
        <v>2</v>
      </c>
      <c r="L643" s="3">
        <v>0</v>
      </c>
      <c r="M643" s="5" t="s">
        <v>30</v>
      </c>
      <c r="N643" s="4">
        <v>2</v>
      </c>
      <c r="O643" s="4" t="s">
        <v>55</v>
      </c>
      <c r="P643" s="3" t="s">
        <v>31</v>
      </c>
      <c r="Q643" s="3">
        <v>17</v>
      </c>
      <c r="R643" s="2" t="s">
        <v>31</v>
      </c>
      <c r="S643" s="10" t="s">
        <v>32</v>
      </c>
      <c r="T643" s="4" t="str">
        <f>IF(OR(Tabela1[[#This Row],[Grau de Risco]]="Médio",Tabela1[[#This Row],[Grau de Risco]]="Baixo"),"Não","Sim")</f>
        <v>Não</v>
      </c>
    </row>
    <row r="644" spans="1:20" hidden="1">
      <c r="A644" s="5" t="s">
        <v>8</v>
      </c>
      <c r="B644" s="6" t="s">
        <v>1805</v>
      </c>
      <c r="C644" s="5" t="s">
        <v>26</v>
      </c>
      <c r="D644" s="38" t="s">
        <v>1320</v>
      </c>
      <c r="E644" s="2">
        <v>10</v>
      </c>
      <c r="F644" s="2">
        <v>10</v>
      </c>
      <c r="G644" s="2">
        <v>2022</v>
      </c>
      <c r="H644" s="4" t="s">
        <v>27</v>
      </c>
      <c r="I644" s="5" t="s">
        <v>278</v>
      </c>
      <c r="J644" s="5" t="s">
        <v>54</v>
      </c>
      <c r="K644" s="2">
        <v>0</v>
      </c>
      <c r="L644" s="2">
        <v>0</v>
      </c>
      <c r="M644" s="5" t="s">
        <v>30</v>
      </c>
      <c r="N644" s="5">
        <v>0</v>
      </c>
      <c r="O644" s="5" t="s">
        <v>70</v>
      </c>
      <c r="P644" s="2" t="s">
        <v>31</v>
      </c>
      <c r="Q644" s="2">
        <v>13</v>
      </c>
      <c r="R644" s="2" t="s">
        <v>31</v>
      </c>
      <c r="S644" s="5" t="s">
        <v>56</v>
      </c>
      <c r="T644" s="4" t="str">
        <f>IF(OR(Tabela1[[#This Row],[Grau de Risco]]="Médio",Tabela1[[#This Row],[Grau de Risco]]="Baixo"),"Não","Sim")</f>
        <v>Não</v>
      </c>
    </row>
    <row r="645" spans="1:20" hidden="1">
      <c r="A645" s="5" t="s">
        <v>9</v>
      </c>
      <c r="B645" s="6" t="s">
        <v>1805</v>
      </c>
      <c r="C645" s="5" t="s">
        <v>81</v>
      </c>
      <c r="D645" s="38" t="s">
        <v>1320</v>
      </c>
      <c r="E645" s="2">
        <v>5</v>
      </c>
      <c r="F645" s="2">
        <v>6</v>
      </c>
      <c r="G645" s="2">
        <v>2022</v>
      </c>
      <c r="H645" s="5" t="s">
        <v>103</v>
      </c>
      <c r="I645" s="5" t="s">
        <v>279</v>
      </c>
      <c r="J645" s="5" t="s">
        <v>54</v>
      </c>
      <c r="K645" s="2">
        <v>0</v>
      </c>
      <c r="L645" s="2">
        <v>0</v>
      </c>
      <c r="M645" s="5" t="s">
        <v>30</v>
      </c>
      <c r="Q645" s="2">
        <v>14</v>
      </c>
      <c r="R645" s="2" t="s">
        <v>52</v>
      </c>
      <c r="S645" s="10" t="s">
        <v>32</v>
      </c>
      <c r="T645" s="4" t="str">
        <f>IF(OR(Tabela1[[#This Row],[Grau de Risco]]="Médio",Tabela1[[#This Row],[Grau de Risco]]="Baixo"),"Não","Sim")</f>
        <v>Não</v>
      </c>
    </row>
    <row r="646" spans="1:20" hidden="1">
      <c r="A646" s="4" t="s">
        <v>2</v>
      </c>
      <c r="B646" s="10" t="s">
        <v>1805</v>
      </c>
      <c r="C646" s="4" t="s">
        <v>133</v>
      </c>
      <c r="D646" s="58" t="s">
        <v>1409</v>
      </c>
      <c r="E646" s="3">
        <v>21</v>
      </c>
      <c r="F646" s="3">
        <v>7</v>
      </c>
      <c r="G646" s="3">
        <v>2022</v>
      </c>
      <c r="H646" s="4" t="s">
        <v>27</v>
      </c>
      <c r="I646" s="7" t="s">
        <v>381</v>
      </c>
      <c r="J646" s="4" t="s">
        <v>61</v>
      </c>
      <c r="K646" s="3">
        <v>5</v>
      </c>
      <c r="L646" s="3">
        <v>0</v>
      </c>
      <c r="M646" s="4" t="s">
        <v>30</v>
      </c>
      <c r="N646" s="4"/>
      <c r="O646" s="4" t="s">
        <v>85</v>
      </c>
      <c r="P646" s="3" t="s">
        <v>31</v>
      </c>
      <c r="Q646" s="11">
        <v>9</v>
      </c>
      <c r="R646" s="3" t="str">
        <f>IF(Q646="","",IF(Q646&lt;4,"Crítico",IF(Q646&lt;9,"Alto",IF(Q646&lt;14,"Médio","Baixo"))))</f>
        <v>Médio</v>
      </c>
      <c r="S646" s="10" t="s">
        <v>63</v>
      </c>
      <c r="T646" s="4" t="str">
        <f>IF(OR(Tabela1[[#This Row],[Grau de Risco]]="Médio",Tabela1[[#This Row],[Grau de Risco]]="Baixo"),"Não","Sim")</f>
        <v>Não</v>
      </c>
    </row>
    <row r="647" spans="1:20" hidden="1">
      <c r="A647" s="4" t="s">
        <v>2</v>
      </c>
      <c r="B647" s="10" t="s">
        <v>1793</v>
      </c>
      <c r="C647" s="4" t="s">
        <v>252</v>
      </c>
      <c r="D647" s="58" t="s">
        <v>1409</v>
      </c>
      <c r="E647" s="3">
        <v>3</v>
      </c>
      <c r="F647" s="3">
        <v>5</v>
      </c>
      <c r="G647" s="3">
        <v>2023</v>
      </c>
      <c r="H647" s="4" t="s">
        <v>27</v>
      </c>
      <c r="I647" s="7" t="s">
        <v>416</v>
      </c>
      <c r="J647" s="4" t="s">
        <v>76</v>
      </c>
      <c r="K647" s="3">
        <v>90</v>
      </c>
      <c r="L647" s="3">
        <v>0</v>
      </c>
      <c r="M647" s="4" t="s">
        <v>30</v>
      </c>
      <c r="N647" s="4">
        <v>0</v>
      </c>
      <c r="O647" s="4" t="s">
        <v>74</v>
      </c>
      <c r="P647" s="3" t="s">
        <v>31</v>
      </c>
      <c r="Q647" s="11">
        <v>10</v>
      </c>
      <c r="R647" s="3" t="s">
        <v>31</v>
      </c>
      <c r="S647" s="10" t="s">
        <v>141</v>
      </c>
      <c r="T647" s="4" t="str">
        <f>IF(OR(Tabela1[[#This Row],[Grau de Risco]]="Médio",Tabela1[[#This Row],[Grau de Risco]]="Baixo"),"Não","Sim")</f>
        <v>Não</v>
      </c>
    </row>
    <row r="648" spans="1:20" hidden="1">
      <c r="A648" s="5" t="s">
        <v>7</v>
      </c>
      <c r="B648" s="10" t="s">
        <v>1805</v>
      </c>
      <c r="C648" s="5" t="s">
        <v>26</v>
      </c>
      <c r="D648" s="38" t="s">
        <v>1320</v>
      </c>
      <c r="E648" s="3">
        <v>16</v>
      </c>
      <c r="F648" s="3">
        <v>10</v>
      </c>
      <c r="G648" s="3">
        <v>2023</v>
      </c>
      <c r="H648" s="36" t="s">
        <v>33</v>
      </c>
      <c r="I648" s="7" t="s">
        <v>1651</v>
      </c>
      <c r="J648" s="4" t="s">
        <v>69</v>
      </c>
      <c r="K648" s="3" t="s">
        <v>44</v>
      </c>
      <c r="L648" s="3" t="s">
        <v>44</v>
      </c>
      <c r="M648" s="4" t="s">
        <v>30</v>
      </c>
      <c r="N648" s="4" t="s">
        <v>44</v>
      </c>
      <c r="O648" s="4"/>
      <c r="P648" s="3"/>
      <c r="Q648" s="3">
        <v>11</v>
      </c>
      <c r="R648" s="11" t="s">
        <v>31</v>
      </c>
      <c r="S648" s="5" t="s">
        <v>56</v>
      </c>
      <c r="T648" s="4" t="str">
        <f>IF(OR(Tabela1[[#This Row],[Grau de Risco]]="Médio",Tabela1[[#This Row],[Grau de Risco]]="Baixo"),"Não","Sim")</f>
        <v>Não</v>
      </c>
    </row>
    <row r="649" spans="1:20">
      <c r="A649" s="4" t="s">
        <v>7</v>
      </c>
      <c r="B649" s="10" t="s">
        <v>1809</v>
      </c>
      <c r="C649" s="4" t="s">
        <v>252</v>
      </c>
      <c r="D649" s="38" t="s">
        <v>1382</v>
      </c>
      <c r="E649" s="3">
        <v>19</v>
      </c>
      <c r="F649" s="3">
        <v>7</v>
      </c>
      <c r="G649" s="3">
        <v>2023</v>
      </c>
      <c r="H649" s="36" t="s">
        <v>33</v>
      </c>
      <c r="I649" s="7" t="s">
        <v>496</v>
      </c>
      <c r="J649" s="4" t="s">
        <v>229</v>
      </c>
      <c r="K649" s="3">
        <v>0</v>
      </c>
      <c r="L649" s="3">
        <v>0</v>
      </c>
      <c r="M649" s="4"/>
      <c r="N649" s="4"/>
      <c r="O649" s="4" t="s">
        <v>51</v>
      </c>
      <c r="P649" s="3" t="s">
        <v>52</v>
      </c>
      <c r="Q649" s="11">
        <v>11</v>
      </c>
      <c r="R649" s="3" t="str">
        <f>IF(Q649="","",IF(Q649&lt;4,"Crítico",IF(Q649&lt;9,"Alto",IF(Q649&lt;14,"Médio","Baixo"))))</f>
        <v>Médio</v>
      </c>
      <c r="S649" s="5" t="s">
        <v>56</v>
      </c>
      <c r="T649" s="4" t="str">
        <f>IF(OR(Tabela1[[#This Row],[Grau de Risco]]="Médio",Tabela1[[#This Row],[Grau de Risco]]="Baixo"),"Não","Sim")</f>
        <v>Não</v>
      </c>
    </row>
    <row r="650" spans="1:20">
      <c r="A650" s="4" t="s">
        <v>2</v>
      </c>
      <c r="B650" s="10" t="s">
        <v>1809</v>
      </c>
      <c r="C650" s="4" t="s">
        <v>41</v>
      </c>
      <c r="D650" s="38" t="s">
        <v>1382</v>
      </c>
      <c r="E650" s="3">
        <v>25</v>
      </c>
      <c r="F650" s="3">
        <v>10</v>
      </c>
      <c r="G650" s="3">
        <v>2023</v>
      </c>
      <c r="H650" s="5" t="s">
        <v>123</v>
      </c>
      <c r="I650" s="7" t="s">
        <v>502</v>
      </c>
      <c r="J650" s="4" t="s">
        <v>76</v>
      </c>
      <c r="K650" s="3">
        <v>8</v>
      </c>
      <c r="L650" s="3">
        <v>0</v>
      </c>
      <c r="M650" s="4" t="s">
        <v>30</v>
      </c>
      <c r="N650" s="4">
        <v>0</v>
      </c>
      <c r="O650" s="4" t="s">
        <v>55</v>
      </c>
      <c r="P650" s="3" t="s">
        <v>31</v>
      </c>
      <c r="Q650" s="3">
        <v>11</v>
      </c>
      <c r="R650" s="11" t="s">
        <v>31</v>
      </c>
      <c r="S650" s="5" t="s">
        <v>56</v>
      </c>
      <c r="T650" s="4" t="str">
        <f>IF(OR(Tabela1[[#This Row],[Grau de Risco]]="Médio",Tabela1[[#This Row],[Grau de Risco]]="Baixo"),"Não","Sim")</f>
        <v>Não</v>
      </c>
    </row>
    <row r="651" spans="1:20">
      <c r="A651" s="4" t="s">
        <v>7</v>
      </c>
      <c r="B651" s="10" t="s">
        <v>1809</v>
      </c>
      <c r="C651" s="4" t="s">
        <v>89</v>
      </c>
      <c r="D651" s="38" t="s">
        <v>1393</v>
      </c>
      <c r="E651" s="3">
        <v>2</v>
      </c>
      <c r="F651" s="3">
        <v>5</v>
      </c>
      <c r="G651" s="3">
        <v>2023</v>
      </c>
      <c r="H651" s="36" t="s">
        <v>33</v>
      </c>
      <c r="I651" s="7" t="s">
        <v>539</v>
      </c>
      <c r="J651" s="4" t="s">
        <v>111</v>
      </c>
      <c r="K651" s="3" t="s">
        <v>62</v>
      </c>
      <c r="L651" s="3" t="s">
        <v>44</v>
      </c>
      <c r="M651" s="4" t="s">
        <v>30</v>
      </c>
      <c r="N651" s="4"/>
      <c r="O651" s="4" t="s">
        <v>55</v>
      </c>
      <c r="P651" s="3" t="s">
        <v>52</v>
      </c>
      <c r="Q651" s="11">
        <v>11</v>
      </c>
      <c r="R651" s="3" t="str">
        <f>IF(Q651="","",IF(Q651&lt;4,"Crítico",IF(Q651&lt;9,"Alto",IF(Q651&lt;14,"Médio","Baixo"))))</f>
        <v>Médio</v>
      </c>
      <c r="S651" s="10" t="s">
        <v>178</v>
      </c>
      <c r="T651" s="4" t="str">
        <f>IF(OR(Tabela1[[#This Row],[Grau de Risco]]="Médio",Tabela1[[#This Row],[Grau de Risco]]="Baixo"),"Não","Sim")</f>
        <v>Não</v>
      </c>
    </row>
    <row r="652" spans="1:20" hidden="1">
      <c r="A652" s="5" t="s">
        <v>7</v>
      </c>
      <c r="B652" s="10" t="s">
        <v>1800</v>
      </c>
      <c r="C652" s="4" t="s">
        <v>81</v>
      </c>
      <c r="D652" s="38" t="s">
        <v>47</v>
      </c>
      <c r="E652" s="3">
        <v>27</v>
      </c>
      <c r="F652" s="3">
        <v>10</v>
      </c>
      <c r="G652" s="3">
        <v>2023</v>
      </c>
      <c r="H652" s="5" t="s">
        <v>256</v>
      </c>
      <c r="I652" s="7" t="s">
        <v>607</v>
      </c>
      <c r="J652" s="4" t="s">
        <v>54</v>
      </c>
      <c r="K652" s="3" t="s">
        <v>44</v>
      </c>
      <c r="L652" s="3"/>
      <c r="M652" s="4"/>
      <c r="N652" s="4"/>
      <c r="O652" s="4" t="s">
        <v>4</v>
      </c>
      <c r="P652" s="3" t="s">
        <v>52</v>
      </c>
      <c r="Q652" s="11">
        <v>15</v>
      </c>
      <c r="R652" s="3" t="s">
        <v>52</v>
      </c>
      <c r="S652" s="10" t="s">
        <v>63</v>
      </c>
      <c r="T652" s="4" t="str">
        <f>IF(OR(Tabela1[[#This Row],[Grau de Risco]]="Médio",Tabela1[[#This Row],[Grau de Risco]]="Baixo"),"Não","Sim")</f>
        <v>Não</v>
      </c>
    </row>
    <row r="653" spans="1:20" hidden="1">
      <c r="A653" s="4" t="s">
        <v>2</v>
      </c>
      <c r="B653" s="10" t="s">
        <v>1805</v>
      </c>
      <c r="C653" s="4" t="s">
        <v>81</v>
      </c>
      <c r="D653" s="38" t="s">
        <v>1393</v>
      </c>
      <c r="E653" s="3">
        <v>26</v>
      </c>
      <c r="F653" s="3">
        <v>12</v>
      </c>
      <c r="G653" s="3">
        <v>2023</v>
      </c>
      <c r="H653" s="21" t="s">
        <v>675</v>
      </c>
      <c r="I653" s="7" t="s">
        <v>676</v>
      </c>
      <c r="J653" s="4" t="s">
        <v>61</v>
      </c>
      <c r="K653" s="3">
        <v>4</v>
      </c>
      <c r="L653" s="3">
        <v>0</v>
      </c>
      <c r="M653" s="4" t="s">
        <v>30</v>
      </c>
      <c r="N653" s="4">
        <v>0</v>
      </c>
      <c r="O653" s="4" t="s">
        <v>45</v>
      </c>
      <c r="P653" s="3" t="s">
        <v>31</v>
      </c>
      <c r="Q653" s="11">
        <v>11</v>
      </c>
      <c r="R653" s="3" t="str">
        <f>IF(Q653="","",IF(Q653&lt;4,"Crítico",IF(Q653&lt;9,"Alto",IF(Q653&lt;14,"Médio","Baixo"))))</f>
        <v>Médio</v>
      </c>
      <c r="S653" s="5" t="s">
        <v>56</v>
      </c>
      <c r="T653" s="4" t="str">
        <f>IF(OR(Tabela1[[#This Row],[Grau de Risco]]="Médio",Tabela1[[#This Row],[Grau de Risco]]="Baixo"),"Não","Sim")</f>
        <v>Não</v>
      </c>
    </row>
    <row r="654" spans="1:20" hidden="1">
      <c r="A654" s="4" t="s">
        <v>2</v>
      </c>
      <c r="B654" s="10" t="s">
        <v>1805</v>
      </c>
      <c r="C654" s="4" t="s">
        <v>41</v>
      </c>
      <c r="D654" s="38" t="s">
        <v>1393</v>
      </c>
      <c r="E654" s="3">
        <v>14</v>
      </c>
      <c r="F654" s="3">
        <v>11</v>
      </c>
      <c r="G654" s="3">
        <v>2023</v>
      </c>
      <c r="H654" s="34" t="s">
        <v>59</v>
      </c>
      <c r="I654" s="7" t="s">
        <v>695</v>
      </c>
      <c r="J654" s="4" t="s">
        <v>93</v>
      </c>
      <c r="K654" s="3">
        <v>2</v>
      </c>
      <c r="L654" s="3">
        <v>0</v>
      </c>
      <c r="M654" s="4" t="s">
        <v>30</v>
      </c>
      <c r="N654" s="4">
        <v>0</v>
      </c>
      <c r="O654" s="4" t="s">
        <v>4</v>
      </c>
      <c r="P654" s="3" t="s">
        <v>31</v>
      </c>
      <c r="Q654" s="11">
        <v>8</v>
      </c>
      <c r="R654" s="3" t="s">
        <v>102</v>
      </c>
      <c r="S654" s="10" t="s">
        <v>141</v>
      </c>
      <c r="T654" s="4" t="str">
        <f>IF(OR(Tabela1[[#This Row],[Grau de Risco]]="Médio",Tabela1[[#This Row],[Grau de Risco]]="Baixo"),"Não","Sim")</f>
        <v>Sim</v>
      </c>
    </row>
    <row r="655" spans="1:20">
      <c r="A655" s="5" t="s">
        <v>7</v>
      </c>
      <c r="B655" s="10" t="s">
        <v>1809</v>
      </c>
      <c r="C655" s="47" t="s">
        <v>41</v>
      </c>
      <c r="D655" s="38" t="s">
        <v>1382</v>
      </c>
      <c r="E655" s="31">
        <v>31</v>
      </c>
      <c r="F655" s="31">
        <v>7</v>
      </c>
      <c r="G655" s="31">
        <v>2024</v>
      </c>
      <c r="H655" s="5" t="s">
        <v>71</v>
      </c>
      <c r="I655" s="47" t="s">
        <v>1652</v>
      </c>
      <c r="J655" s="47" t="s">
        <v>38</v>
      </c>
      <c r="K655" s="3" t="s">
        <v>44</v>
      </c>
      <c r="L655" s="41" t="s">
        <v>30</v>
      </c>
      <c r="M655" s="41" t="s">
        <v>30</v>
      </c>
      <c r="N655" s="41" t="s">
        <v>44</v>
      </c>
      <c r="O655" s="47"/>
      <c r="P655" s="47"/>
      <c r="Q655" s="47">
        <v>15</v>
      </c>
      <c r="R655" s="32" t="s">
        <v>52</v>
      </c>
      <c r="S655" s="47" t="s">
        <v>63</v>
      </c>
      <c r="T655" s="4" t="str">
        <f>IF(OR(Tabela1[[#This Row],[Grau de Risco]]="Médio",Tabela1[[#This Row],[Grau de Risco]]="Baixo"),"Não","Sim")</f>
        <v>Não</v>
      </c>
    </row>
    <row r="656" spans="1:20" hidden="1">
      <c r="A656" s="4" t="s">
        <v>9</v>
      </c>
      <c r="B656" s="10" t="s">
        <v>1797</v>
      </c>
      <c r="C656" s="4" t="s">
        <v>252</v>
      </c>
      <c r="D656" s="38" t="s">
        <v>1382</v>
      </c>
      <c r="E656" s="3">
        <v>26</v>
      </c>
      <c r="F656" s="3">
        <v>6</v>
      </c>
      <c r="G656" s="3">
        <v>2024</v>
      </c>
      <c r="H656" s="5" t="s">
        <v>48</v>
      </c>
      <c r="I656" s="7" t="s">
        <v>737</v>
      </c>
      <c r="J656" s="4" t="s">
        <v>100</v>
      </c>
      <c r="K656" s="3">
        <v>5</v>
      </c>
      <c r="L656" s="3">
        <v>0</v>
      </c>
      <c r="M656" s="4" t="s">
        <v>30</v>
      </c>
      <c r="N656" s="4">
        <v>0</v>
      </c>
      <c r="O656" s="4" t="s">
        <v>101</v>
      </c>
      <c r="P656" s="3" t="s">
        <v>31</v>
      </c>
      <c r="Q656" s="11">
        <v>10</v>
      </c>
      <c r="R656" s="3" t="s">
        <v>31</v>
      </c>
      <c r="S656" s="10" t="s">
        <v>63</v>
      </c>
      <c r="T656" s="4" t="str">
        <f>IF(OR(Tabela1[[#This Row],[Grau de Risco]]="Médio",Tabela1[[#This Row],[Grau de Risco]]="Baixo"),"Não","Sim")</f>
        <v>Não</v>
      </c>
    </row>
    <row r="657" spans="1:20">
      <c r="A657" s="4" t="s">
        <v>7</v>
      </c>
      <c r="B657" s="10" t="s">
        <v>1809</v>
      </c>
      <c r="C657" s="4" t="s">
        <v>81</v>
      </c>
      <c r="D657" s="58" t="s">
        <v>1409</v>
      </c>
      <c r="E657" s="3">
        <v>14</v>
      </c>
      <c r="F657" s="3">
        <v>3</v>
      </c>
      <c r="G657" s="3">
        <v>2024</v>
      </c>
      <c r="H657" s="5" t="s">
        <v>209</v>
      </c>
      <c r="I657" s="7" t="s">
        <v>751</v>
      </c>
      <c r="J657" s="4" t="s">
        <v>61</v>
      </c>
      <c r="K657" s="3">
        <v>0</v>
      </c>
      <c r="L657" s="3">
        <v>0</v>
      </c>
      <c r="M657" s="4" t="s">
        <v>30</v>
      </c>
      <c r="N657" s="4">
        <v>0</v>
      </c>
      <c r="O657" s="4" t="s">
        <v>77</v>
      </c>
      <c r="P657" s="3" t="s">
        <v>52</v>
      </c>
      <c r="Q657" s="11">
        <v>11</v>
      </c>
      <c r="R657" s="3" t="s">
        <v>31</v>
      </c>
      <c r="S657" s="10" t="s">
        <v>63</v>
      </c>
      <c r="T657" s="4" t="str">
        <f>IF(OR(Tabela1[[#This Row],[Grau de Risco]]="Médio",Tabela1[[#This Row],[Grau de Risco]]="Baixo"),"Não","Sim")</f>
        <v>Não</v>
      </c>
    </row>
    <row r="658" spans="1:20" hidden="1">
      <c r="A658" s="4" t="s">
        <v>2</v>
      </c>
      <c r="B658" s="10" t="s">
        <v>1797</v>
      </c>
      <c r="C658" s="4" t="s">
        <v>81</v>
      </c>
      <c r="D658" s="58" t="s">
        <v>1409</v>
      </c>
      <c r="E658" s="3">
        <v>5</v>
      </c>
      <c r="F658" s="3">
        <v>12</v>
      </c>
      <c r="G658" s="3">
        <v>2024</v>
      </c>
      <c r="H658" s="36" t="s">
        <v>66</v>
      </c>
      <c r="I658" s="7" t="s">
        <v>789</v>
      </c>
      <c r="J658" s="4" t="s">
        <v>290</v>
      </c>
      <c r="K658" s="3">
        <v>14</v>
      </c>
      <c r="L658" s="3"/>
      <c r="M658" s="4"/>
      <c r="N658" s="4"/>
      <c r="O658" s="4" t="s">
        <v>74</v>
      </c>
      <c r="P658" s="3" t="s">
        <v>31</v>
      </c>
      <c r="Q658" s="11">
        <v>8</v>
      </c>
      <c r="R658" s="3" t="s">
        <v>102</v>
      </c>
      <c r="S658" s="5" t="s">
        <v>56</v>
      </c>
      <c r="T658" s="4" t="str">
        <f>IF(OR(Tabela1[[#This Row],[Grau de Risco]]="Médio",Tabela1[[#This Row],[Grau de Risco]]="Baixo"),"Não","Sim")</f>
        <v>Sim</v>
      </c>
    </row>
    <row r="659" spans="1:20" hidden="1">
      <c r="A659" s="4" t="s">
        <v>8</v>
      </c>
      <c r="B659" s="10" t="s">
        <v>1800</v>
      </c>
      <c r="C659" s="4" t="s">
        <v>81</v>
      </c>
      <c r="D659" s="38" t="s">
        <v>47</v>
      </c>
      <c r="E659" s="3">
        <v>31</v>
      </c>
      <c r="F659" s="3">
        <v>5</v>
      </c>
      <c r="G659" s="3">
        <v>2024</v>
      </c>
      <c r="H659" s="36" t="s">
        <v>66</v>
      </c>
      <c r="I659" s="7" t="s">
        <v>900</v>
      </c>
      <c r="J659" s="4" t="s">
        <v>79</v>
      </c>
      <c r="K659" s="3" t="s">
        <v>62</v>
      </c>
      <c r="L659" s="3">
        <v>0</v>
      </c>
      <c r="M659" s="4" t="s">
        <v>30</v>
      </c>
      <c r="N659" s="4">
        <v>0</v>
      </c>
      <c r="O659" s="4" t="s">
        <v>159</v>
      </c>
      <c r="P659" s="3" t="s">
        <v>52</v>
      </c>
      <c r="Q659" s="11">
        <v>11</v>
      </c>
      <c r="R659" s="3" t="s">
        <v>31</v>
      </c>
      <c r="S659" s="5" t="s">
        <v>56</v>
      </c>
      <c r="T659" s="4" t="str">
        <f>IF(OR(Tabela1[[#This Row],[Grau de Risco]]="Médio",Tabela1[[#This Row],[Grau de Risco]]="Baixo"),"Não","Sim")</f>
        <v>Não</v>
      </c>
    </row>
    <row r="660" spans="1:20" hidden="1">
      <c r="A660" s="4" t="s">
        <v>2</v>
      </c>
      <c r="B660" s="10" t="s">
        <v>1800</v>
      </c>
      <c r="C660" s="4" t="s">
        <v>41</v>
      </c>
      <c r="D660" s="58" t="s">
        <v>1409</v>
      </c>
      <c r="E660" s="3">
        <v>2</v>
      </c>
      <c r="F660" s="3">
        <v>5</v>
      </c>
      <c r="G660" s="3">
        <v>2024</v>
      </c>
      <c r="H660" s="5" t="s">
        <v>71</v>
      </c>
      <c r="I660" s="7" t="s">
        <v>972</v>
      </c>
      <c r="J660" s="4" t="s">
        <v>154</v>
      </c>
      <c r="K660" s="3">
        <v>7</v>
      </c>
      <c r="L660" s="3">
        <v>0</v>
      </c>
      <c r="M660" s="4" t="s">
        <v>30</v>
      </c>
      <c r="N660" s="4">
        <v>0</v>
      </c>
      <c r="O660" s="4" t="s">
        <v>70</v>
      </c>
      <c r="P660" s="3" t="s">
        <v>31</v>
      </c>
      <c r="Q660" s="11">
        <v>11</v>
      </c>
      <c r="R660" s="3" t="s">
        <v>31</v>
      </c>
      <c r="S660" s="10" t="s">
        <v>32</v>
      </c>
      <c r="T660" s="4" t="str">
        <f>IF(OR(Tabela1[[#This Row],[Grau de Risco]]="Médio",Tabela1[[#This Row],[Grau de Risco]]="Baixo"),"Não","Sim")</f>
        <v>Não</v>
      </c>
    </row>
    <row r="661" spans="1:20" hidden="1">
      <c r="A661" s="4" t="s">
        <v>8</v>
      </c>
      <c r="B661" s="10" t="s">
        <v>1800</v>
      </c>
      <c r="C661" s="4" t="s">
        <v>81</v>
      </c>
      <c r="D661" s="38" t="s">
        <v>1382</v>
      </c>
      <c r="E661" s="3">
        <v>10</v>
      </c>
      <c r="F661" s="3">
        <v>1</v>
      </c>
      <c r="G661" s="3">
        <v>2024</v>
      </c>
      <c r="H661" s="36" t="s">
        <v>82</v>
      </c>
      <c r="I661" s="7" t="s">
        <v>981</v>
      </c>
      <c r="J661" s="4" t="s">
        <v>54</v>
      </c>
      <c r="K661" s="3">
        <v>0</v>
      </c>
      <c r="L661" s="3" t="s">
        <v>30</v>
      </c>
      <c r="M661" s="4" t="s">
        <v>30</v>
      </c>
      <c r="N661" s="4" t="s">
        <v>44</v>
      </c>
      <c r="O661" s="4" t="s">
        <v>88</v>
      </c>
      <c r="P661" s="3" t="s">
        <v>31</v>
      </c>
      <c r="Q661" s="11">
        <v>13</v>
      </c>
      <c r="R661" s="3" t="s">
        <v>31</v>
      </c>
      <c r="S661" s="5" t="s">
        <v>56</v>
      </c>
      <c r="T661" s="4" t="str">
        <f>IF(OR(Tabela1[[#This Row],[Grau de Risco]]="Médio",Tabela1[[#This Row],[Grau de Risco]]="Baixo"),"Não","Sim")</f>
        <v>Não</v>
      </c>
    </row>
    <row r="662" spans="1:20" hidden="1">
      <c r="A662" s="47" t="s">
        <v>6</v>
      </c>
      <c r="B662" s="10" t="s">
        <v>1797</v>
      </c>
      <c r="C662" s="47" t="s">
        <v>252</v>
      </c>
      <c r="D662" s="38" t="s">
        <v>1393</v>
      </c>
      <c r="E662" s="37">
        <v>7</v>
      </c>
      <c r="F662" s="37">
        <v>5</v>
      </c>
      <c r="G662" s="31">
        <v>2024</v>
      </c>
      <c r="H662" s="36" t="s">
        <v>33</v>
      </c>
      <c r="I662" s="47" t="s">
        <v>1036</v>
      </c>
      <c r="J662" s="47" t="s">
        <v>38</v>
      </c>
      <c r="K662" s="41" t="s">
        <v>44</v>
      </c>
      <c r="L662" s="31" t="s">
        <v>30</v>
      </c>
      <c r="M662" s="47" t="s">
        <v>30</v>
      </c>
      <c r="N662" s="31" t="s">
        <v>44</v>
      </c>
      <c r="O662" s="47"/>
      <c r="P662" s="31"/>
      <c r="Q662" s="31">
        <v>2</v>
      </c>
      <c r="R662" s="3" t="str">
        <f>IF(Q662="","",IF(Q662&lt;4,"Crítico",IF(Q662&lt;9,"Alto",IF(Q662&lt;14,"Médio","Baixo"))))</f>
        <v>Crítico</v>
      </c>
      <c r="S662" s="47" t="s">
        <v>141</v>
      </c>
      <c r="T662" s="4" t="str">
        <f>IF(OR(Tabela1[[#This Row],[Grau de Risco]]="Médio",Tabela1[[#This Row],[Grau de Risco]]="Baixo"),"Não","Sim")</f>
        <v>Sim</v>
      </c>
    </row>
    <row r="663" spans="1:20" hidden="1">
      <c r="A663" s="4" t="s">
        <v>8</v>
      </c>
      <c r="B663" s="10" t="s">
        <v>1800</v>
      </c>
      <c r="C663" s="4" t="s">
        <v>41</v>
      </c>
      <c r="D663" s="38" t="s">
        <v>47</v>
      </c>
      <c r="E663" s="3">
        <v>31</v>
      </c>
      <c r="F663" s="3">
        <v>5</v>
      </c>
      <c r="G663" s="3">
        <v>2024</v>
      </c>
      <c r="H663" s="36" t="s">
        <v>66</v>
      </c>
      <c r="I663" s="7" t="s">
        <v>1104</v>
      </c>
      <c r="J663" s="4" t="s">
        <v>79</v>
      </c>
      <c r="K663" s="3">
        <v>0</v>
      </c>
      <c r="L663" s="3" t="s">
        <v>80</v>
      </c>
      <c r="M663" s="4" t="s">
        <v>30</v>
      </c>
      <c r="N663" s="4" t="s">
        <v>80</v>
      </c>
      <c r="O663" s="4" t="s">
        <v>159</v>
      </c>
      <c r="P663" s="3" t="s">
        <v>52</v>
      </c>
      <c r="Q663" s="11">
        <v>11</v>
      </c>
      <c r="R663" s="3" t="s">
        <v>31</v>
      </c>
      <c r="S663" s="5" t="s">
        <v>56</v>
      </c>
      <c r="T663" s="4" t="str">
        <f>IF(OR(Tabela1[[#This Row],[Grau de Risco]]="Médio",Tabela1[[#This Row],[Grau de Risco]]="Baixo"),"Não","Sim")</f>
        <v>Não</v>
      </c>
    </row>
    <row r="664" spans="1:20" hidden="1">
      <c r="A664" s="28" t="s">
        <v>8</v>
      </c>
      <c r="B664" s="56" t="s">
        <v>1797</v>
      </c>
      <c r="C664" s="28" t="s">
        <v>41</v>
      </c>
      <c r="D664" s="58" t="s">
        <v>1409</v>
      </c>
      <c r="E664" s="32">
        <v>2</v>
      </c>
      <c r="F664" s="32">
        <v>1</v>
      </c>
      <c r="G664" s="32">
        <v>2025</v>
      </c>
      <c r="H664" s="5" t="s">
        <v>123</v>
      </c>
      <c r="I664" s="29" t="s">
        <v>1109</v>
      </c>
      <c r="J664" s="28" t="s">
        <v>111</v>
      </c>
      <c r="K664" s="32">
        <v>0</v>
      </c>
      <c r="L664" s="32"/>
      <c r="M664" s="28" t="s">
        <v>25</v>
      </c>
      <c r="N664" s="28">
        <v>12</v>
      </c>
      <c r="O664" s="28" t="s">
        <v>129</v>
      </c>
      <c r="P664" s="3" t="s">
        <v>52</v>
      </c>
      <c r="Q664" s="35">
        <v>11</v>
      </c>
      <c r="R664" s="32" t="s">
        <v>31</v>
      </c>
      <c r="S664" s="33" t="s">
        <v>4</v>
      </c>
      <c r="T664" s="4" t="str">
        <f>IF(OR(Tabela1[[#This Row],[Grau de Risco]]="Médio",Tabela1[[#This Row],[Grau de Risco]]="Baixo"),"Não","Sim")</f>
        <v>Não</v>
      </c>
    </row>
    <row r="665" spans="1:20" hidden="1">
      <c r="A665" s="28" t="s">
        <v>7</v>
      </c>
      <c r="B665" s="33" t="s">
        <v>1800</v>
      </c>
      <c r="C665" s="4" t="s">
        <v>41</v>
      </c>
      <c r="D665" s="38" t="s">
        <v>1409</v>
      </c>
      <c r="E665" s="32">
        <v>23</v>
      </c>
      <c r="F665" s="32">
        <v>1</v>
      </c>
      <c r="G665" s="32">
        <v>2025</v>
      </c>
      <c r="H665" s="38" t="s">
        <v>86</v>
      </c>
      <c r="I665" s="29" t="s">
        <v>1653</v>
      </c>
      <c r="J665" s="28" t="s">
        <v>35</v>
      </c>
      <c r="K665" s="32" t="s">
        <v>80</v>
      </c>
      <c r="L665" s="32" t="s">
        <v>80</v>
      </c>
      <c r="M665" s="28" t="s">
        <v>30</v>
      </c>
      <c r="N665" s="28" t="s">
        <v>80</v>
      </c>
      <c r="O665" s="28"/>
      <c r="P665" s="32" t="s">
        <v>52</v>
      </c>
      <c r="Q665" s="35">
        <v>14</v>
      </c>
      <c r="R665" s="32" t="s">
        <v>52</v>
      </c>
      <c r="S665" s="5" t="s">
        <v>40</v>
      </c>
      <c r="T665" s="4" t="str">
        <f>IF(OR(Tabela1[[#This Row],[Grau de Risco]]="Médio",Tabela1[[#This Row],[Grau de Risco]]="Baixo"),"Não","Sim")</f>
        <v>Não</v>
      </c>
    </row>
    <row r="666" spans="1:20" hidden="1">
      <c r="A666" s="4" t="s">
        <v>7</v>
      </c>
      <c r="B666" s="10" t="s">
        <v>1797</v>
      </c>
      <c r="C666" s="4" t="s">
        <v>252</v>
      </c>
      <c r="D666" s="38" t="s">
        <v>1393</v>
      </c>
      <c r="E666" s="3">
        <v>28</v>
      </c>
      <c r="F666" s="3">
        <v>1</v>
      </c>
      <c r="G666" s="3">
        <v>2025</v>
      </c>
      <c r="H666" s="5" t="s">
        <v>48</v>
      </c>
      <c r="I666" s="7" t="s">
        <v>1136</v>
      </c>
      <c r="J666" s="4" t="s">
        <v>93</v>
      </c>
      <c r="K666" s="3">
        <v>0</v>
      </c>
      <c r="L666" s="3">
        <v>0</v>
      </c>
      <c r="M666" s="4"/>
      <c r="N666" s="4"/>
      <c r="O666" s="4" t="s">
        <v>167</v>
      </c>
      <c r="P666" s="3" t="s">
        <v>52</v>
      </c>
      <c r="Q666" s="11">
        <v>15</v>
      </c>
      <c r="R666" s="3" t="s">
        <v>52</v>
      </c>
      <c r="S666" s="5" t="s">
        <v>56</v>
      </c>
      <c r="T666" s="4" t="str">
        <f>IF(OR(Tabela1[[#This Row],[Grau de Risco]]="Médio",Tabela1[[#This Row],[Grau de Risco]]="Baixo"),"Não","Sim")</f>
        <v>Não</v>
      </c>
    </row>
    <row r="667" spans="1:20" hidden="1">
      <c r="A667" s="28" t="s">
        <v>8</v>
      </c>
      <c r="B667" s="33" t="s">
        <v>1797</v>
      </c>
      <c r="C667" s="28" t="s">
        <v>252</v>
      </c>
      <c r="D667" s="38" t="s">
        <v>1393</v>
      </c>
      <c r="E667" s="32">
        <v>18</v>
      </c>
      <c r="F667" s="32">
        <v>3</v>
      </c>
      <c r="G667" s="32">
        <v>2025</v>
      </c>
      <c r="H667" s="36" t="s">
        <v>82</v>
      </c>
      <c r="I667" s="29" t="s">
        <v>1192</v>
      </c>
      <c r="J667" s="28" t="s">
        <v>38</v>
      </c>
      <c r="K667" s="32" t="s">
        <v>1581</v>
      </c>
      <c r="L667" s="32" t="s">
        <v>44</v>
      </c>
      <c r="M667" s="28" t="s">
        <v>30</v>
      </c>
      <c r="N667" s="28" t="s">
        <v>44</v>
      </c>
      <c r="O667" s="28"/>
      <c r="P667" s="32" t="s">
        <v>31</v>
      </c>
      <c r="Q667" s="35">
        <v>11</v>
      </c>
      <c r="R667" s="32" t="s">
        <v>31</v>
      </c>
      <c r="S667" s="10" t="s">
        <v>56</v>
      </c>
      <c r="T667" s="4" t="str">
        <f>IF(OR(Tabela1[[#This Row],[Grau de Risco]]="Médio",Tabela1[[#This Row],[Grau de Risco]]="Baixo"),"Não","Sim")</f>
        <v>Não</v>
      </c>
    </row>
    <row r="668" spans="1:20">
      <c r="A668" s="28" t="s">
        <v>240</v>
      </c>
      <c r="B668" s="10" t="s">
        <v>1809</v>
      </c>
      <c r="C668" s="28" t="s">
        <v>125</v>
      </c>
      <c r="D668" s="28" t="s">
        <v>148</v>
      </c>
      <c r="E668" s="32">
        <v>30</v>
      </c>
      <c r="F668" s="32">
        <v>3</v>
      </c>
      <c r="G668" s="32">
        <v>2025</v>
      </c>
      <c r="H668" s="34" t="s">
        <v>59</v>
      </c>
      <c r="I668" s="29" t="s">
        <v>1822</v>
      </c>
      <c r="J668" s="28" t="s">
        <v>135</v>
      </c>
      <c r="K668" s="32">
        <v>0</v>
      </c>
      <c r="L668" s="32">
        <v>6000</v>
      </c>
      <c r="M668" s="28"/>
      <c r="N668" s="28"/>
      <c r="O668" s="28" t="s">
        <v>85</v>
      </c>
      <c r="P668" s="32" t="s">
        <v>102</v>
      </c>
      <c r="Q668" s="11">
        <v>2</v>
      </c>
      <c r="R668" s="3" t="str">
        <f>IF(Q668="","",IF(Q668&lt;4,"Crítico",IF(Q668&lt;9,"Alto",IF(Q668&lt;14,"Médio","Baixo"))))</f>
        <v>Crítico</v>
      </c>
      <c r="S668" s="5" t="s">
        <v>40</v>
      </c>
      <c r="T668" s="4" t="str">
        <f>IF(OR(Tabela1[[#This Row],[Grau de Risco]]="Médio",Tabela1[[#This Row],[Grau de Risco]]="Baixo"),"Não","Sim")</f>
        <v>Sim</v>
      </c>
    </row>
    <row r="669" spans="1:20" hidden="1">
      <c r="A669" s="28" t="s">
        <v>8</v>
      </c>
      <c r="B669" s="33" t="s">
        <v>1800</v>
      </c>
      <c r="C669" s="28" t="s">
        <v>81</v>
      </c>
      <c r="D669" s="38" t="s">
        <v>1393</v>
      </c>
      <c r="E669" s="32">
        <v>8</v>
      </c>
      <c r="F669" s="32">
        <v>4</v>
      </c>
      <c r="G669" s="32">
        <v>2025</v>
      </c>
      <c r="H669" s="38" t="s">
        <v>82</v>
      </c>
      <c r="I669" s="29" t="s">
        <v>1221</v>
      </c>
      <c r="J669" s="28" t="s">
        <v>69</v>
      </c>
      <c r="K669" s="32" t="s">
        <v>80</v>
      </c>
      <c r="L669" s="32" t="s">
        <v>80</v>
      </c>
      <c r="M669" s="28" t="s">
        <v>30</v>
      </c>
      <c r="N669" s="28" t="s">
        <v>80</v>
      </c>
      <c r="O669" s="4" t="s">
        <v>99</v>
      </c>
      <c r="P669" s="32" t="s">
        <v>52</v>
      </c>
      <c r="Q669" s="35">
        <v>11</v>
      </c>
      <c r="R669" s="32" t="s">
        <v>31</v>
      </c>
      <c r="S669" s="33" t="s">
        <v>4</v>
      </c>
      <c r="T669" s="4" t="str">
        <f>IF(OR(Tabela1[[#This Row],[Grau de Risco]]="Médio",Tabela1[[#This Row],[Grau de Risco]]="Baixo"),"Não","Sim")</f>
        <v>Não</v>
      </c>
    </row>
    <row r="670" spans="1:20" hidden="1">
      <c r="A670" s="28" t="s">
        <v>7</v>
      </c>
      <c r="B670" s="33" t="s">
        <v>1800</v>
      </c>
      <c r="C670" s="28" t="s">
        <v>252</v>
      </c>
      <c r="D670" s="38" t="s">
        <v>1320</v>
      </c>
      <c r="E670" s="32">
        <v>5</v>
      </c>
      <c r="F670" s="32">
        <v>5</v>
      </c>
      <c r="G670" s="32">
        <v>2025</v>
      </c>
      <c r="H670" s="38" t="s">
        <v>1132</v>
      </c>
      <c r="I670" s="29" t="s">
        <v>1252</v>
      </c>
      <c r="J670" s="28" t="s">
        <v>61</v>
      </c>
      <c r="K670" s="32" t="s">
        <v>80</v>
      </c>
      <c r="L670" s="32" t="s">
        <v>80</v>
      </c>
      <c r="M670" s="28" t="s">
        <v>30</v>
      </c>
      <c r="N670" s="28" t="s">
        <v>80</v>
      </c>
      <c r="O670" s="4" t="s">
        <v>70</v>
      </c>
      <c r="P670" s="32" t="s">
        <v>52</v>
      </c>
      <c r="Q670" s="35">
        <v>15</v>
      </c>
      <c r="R670" s="32" t="s">
        <v>52</v>
      </c>
      <c r="S670" s="33" t="s">
        <v>32</v>
      </c>
      <c r="T670" s="4" t="str">
        <f>IF(OR(Tabela1[[#This Row],[Grau de Risco]]="Médio",Tabela1[[#This Row],[Grau de Risco]]="Baixo"),"Não","Sim")</f>
        <v>Não</v>
      </c>
    </row>
    <row r="671" spans="1:20" hidden="1">
      <c r="A671" s="28" t="s">
        <v>2</v>
      </c>
      <c r="B671" s="33" t="s">
        <v>1797</v>
      </c>
      <c r="C671" s="28" t="s">
        <v>125</v>
      </c>
      <c r="D671" s="38" t="s">
        <v>1393</v>
      </c>
      <c r="E671" s="32">
        <v>20</v>
      </c>
      <c r="F671" s="32">
        <v>5</v>
      </c>
      <c r="G671" s="32">
        <v>2025</v>
      </c>
      <c r="H671" s="5" t="s">
        <v>71</v>
      </c>
      <c r="I671" s="29" t="s">
        <v>1263</v>
      </c>
      <c r="J671" s="28" t="s">
        <v>111</v>
      </c>
      <c r="K671" s="32">
        <v>8</v>
      </c>
      <c r="L671" s="32"/>
      <c r="M671" s="28"/>
      <c r="N671" s="28"/>
      <c r="O671" s="28" t="s">
        <v>45</v>
      </c>
      <c r="P671" s="32" t="s">
        <v>31</v>
      </c>
      <c r="Q671" s="11">
        <v>11</v>
      </c>
      <c r="R671" s="32" t="s">
        <v>31</v>
      </c>
      <c r="S671" s="5" t="s">
        <v>56</v>
      </c>
      <c r="T671" s="4" t="str">
        <f>IF(OR(Tabela1[[#This Row],[Grau de Risco]]="Médio",Tabela1[[#This Row],[Grau de Risco]]="Baixo"),"Não","Sim")</f>
        <v>Não</v>
      </c>
    </row>
    <row r="672" spans="1:20" hidden="1">
      <c r="A672" s="28" t="s">
        <v>8</v>
      </c>
      <c r="B672" s="33" t="s">
        <v>1797</v>
      </c>
      <c r="C672" s="28" t="s">
        <v>41</v>
      </c>
      <c r="D672" s="38" t="s">
        <v>1393</v>
      </c>
      <c r="E672" s="32">
        <v>27</v>
      </c>
      <c r="F672" s="32">
        <v>5</v>
      </c>
      <c r="G672" s="32">
        <v>2025</v>
      </c>
      <c r="H672" s="36" t="s">
        <v>66</v>
      </c>
      <c r="I672" s="29" t="s">
        <v>1654</v>
      </c>
      <c r="J672" s="28" t="s">
        <v>38</v>
      </c>
      <c r="K672" s="32" t="s">
        <v>44</v>
      </c>
      <c r="L672" s="32" t="s">
        <v>44</v>
      </c>
      <c r="M672" s="28" t="s">
        <v>30</v>
      </c>
      <c r="N672" s="28" t="s">
        <v>44</v>
      </c>
      <c r="O672" s="28"/>
      <c r="P672" s="32" t="s">
        <v>31</v>
      </c>
      <c r="Q672" s="35">
        <v>11</v>
      </c>
      <c r="R672" s="32" t="s">
        <v>1269</v>
      </c>
      <c r="S672" s="5" t="s">
        <v>56</v>
      </c>
      <c r="T672" s="4" t="str">
        <f>IF(OR(Tabela1[[#This Row],[Grau de Risco]]="Médio",Tabela1[[#This Row],[Grau de Risco]]="Baixo"),"Não","Sim")</f>
        <v>Sim</v>
      </c>
    </row>
    <row r="673" spans="1:20" hidden="1">
      <c r="A673" s="4" t="s">
        <v>9</v>
      </c>
      <c r="B673" s="10" t="s">
        <v>1797</v>
      </c>
      <c r="C673" s="4" t="s">
        <v>41</v>
      </c>
      <c r="D673" s="38" t="s">
        <v>1382</v>
      </c>
      <c r="E673" s="3">
        <v>4</v>
      </c>
      <c r="F673" s="3">
        <v>6</v>
      </c>
      <c r="G673" s="3">
        <v>2025</v>
      </c>
      <c r="H673" s="5" t="s">
        <v>48</v>
      </c>
      <c r="I673" s="7" t="s">
        <v>1279</v>
      </c>
      <c r="J673" s="4" t="s">
        <v>290</v>
      </c>
      <c r="K673" s="3">
        <v>1</v>
      </c>
      <c r="L673" s="3">
        <v>0</v>
      </c>
      <c r="M673" s="4" t="s">
        <v>30</v>
      </c>
      <c r="N673" s="4">
        <v>0</v>
      </c>
      <c r="O673" s="4" t="s">
        <v>1254</v>
      </c>
      <c r="P673" s="3" t="s">
        <v>31</v>
      </c>
      <c r="Q673" s="11">
        <v>5</v>
      </c>
      <c r="R673" s="3" t="s">
        <v>102</v>
      </c>
      <c r="S673" s="10" t="s">
        <v>63</v>
      </c>
      <c r="T673" s="4" t="str">
        <f>IF(OR(Tabela1[[#This Row],[Grau de Risco]]="Médio",Tabela1[[#This Row],[Grau de Risco]]="Baixo"),"Não","Sim")</f>
        <v>Sim</v>
      </c>
    </row>
    <row r="674" spans="1:20" hidden="1">
      <c r="A674" s="28" t="s">
        <v>8</v>
      </c>
      <c r="B674" s="33" t="s">
        <v>1800</v>
      </c>
      <c r="C674" s="28" t="s">
        <v>41</v>
      </c>
      <c r="D674" s="38" t="s">
        <v>1393</v>
      </c>
      <c r="E674" s="32">
        <v>6</v>
      </c>
      <c r="F674" s="32">
        <v>5</v>
      </c>
      <c r="G674" s="32">
        <v>2025</v>
      </c>
      <c r="H674" s="38" t="s">
        <v>33</v>
      </c>
      <c r="I674" s="29" t="s">
        <v>1297</v>
      </c>
      <c r="J674" s="28" t="s">
        <v>61</v>
      </c>
      <c r="K674" s="32" t="s">
        <v>80</v>
      </c>
      <c r="L674" s="32" t="s">
        <v>80</v>
      </c>
      <c r="M674" s="28" t="s">
        <v>30</v>
      </c>
      <c r="N674" s="28" t="s">
        <v>80</v>
      </c>
      <c r="O674" s="28" t="s">
        <v>167</v>
      </c>
      <c r="P674" s="32" t="s">
        <v>52</v>
      </c>
      <c r="Q674" s="35">
        <v>15</v>
      </c>
      <c r="R674" s="32" t="s">
        <v>52</v>
      </c>
      <c r="S674" s="33" t="s">
        <v>56</v>
      </c>
      <c r="T674" s="4" t="str">
        <f>IF(OR(Tabela1[[#This Row],[Grau de Risco]]="Médio",Tabela1[[#This Row],[Grau de Risco]]="Baixo"),"Não","Sim")</f>
        <v>Não</v>
      </c>
    </row>
    <row r="675" spans="1:20">
      <c r="A675" s="4" t="s">
        <v>2</v>
      </c>
      <c r="B675" s="10" t="s">
        <v>1809</v>
      </c>
      <c r="C675" s="4" t="s">
        <v>41</v>
      </c>
      <c r="D675" s="38" t="s">
        <v>1393</v>
      </c>
      <c r="E675" s="3">
        <v>8</v>
      </c>
      <c r="F675" s="3">
        <v>7</v>
      </c>
      <c r="G675" s="3">
        <v>2025</v>
      </c>
      <c r="H675" s="5" t="s">
        <v>71</v>
      </c>
      <c r="I675" s="7" t="s">
        <v>1343</v>
      </c>
      <c r="J675" s="4" t="s">
        <v>50</v>
      </c>
      <c r="K675" s="3">
        <v>30</v>
      </c>
      <c r="L675" s="3">
        <v>0</v>
      </c>
      <c r="M675" s="4" t="s">
        <v>30</v>
      </c>
      <c r="N675" s="4"/>
      <c r="O675" s="4" t="s">
        <v>70</v>
      </c>
      <c r="P675" s="3" t="s">
        <v>31</v>
      </c>
      <c r="Q675" s="11">
        <v>11</v>
      </c>
      <c r="R675" s="3" t="s">
        <v>31</v>
      </c>
      <c r="S675" s="5" t="s">
        <v>56</v>
      </c>
      <c r="T675" s="4" t="str">
        <f>IF(OR(Tabela1[[#This Row],[Grau de Risco]]="Médio",Tabela1[[#This Row],[Grau de Risco]]="Baixo"),"Não","Sim")</f>
        <v>Não</v>
      </c>
    </row>
    <row r="676" spans="1:20">
      <c r="A676" s="28" t="s">
        <v>7</v>
      </c>
      <c r="B676" s="10" t="s">
        <v>1809</v>
      </c>
      <c r="C676" s="28" t="s">
        <v>252</v>
      </c>
      <c r="D676" s="38" t="s">
        <v>1382</v>
      </c>
      <c r="E676" s="32">
        <v>9</v>
      </c>
      <c r="F676" s="32">
        <v>7</v>
      </c>
      <c r="G676" s="32">
        <v>2025</v>
      </c>
      <c r="H676" s="4" t="s">
        <v>86</v>
      </c>
      <c r="I676" s="29" t="s">
        <v>1346</v>
      </c>
      <c r="J676" s="28" t="s">
        <v>91</v>
      </c>
      <c r="K676" s="32"/>
      <c r="L676" s="32"/>
      <c r="M676" s="28"/>
      <c r="N676" s="28"/>
      <c r="O676" s="28" t="s">
        <v>77</v>
      </c>
      <c r="P676" s="32"/>
      <c r="Q676" s="11">
        <v>5</v>
      </c>
      <c r="R676" s="3" t="s">
        <v>102</v>
      </c>
      <c r="S676" s="33" t="s">
        <v>63</v>
      </c>
      <c r="T676" s="4" t="str">
        <f>IF(OR(Tabela1[[#This Row],[Grau de Risco]]="Médio",Tabela1[[#This Row],[Grau de Risco]]="Baixo"),"Não","Sim")</f>
        <v>Sim</v>
      </c>
    </row>
    <row r="677" spans="1:20" hidden="1">
      <c r="A677" s="28" t="s">
        <v>2</v>
      </c>
      <c r="B677" s="33" t="s">
        <v>1797</v>
      </c>
      <c r="C677" s="28" t="s">
        <v>41</v>
      </c>
      <c r="D677" s="28" t="s">
        <v>47</v>
      </c>
      <c r="E677" s="32">
        <v>19</v>
      </c>
      <c r="F677" s="32">
        <v>9</v>
      </c>
      <c r="G677" s="32">
        <v>2025</v>
      </c>
      <c r="H677" s="34" t="s">
        <v>71</v>
      </c>
      <c r="I677" s="7" t="s">
        <v>1447</v>
      </c>
      <c r="J677" s="28" t="s">
        <v>154</v>
      </c>
      <c r="K677" s="32">
        <v>1</v>
      </c>
      <c r="L677" s="32"/>
      <c r="M677" s="28"/>
      <c r="N677" s="28"/>
      <c r="O677" s="28"/>
      <c r="P677" s="32" t="s">
        <v>31</v>
      </c>
      <c r="Q677" s="35">
        <v>11</v>
      </c>
      <c r="R677" s="32" t="s">
        <v>31</v>
      </c>
      <c r="S677" s="33" t="s">
        <v>56</v>
      </c>
      <c r="T677" s="4" t="str">
        <f>IF(OR(Tabela1[[#This Row],[Grau de Risco]]="Médio",Tabela1[[#This Row],[Grau de Risco]]="Baixo"),"Não","Sim")</f>
        <v>Não</v>
      </c>
    </row>
    <row r="678" spans="1:20" hidden="1">
      <c r="A678" s="28" t="s">
        <v>7</v>
      </c>
      <c r="B678" s="33" t="s">
        <v>1797</v>
      </c>
      <c r="C678" s="28" t="s">
        <v>81</v>
      </c>
      <c r="D678" s="36" t="s">
        <v>1382</v>
      </c>
      <c r="E678" s="32">
        <v>15</v>
      </c>
      <c r="F678" s="32">
        <v>10</v>
      </c>
      <c r="G678" s="32">
        <v>2025</v>
      </c>
      <c r="H678" s="36" t="s">
        <v>112</v>
      </c>
      <c r="I678" s="7" t="s">
        <v>1472</v>
      </c>
      <c r="J678" s="28" t="s">
        <v>84</v>
      </c>
      <c r="K678" s="32" t="s">
        <v>1581</v>
      </c>
      <c r="L678" s="32" t="s">
        <v>44</v>
      </c>
      <c r="M678" s="28" t="s">
        <v>30</v>
      </c>
      <c r="N678" s="28" t="s">
        <v>44</v>
      </c>
      <c r="O678" s="28" t="s">
        <v>44</v>
      </c>
      <c r="P678" s="32"/>
      <c r="Q678" s="35">
        <v>11</v>
      </c>
      <c r="R678" s="32" t="s">
        <v>31</v>
      </c>
      <c r="S678" s="33" t="s">
        <v>63</v>
      </c>
      <c r="T678" s="4" t="str">
        <f>IF(OR(Tabela1[[#This Row],[Grau de Risco]]="Médio",Tabela1[[#This Row],[Grau de Risco]]="Baixo"),"Não","Sim")</f>
        <v>Não</v>
      </c>
    </row>
    <row r="679" spans="1:20" hidden="1">
      <c r="A679" s="28" t="s">
        <v>8</v>
      </c>
      <c r="B679" s="33" t="s">
        <v>1797</v>
      </c>
      <c r="C679" s="28" t="s">
        <v>81</v>
      </c>
      <c r="D679" s="28" t="s">
        <v>1320</v>
      </c>
      <c r="E679" s="32">
        <v>20</v>
      </c>
      <c r="F679" s="32">
        <v>10</v>
      </c>
      <c r="G679" s="32">
        <v>2025</v>
      </c>
      <c r="H679" s="34" t="s">
        <v>33</v>
      </c>
      <c r="I679" s="7" t="s">
        <v>1487</v>
      </c>
      <c r="J679" s="28" t="s">
        <v>93</v>
      </c>
      <c r="K679" s="32">
        <v>0</v>
      </c>
      <c r="L679" s="32">
        <v>0</v>
      </c>
      <c r="M679" s="28" t="s">
        <v>25</v>
      </c>
      <c r="N679" s="28">
        <v>0</v>
      </c>
      <c r="O679" s="28" t="s">
        <v>99</v>
      </c>
      <c r="P679" s="32" t="s">
        <v>31</v>
      </c>
      <c r="Q679" s="35">
        <v>13</v>
      </c>
      <c r="R679" s="32" t="s">
        <v>31</v>
      </c>
      <c r="S679" s="33" t="s">
        <v>56</v>
      </c>
      <c r="T679" s="4" t="str">
        <f>IF(OR(Tabela1[[#This Row],[Grau de Risco]]="Médio",Tabela1[[#This Row],[Grau de Risco]]="Baixo"),"Não","Sim")</f>
        <v>Não</v>
      </c>
    </row>
    <row r="680" spans="1:20" hidden="1">
      <c r="A680" s="28" t="s">
        <v>8</v>
      </c>
      <c r="B680" s="33" t="s">
        <v>1800</v>
      </c>
      <c r="C680" s="28" t="s">
        <v>41</v>
      </c>
      <c r="D680" s="38" t="s">
        <v>1382</v>
      </c>
      <c r="E680" s="32">
        <v>29</v>
      </c>
      <c r="F680" s="32">
        <v>10</v>
      </c>
      <c r="G680" s="32">
        <v>2025</v>
      </c>
      <c r="H680" s="38" t="s">
        <v>86</v>
      </c>
      <c r="I680" s="7" t="s">
        <v>1512</v>
      </c>
      <c r="J680" s="28" t="s">
        <v>76</v>
      </c>
      <c r="K680" s="32" t="s">
        <v>80</v>
      </c>
      <c r="L680" s="32" t="s">
        <v>80</v>
      </c>
      <c r="M680" s="28" t="s">
        <v>30</v>
      </c>
      <c r="N680" s="28" t="s">
        <v>80</v>
      </c>
      <c r="O680" s="4" t="s">
        <v>88</v>
      </c>
      <c r="P680" s="32" t="s">
        <v>31</v>
      </c>
      <c r="Q680" s="35">
        <v>11</v>
      </c>
      <c r="R680" s="32" t="s">
        <v>31</v>
      </c>
      <c r="S680" s="33" t="s">
        <v>56</v>
      </c>
      <c r="T680" s="4" t="str">
        <f>IF(OR(Tabela1[[#This Row],[Grau de Risco]]="Médio",Tabela1[[#This Row],[Grau de Risco]]="Baixo"),"Não","Sim")</f>
        <v>Não</v>
      </c>
    </row>
    <row r="681" spans="1:20" hidden="1">
      <c r="A681" s="28" t="s">
        <v>9</v>
      </c>
      <c r="B681" s="33" t="s">
        <v>1797</v>
      </c>
      <c r="C681" s="28" t="s">
        <v>81</v>
      </c>
      <c r="D681" s="28" t="s">
        <v>1320</v>
      </c>
      <c r="E681" s="32">
        <v>27</v>
      </c>
      <c r="F681" s="32">
        <v>10</v>
      </c>
      <c r="G681" s="32">
        <v>2025</v>
      </c>
      <c r="H681" s="34" t="s">
        <v>33</v>
      </c>
      <c r="I681" s="7" t="s">
        <v>1655</v>
      </c>
      <c r="J681" s="28" t="s">
        <v>93</v>
      </c>
      <c r="K681" s="32"/>
      <c r="L681" s="32">
        <v>5</v>
      </c>
      <c r="M681" s="28"/>
      <c r="N681" s="28"/>
      <c r="O681" s="28"/>
      <c r="P681" s="32" t="s">
        <v>52</v>
      </c>
      <c r="Q681" s="35">
        <v>8</v>
      </c>
      <c r="R681" s="3" t="s">
        <v>102</v>
      </c>
      <c r="S681" s="33" t="s">
        <v>63</v>
      </c>
      <c r="T681" s="4" t="str">
        <f>IF(OR(Tabela1[[#This Row],[Grau de Risco]]="Médio",Tabela1[[#This Row],[Grau de Risco]]="Baixo"),"Não","Sim")</f>
        <v>Sim</v>
      </c>
    </row>
    <row r="682" spans="1:20">
      <c r="A682" s="28" t="s">
        <v>8</v>
      </c>
      <c r="B682" s="10" t="s">
        <v>1809</v>
      </c>
      <c r="C682" s="32" t="s">
        <v>41</v>
      </c>
      <c r="D682" s="32" t="s">
        <v>1409</v>
      </c>
      <c r="E682" s="32">
        <v>20</v>
      </c>
      <c r="F682" s="32">
        <v>11</v>
      </c>
      <c r="G682" s="32">
        <v>2025</v>
      </c>
      <c r="H682" s="32" t="s">
        <v>66</v>
      </c>
      <c r="I682" s="73" t="s">
        <v>1549</v>
      </c>
      <c r="J682" s="32" t="s">
        <v>79</v>
      </c>
      <c r="K682" s="32">
        <v>0</v>
      </c>
      <c r="L682" s="32">
        <v>0</v>
      </c>
      <c r="M682" s="3" t="s">
        <v>30</v>
      </c>
      <c r="N682" s="3">
        <v>0</v>
      </c>
      <c r="O682" s="32" t="s">
        <v>85</v>
      </c>
      <c r="P682" s="32" t="s">
        <v>52</v>
      </c>
      <c r="Q682" s="32">
        <v>7</v>
      </c>
      <c r="R682" s="3" t="s">
        <v>102</v>
      </c>
      <c r="S682" s="28" t="s">
        <v>1546</v>
      </c>
      <c r="T682" s="4" t="str">
        <f>IF(OR(Tabela1[[#This Row],[Grau de Risco]]="Médio",Tabela1[[#This Row],[Grau de Risco]]="Baixo"),"Não","Sim")</f>
        <v>Sim</v>
      </c>
    </row>
    <row r="683" spans="1:20">
      <c r="A683" s="28" t="s">
        <v>7</v>
      </c>
      <c r="B683" s="10" t="s">
        <v>1809</v>
      </c>
      <c r="C683" s="32" t="s">
        <v>81</v>
      </c>
      <c r="D683" s="32" t="s">
        <v>1409</v>
      </c>
      <c r="E683" s="32">
        <v>27</v>
      </c>
      <c r="F683" s="32">
        <v>11</v>
      </c>
      <c r="G683" s="32">
        <v>2025</v>
      </c>
      <c r="H683" s="32" t="s">
        <v>86</v>
      </c>
      <c r="I683" s="73" t="s">
        <v>1656</v>
      </c>
      <c r="J683" s="32" t="s">
        <v>93</v>
      </c>
      <c r="K683" s="32">
        <v>0</v>
      </c>
      <c r="L683" s="32">
        <v>0</v>
      </c>
      <c r="M683" s="3" t="s">
        <v>30</v>
      </c>
      <c r="N683" s="3">
        <v>0</v>
      </c>
      <c r="O683" s="32"/>
      <c r="P683" s="32"/>
      <c r="Q683" s="32">
        <v>11</v>
      </c>
      <c r="R683" s="32" t="s">
        <v>31</v>
      </c>
      <c r="S683" s="28" t="s">
        <v>63</v>
      </c>
      <c r="T683" s="4" t="str">
        <f>IF(OR(Tabela1[[#This Row],[Grau de Risco]]="Médio",Tabela1[[#This Row],[Grau de Risco]]="Baixo"),"Não","Sim")</f>
        <v>Não</v>
      </c>
    </row>
    <row r="684" spans="1:20">
      <c r="A684" s="4" t="s">
        <v>9</v>
      </c>
      <c r="B684" s="10" t="s">
        <v>1809</v>
      </c>
      <c r="C684" s="5" t="s">
        <v>26</v>
      </c>
      <c r="D684" s="38" t="s">
        <v>1320</v>
      </c>
      <c r="E684" s="3">
        <v>25</v>
      </c>
      <c r="F684" s="2">
        <v>4</v>
      </c>
      <c r="G684" s="3">
        <v>2022</v>
      </c>
      <c r="H684" s="5" t="s">
        <v>48</v>
      </c>
      <c r="I684" s="7" t="s">
        <v>266</v>
      </c>
      <c r="J684" s="4" t="s">
        <v>35</v>
      </c>
      <c r="K684" s="3">
        <v>4</v>
      </c>
      <c r="L684" s="3">
        <v>0</v>
      </c>
      <c r="M684" s="5" t="s">
        <v>30</v>
      </c>
      <c r="N684" s="4">
        <v>4</v>
      </c>
      <c r="O684" s="4" t="s">
        <v>55</v>
      </c>
      <c r="P684" s="3" t="s">
        <v>31</v>
      </c>
      <c r="Q684" s="3">
        <v>13</v>
      </c>
      <c r="R684" s="2" t="s">
        <v>31</v>
      </c>
      <c r="S684" s="10" t="s">
        <v>32</v>
      </c>
      <c r="T684" s="4" t="str">
        <f>IF(OR(Tabela1[[#This Row],[Grau de Risco]]="Médio",Tabela1[[#This Row],[Grau de Risco]]="Baixo"),"Não","Sim")</f>
        <v>Não</v>
      </c>
    </row>
    <row r="685" spans="1:20" hidden="1">
      <c r="A685" s="5" t="s">
        <v>8</v>
      </c>
      <c r="B685" s="6" t="s">
        <v>1805</v>
      </c>
      <c r="C685" s="5" t="s">
        <v>26</v>
      </c>
      <c r="D685" s="38" t="s">
        <v>1382</v>
      </c>
      <c r="E685" s="2">
        <v>23</v>
      </c>
      <c r="F685" s="2">
        <v>2</v>
      </c>
      <c r="G685" s="2">
        <v>2022</v>
      </c>
      <c r="H685" s="5" t="s">
        <v>269</v>
      </c>
      <c r="I685" s="5" t="s">
        <v>270</v>
      </c>
      <c r="J685" s="5" t="s">
        <v>54</v>
      </c>
      <c r="K685" s="2">
        <v>0</v>
      </c>
      <c r="L685" s="2">
        <v>0</v>
      </c>
      <c r="M685" s="5" t="s">
        <v>30</v>
      </c>
      <c r="N685" s="5">
        <v>0</v>
      </c>
      <c r="O685" s="5" t="s">
        <v>70</v>
      </c>
      <c r="P685" s="2" t="s">
        <v>31</v>
      </c>
      <c r="Q685" s="2">
        <v>13</v>
      </c>
      <c r="R685" s="2" t="s">
        <v>31</v>
      </c>
      <c r="S685" s="5" t="s">
        <v>56</v>
      </c>
      <c r="T685" s="4" t="str">
        <f>IF(OR(Tabela1[[#This Row],[Grau de Risco]]="Médio",Tabela1[[#This Row],[Grau de Risco]]="Baixo"),"Não","Sim")</f>
        <v>Não</v>
      </c>
    </row>
    <row r="686" spans="1:20" hidden="1">
      <c r="A686" s="4" t="s">
        <v>2</v>
      </c>
      <c r="B686" s="10" t="s">
        <v>1805</v>
      </c>
      <c r="C686" s="4"/>
      <c r="D686" s="58" t="s">
        <v>1409</v>
      </c>
      <c r="E686" s="3">
        <v>2</v>
      </c>
      <c r="F686" s="3">
        <v>6</v>
      </c>
      <c r="G686" s="3">
        <v>2022</v>
      </c>
      <c r="H686" s="36" t="s">
        <v>33</v>
      </c>
      <c r="I686" s="7" t="s">
        <v>318</v>
      </c>
      <c r="J686" s="4" t="s">
        <v>61</v>
      </c>
      <c r="K686" s="3">
        <v>14</v>
      </c>
      <c r="L686" s="3">
        <v>0</v>
      </c>
      <c r="M686" s="4" t="s">
        <v>30</v>
      </c>
      <c r="N686" s="4"/>
      <c r="O686" s="4" t="s">
        <v>45</v>
      </c>
      <c r="P686" s="3" t="s">
        <v>31</v>
      </c>
      <c r="Q686" s="11">
        <v>13</v>
      </c>
      <c r="R686" s="3" t="str">
        <f>IF(Q686="","",IF(Q686&lt;4,"Crítico",IF(Q686&lt;9,"Alto",IF(Q686&lt;14,"Médio","Baixo"))))</f>
        <v>Médio</v>
      </c>
      <c r="S686" s="10" t="s">
        <v>178</v>
      </c>
      <c r="T686" s="4" t="str">
        <f>IF(OR(Tabela1[[#This Row],[Grau de Risco]]="Médio",Tabela1[[#This Row],[Grau de Risco]]="Baixo"),"Não","Sim")</f>
        <v>Não</v>
      </c>
    </row>
    <row r="687" spans="1:20">
      <c r="A687" s="4" t="s">
        <v>2</v>
      </c>
      <c r="B687" s="10" t="s">
        <v>1809</v>
      </c>
      <c r="C687" s="4" t="s">
        <v>26</v>
      </c>
      <c r="D687" s="5" t="s">
        <v>36</v>
      </c>
      <c r="E687" s="3">
        <v>26</v>
      </c>
      <c r="F687" s="3">
        <v>11</v>
      </c>
      <c r="G687" s="3">
        <v>2022</v>
      </c>
      <c r="H687" s="36" t="s">
        <v>66</v>
      </c>
      <c r="I687" s="7" t="s">
        <v>204</v>
      </c>
      <c r="J687" s="4" t="s">
        <v>93</v>
      </c>
      <c r="K687" s="3">
        <v>10</v>
      </c>
      <c r="L687" s="3">
        <v>0</v>
      </c>
      <c r="M687" s="4" t="s">
        <v>30</v>
      </c>
      <c r="N687" s="4">
        <v>0</v>
      </c>
      <c r="O687" s="4" t="s">
        <v>129</v>
      </c>
      <c r="P687" s="3" t="s">
        <v>52</v>
      </c>
      <c r="Q687" s="11">
        <v>14</v>
      </c>
      <c r="R687" s="3" t="s">
        <v>52</v>
      </c>
      <c r="S687" s="5" t="s">
        <v>56</v>
      </c>
      <c r="T687" s="4" t="str">
        <f>IF(OR(Tabela1[[#This Row],[Grau de Risco]]="Médio",Tabela1[[#This Row],[Grau de Risco]]="Baixo"),"Não","Sim")</f>
        <v>Não</v>
      </c>
    </row>
    <row r="688" spans="1:20" hidden="1">
      <c r="A688" s="4" t="s">
        <v>7</v>
      </c>
      <c r="B688" s="10" t="s">
        <v>1793</v>
      </c>
      <c r="C688" s="4" t="s">
        <v>89</v>
      </c>
      <c r="D688" s="38" t="s">
        <v>1393</v>
      </c>
      <c r="E688" s="3">
        <v>9</v>
      </c>
      <c r="F688" s="3">
        <v>5</v>
      </c>
      <c r="G688" s="3">
        <v>2023</v>
      </c>
      <c r="H688" s="4" t="s">
        <v>86</v>
      </c>
      <c r="I688" s="7" t="s">
        <v>425</v>
      </c>
      <c r="J688" s="4" t="s">
        <v>61</v>
      </c>
      <c r="K688" s="3" t="s">
        <v>62</v>
      </c>
      <c r="L688" s="3" t="s">
        <v>44</v>
      </c>
      <c r="M688" s="4" t="s">
        <v>30</v>
      </c>
      <c r="N688" s="4"/>
      <c r="O688" s="4" t="s">
        <v>77</v>
      </c>
      <c r="P688" s="3" t="s">
        <v>52</v>
      </c>
      <c r="Q688" s="11">
        <v>15</v>
      </c>
      <c r="R688" s="3" t="str">
        <f>IF(Q688="","",IF(Q688&lt;4,"Crítico",IF(Q688&lt;9,"Alto",IF(Q688&lt;14,"Médio","Baixo"))))</f>
        <v>Baixo</v>
      </c>
      <c r="S688" s="10" t="s">
        <v>63</v>
      </c>
      <c r="T688" s="4" t="str">
        <f>IF(OR(Tabela1[[#This Row],[Grau de Risco]]="Médio",Tabela1[[#This Row],[Grau de Risco]]="Baixo"),"Não","Sim")</f>
        <v>Não</v>
      </c>
    </row>
    <row r="689" spans="1:20" hidden="1">
      <c r="A689" s="4" t="s">
        <v>10</v>
      </c>
      <c r="B689" s="10" t="s">
        <v>1805</v>
      </c>
      <c r="C689" s="4" t="s">
        <v>81</v>
      </c>
      <c r="D689" s="38" t="s">
        <v>1320</v>
      </c>
      <c r="E689" s="3">
        <v>19</v>
      </c>
      <c r="F689" s="3">
        <v>6</v>
      </c>
      <c r="G689" s="3">
        <v>2023</v>
      </c>
      <c r="H689" s="36" t="s">
        <v>33</v>
      </c>
      <c r="I689" s="7" t="s">
        <v>437</v>
      </c>
      <c r="J689" s="4" t="s">
        <v>54</v>
      </c>
      <c r="K689" s="3">
        <v>0</v>
      </c>
      <c r="L689" s="3"/>
      <c r="M689" s="4"/>
      <c r="N689" s="4"/>
      <c r="O689" s="4" t="s">
        <v>45</v>
      </c>
      <c r="P689" s="3" t="s">
        <v>31</v>
      </c>
      <c r="Q689" s="11">
        <v>13</v>
      </c>
      <c r="R689" s="2" t="s">
        <v>31</v>
      </c>
      <c r="S689" s="10" t="s">
        <v>63</v>
      </c>
      <c r="T689" s="4" t="str">
        <f>IF(OR(Tabela1[[#This Row],[Grau de Risco]]="Médio",Tabela1[[#This Row],[Grau de Risco]]="Baixo"),"Não","Sim")</f>
        <v>Não</v>
      </c>
    </row>
    <row r="690" spans="1:20" hidden="1">
      <c r="A690" s="4" t="s">
        <v>8</v>
      </c>
      <c r="B690" s="10" t="s">
        <v>1805</v>
      </c>
      <c r="C690" s="4" t="s">
        <v>81</v>
      </c>
      <c r="D690" s="38" t="s">
        <v>1320</v>
      </c>
      <c r="E690" s="3">
        <v>10</v>
      </c>
      <c r="F690" s="3">
        <v>4</v>
      </c>
      <c r="G690" s="3">
        <v>2023</v>
      </c>
      <c r="H690" s="36" t="s">
        <v>82</v>
      </c>
      <c r="I690" s="7" t="s">
        <v>445</v>
      </c>
      <c r="J690" s="4" t="s">
        <v>54</v>
      </c>
      <c r="K690" s="3">
        <v>0</v>
      </c>
      <c r="L690" s="3">
        <v>0</v>
      </c>
      <c r="M690" s="4" t="s">
        <v>30</v>
      </c>
      <c r="N690" s="4">
        <v>0</v>
      </c>
      <c r="O690" s="4" t="s">
        <v>70</v>
      </c>
      <c r="P690" s="3" t="s">
        <v>52</v>
      </c>
      <c r="Q690" s="11">
        <v>15</v>
      </c>
      <c r="R690" s="3" t="s">
        <v>52</v>
      </c>
      <c r="S690" s="5" t="s">
        <v>56</v>
      </c>
      <c r="T690" s="4" t="str">
        <f>IF(OR(Tabela1[[#This Row],[Grau de Risco]]="Médio",Tabela1[[#This Row],[Grau de Risco]]="Baixo"),"Não","Sim")</f>
        <v>Não</v>
      </c>
    </row>
    <row r="691" spans="1:20">
      <c r="A691" s="5" t="s">
        <v>2</v>
      </c>
      <c r="B691" s="10" t="s">
        <v>1809</v>
      </c>
      <c r="C691" s="4" t="s">
        <v>252</v>
      </c>
      <c r="D691" s="38" t="s">
        <v>47</v>
      </c>
      <c r="E691" s="3">
        <v>5</v>
      </c>
      <c r="F691" s="2">
        <v>5</v>
      </c>
      <c r="G691" s="3">
        <v>2023</v>
      </c>
      <c r="H691" s="34" t="s">
        <v>59</v>
      </c>
      <c r="I691" s="7" t="s">
        <v>464</v>
      </c>
      <c r="J691" s="4" t="s">
        <v>76</v>
      </c>
      <c r="K691" s="3">
        <v>1</v>
      </c>
      <c r="L691" s="3">
        <v>0</v>
      </c>
      <c r="M691" s="5" t="s">
        <v>30</v>
      </c>
      <c r="N691" s="4">
        <v>1</v>
      </c>
      <c r="O691" s="4" t="s">
        <v>70</v>
      </c>
      <c r="P691" s="3" t="s">
        <v>31</v>
      </c>
      <c r="Q691" s="3">
        <v>11</v>
      </c>
      <c r="R691" s="2" t="s">
        <v>31</v>
      </c>
      <c r="S691" s="10" t="s">
        <v>32</v>
      </c>
      <c r="T691" s="4" t="str">
        <f>IF(OR(Tabela1[[#This Row],[Grau de Risco]]="Médio",Tabela1[[#This Row],[Grau de Risco]]="Baixo"),"Não","Sim")</f>
        <v>Não</v>
      </c>
    </row>
    <row r="692" spans="1:20">
      <c r="A692" s="4" t="s">
        <v>8</v>
      </c>
      <c r="B692" s="10" t="s">
        <v>1809</v>
      </c>
      <c r="C692" s="5" t="s">
        <v>26</v>
      </c>
      <c r="D692" s="38" t="s">
        <v>1393</v>
      </c>
      <c r="E692" s="3">
        <v>24</v>
      </c>
      <c r="F692" s="3">
        <v>1</v>
      </c>
      <c r="G692" s="3">
        <v>2023</v>
      </c>
      <c r="H692" s="36" t="s">
        <v>107</v>
      </c>
      <c r="I692" s="7" t="s">
        <v>470</v>
      </c>
      <c r="J692" s="4" t="s">
        <v>76</v>
      </c>
      <c r="K692" s="3">
        <v>0</v>
      </c>
      <c r="L692" s="3">
        <v>0</v>
      </c>
      <c r="M692" s="4" t="s">
        <v>30</v>
      </c>
      <c r="N692" s="4">
        <v>0</v>
      </c>
      <c r="O692" s="4" t="s">
        <v>45</v>
      </c>
      <c r="P692" s="3" t="s">
        <v>52</v>
      </c>
      <c r="Q692" s="11">
        <v>15</v>
      </c>
      <c r="R692" s="3" t="s">
        <v>52</v>
      </c>
      <c r="S692" s="10" t="s">
        <v>32</v>
      </c>
      <c r="T692" s="4" t="str">
        <f>IF(OR(Tabela1[[#This Row],[Grau de Risco]]="Médio",Tabela1[[#This Row],[Grau de Risco]]="Baixo"),"Não","Sim")</f>
        <v>Não</v>
      </c>
    </row>
    <row r="693" spans="1:20" hidden="1">
      <c r="A693" s="4" t="s">
        <v>7</v>
      </c>
      <c r="B693" s="10" t="s">
        <v>1805</v>
      </c>
      <c r="C693" s="4" t="s">
        <v>133</v>
      </c>
      <c r="D693" s="58" t="s">
        <v>1409</v>
      </c>
      <c r="E693" s="3">
        <v>17</v>
      </c>
      <c r="F693" s="3">
        <v>8</v>
      </c>
      <c r="G693" s="3">
        <v>2023</v>
      </c>
      <c r="H693" s="36" t="s">
        <v>112</v>
      </c>
      <c r="I693" s="7" t="s">
        <v>540</v>
      </c>
      <c r="J693" s="4" t="s">
        <v>111</v>
      </c>
      <c r="K693" s="3" t="s">
        <v>62</v>
      </c>
      <c r="L693" s="3"/>
      <c r="M693" s="4"/>
      <c r="N693" s="4"/>
      <c r="O693" s="4" t="s">
        <v>541</v>
      </c>
      <c r="P693" s="3" t="s">
        <v>52</v>
      </c>
      <c r="Q693" s="11">
        <v>11</v>
      </c>
      <c r="R693" s="3" t="str">
        <f>IF(Q693="","",IF(Q693&lt;4,"Crítico",IF(Q693&lt;9,"Alto",IF(Q693&lt;14,"Médio","Baixo"))))</f>
        <v>Médio</v>
      </c>
      <c r="S693" s="10" t="s">
        <v>63</v>
      </c>
      <c r="T693" s="4" t="str">
        <f>IF(OR(Tabela1[[#This Row],[Grau de Risco]]="Médio",Tabela1[[#This Row],[Grau de Risco]]="Baixo"),"Não","Sim")</f>
        <v>Não</v>
      </c>
    </row>
    <row r="694" spans="1:20" hidden="1">
      <c r="A694" s="4" t="s">
        <v>7</v>
      </c>
      <c r="B694" s="10" t="s">
        <v>1805</v>
      </c>
      <c r="C694" s="4" t="s">
        <v>252</v>
      </c>
      <c r="D694" s="38" t="s">
        <v>47</v>
      </c>
      <c r="E694" s="3">
        <v>24</v>
      </c>
      <c r="F694" s="3">
        <v>11</v>
      </c>
      <c r="G694" s="3">
        <v>2023</v>
      </c>
      <c r="H694" s="36" t="s">
        <v>66</v>
      </c>
      <c r="I694" s="7" t="s">
        <v>545</v>
      </c>
      <c r="J694" s="4" t="s">
        <v>192</v>
      </c>
      <c r="K694" s="3" t="s">
        <v>62</v>
      </c>
      <c r="L694" s="3">
        <v>0</v>
      </c>
      <c r="M694" s="4" t="s">
        <v>30</v>
      </c>
      <c r="N694" s="4">
        <v>0</v>
      </c>
      <c r="O694" s="4" t="s">
        <v>77</v>
      </c>
      <c r="P694" s="3" t="s">
        <v>52</v>
      </c>
      <c r="Q694" s="11">
        <v>2</v>
      </c>
      <c r="R694" s="3" t="str">
        <f>IF(Q694="","",IF(Q694&lt;4,"Crítico",IF(Q694&lt;9,"Alto",IF(Q694&lt;14,"Médio","Baixo"))))</f>
        <v>Crítico</v>
      </c>
      <c r="S694" s="10" t="s">
        <v>63</v>
      </c>
      <c r="T694" s="4" t="str">
        <f>IF(OR(Tabela1[[#This Row],[Grau de Risco]]="Médio",Tabela1[[#This Row],[Grau de Risco]]="Baixo"),"Não","Sim")</f>
        <v>Sim</v>
      </c>
    </row>
    <row r="695" spans="1:20" hidden="1">
      <c r="A695" s="5" t="s">
        <v>10</v>
      </c>
      <c r="B695" s="6" t="s">
        <v>1793</v>
      </c>
      <c r="C695" s="5" t="s">
        <v>26</v>
      </c>
      <c r="D695" s="38" t="s">
        <v>1382</v>
      </c>
      <c r="E695" s="2">
        <v>26</v>
      </c>
      <c r="F695" s="2">
        <v>4</v>
      </c>
      <c r="G695" s="2">
        <v>2023</v>
      </c>
      <c r="H695" s="5" t="s">
        <v>123</v>
      </c>
      <c r="I695" s="5" t="s">
        <v>576</v>
      </c>
      <c r="J695" s="5" t="s">
        <v>35</v>
      </c>
      <c r="K695" s="2">
        <v>0</v>
      </c>
      <c r="L695" s="2">
        <v>0</v>
      </c>
      <c r="M695" s="5" t="s">
        <v>30</v>
      </c>
      <c r="N695" s="5">
        <v>0</v>
      </c>
      <c r="O695" s="5" t="s">
        <v>55</v>
      </c>
      <c r="P695" s="3" t="s">
        <v>52</v>
      </c>
      <c r="Q695" s="2">
        <v>13</v>
      </c>
      <c r="R695" s="2" t="s">
        <v>31</v>
      </c>
      <c r="S695" s="10" t="s">
        <v>32</v>
      </c>
      <c r="T695" s="4" t="str">
        <f>IF(OR(Tabela1[[#This Row],[Grau de Risco]]="Médio",Tabela1[[#This Row],[Grau de Risco]]="Baixo"),"Não","Sim")</f>
        <v>Não</v>
      </c>
    </row>
    <row r="696" spans="1:20" hidden="1">
      <c r="A696" s="4" t="s">
        <v>2</v>
      </c>
      <c r="B696" s="10" t="s">
        <v>1793</v>
      </c>
      <c r="C696" s="4" t="s">
        <v>252</v>
      </c>
      <c r="D696" s="38" t="s">
        <v>47</v>
      </c>
      <c r="E696" s="3">
        <v>25</v>
      </c>
      <c r="F696" s="3">
        <v>8</v>
      </c>
      <c r="G696" s="3">
        <v>2023</v>
      </c>
      <c r="H696" s="5" t="s">
        <v>71</v>
      </c>
      <c r="I696" s="7" t="s">
        <v>655</v>
      </c>
      <c r="J696" s="4" t="s">
        <v>76</v>
      </c>
      <c r="K696" s="3">
        <v>11</v>
      </c>
      <c r="L696" s="3">
        <v>0</v>
      </c>
      <c r="M696" s="4" t="s">
        <v>30</v>
      </c>
      <c r="N696" s="4">
        <v>0</v>
      </c>
      <c r="O696" s="4" t="s">
        <v>70</v>
      </c>
      <c r="P696" s="3" t="s">
        <v>31</v>
      </c>
      <c r="Q696" s="11">
        <v>7</v>
      </c>
      <c r="R696" s="3" t="s">
        <v>102</v>
      </c>
      <c r="S696" s="10" t="s">
        <v>179</v>
      </c>
      <c r="T696" s="4" t="str">
        <f>IF(OR(Tabela1[[#This Row],[Grau de Risco]]="Médio",Tabela1[[#This Row],[Grau de Risco]]="Baixo"),"Não","Sim")</f>
        <v>Sim</v>
      </c>
    </row>
    <row r="697" spans="1:20">
      <c r="A697" s="4" t="s">
        <v>8</v>
      </c>
      <c r="B697" s="10" t="s">
        <v>1809</v>
      </c>
      <c r="C697" s="4" t="s">
        <v>81</v>
      </c>
      <c r="D697" s="38" t="s">
        <v>1320</v>
      </c>
      <c r="E697" s="3">
        <v>19</v>
      </c>
      <c r="F697" s="3">
        <v>8</v>
      </c>
      <c r="G697" s="3">
        <v>2024</v>
      </c>
      <c r="H697" s="36" t="s">
        <v>107</v>
      </c>
      <c r="I697" s="7" t="s">
        <v>711</v>
      </c>
      <c r="J697" s="4" t="s">
        <v>154</v>
      </c>
      <c r="K697" s="3" t="s">
        <v>44</v>
      </c>
      <c r="L697" s="3" t="s">
        <v>44</v>
      </c>
      <c r="M697" s="4" t="s">
        <v>30</v>
      </c>
      <c r="N697" s="4" t="s">
        <v>44</v>
      </c>
      <c r="O697" s="4" t="s">
        <v>51</v>
      </c>
      <c r="P697" s="3" t="s">
        <v>52</v>
      </c>
      <c r="Q697" s="11">
        <v>11</v>
      </c>
      <c r="R697" s="3" t="s">
        <v>31</v>
      </c>
      <c r="S697" s="5" t="s">
        <v>56</v>
      </c>
      <c r="T697" s="4" t="str">
        <f>IF(OR(Tabela1[[#This Row],[Grau de Risco]]="Médio",Tabela1[[#This Row],[Grau de Risco]]="Baixo"),"Não","Sim")</f>
        <v>Não</v>
      </c>
    </row>
    <row r="698" spans="1:20" hidden="1">
      <c r="A698" s="5" t="s">
        <v>7</v>
      </c>
      <c r="B698" s="33" t="s">
        <v>1800</v>
      </c>
      <c r="C698" s="28" t="s">
        <v>252</v>
      </c>
      <c r="D698" s="5" t="s">
        <v>36</v>
      </c>
      <c r="E698" s="44">
        <v>16</v>
      </c>
      <c r="F698" s="32">
        <v>11</v>
      </c>
      <c r="G698" s="32">
        <v>2024</v>
      </c>
      <c r="H698" s="36" t="s">
        <v>107</v>
      </c>
      <c r="I698" s="29" t="s">
        <v>752</v>
      </c>
      <c r="J698" s="28" t="s">
        <v>54</v>
      </c>
      <c r="K698" s="32" t="s">
        <v>80</v>
      </c>
      <c r="L698" s="32" t="s">
        <v>80</v>
      </c>
      <c r="M698" s="28" t="s">
        <v>30</v>
      </c>
      <c r="N698" s="28" t="s">
        <v>80</v>
      </c>
      <c r="O698" s="28" t="s">
        <v>45</v>
      </c>
      <c r="P698" s="32"/>
      <c r="Q698" s="35">
        <v>5</v>
      </c>
      <c r="R698" s="16" t="s">
        <v>102</v>
      </c>
      <c r="S698" s="33" t="s">
        <v>178</v>
      </c>
      <c r="T698" s="4" t="str">
        <f>IF(OR(Tabela1[[#This Row],[Grau de Risco]]="Médio",Tabela1[[#This Row],[Grau de Risco]]="Baixo"),"Não","Sim")</f>
        <v>Sim</v>
      </c>
    </row>
    <row r="699" spans="1:20">
      <c r="A699" s="4" t="s">
        <v>7</v>
      </c>
      <c r="B699" s="10" t="s">
        <v>1809</v>
      </c>
      <c r="C699" s="4" t="s">
        <v>41</v>
      </c>
      <c r="D699" s="58" t="s">
        <v>1409</v>
      </c>
      <c r="E699" s="3">
        <v>25</v>
      </c>
      <c r="F699" s="3">
        <v>1</v>
      </c>
      <c r="G699" s="3">
        <v>2024</v>
      </c>
      <c r="H699" s="36" t="s">
        <v>66</v>
      </c>
      <c r="I699" s="7" t="s">
        <v>792</v>
      </c>
      <c r="J699" s="4" t="s">
        <v>229</v>
      </c>
      <c r="K699" s="3" t="s">
        <v>62</v>
      </c>
      <c r="L699" s="3">
        <v>0</v>
      </c>
      <c r="M699" s="4" t="s">
        <v>30</v>
      </c>
      <c r="N699" s="4">
        <v>0</v>
      </c>
      <c r="O699" s="4" t="s">
        <v>559</v>
      </c>
      <c r="P699" s="3"/>
      <c r="Q699" s="11">
        <v>15</v>
      </c>
      <c r="R699" s="3" t="s">
        <v>52</v>
      </c>
      <c r="S699" s="10" t="s">
        <v>4</v>
      </c>
      <c r="T699" s="4" t="str">
        <f>IF(OR(Tabela1[[#This Row],[Grau de Risco]]="Médio",Tabela1[[#This Row],[Grau de Risco]]="Baixo"),"Não","Sim")</f>
        <v>Não</v>
      </c>
    </row>
    <row r="700" spans="1:20" hidden="1">
      <c r="A700" s="4" t="s">
        <v>2</v>
      </c>
      <c r="B700" s="10" t="s">
        <v>1797</v>
      </c>
      <c r="C700" s="4" t="s">
        <v>252</v>
      </c>
      <c r="D700" s="58" t="s">
        <v>1409</v>
      </c>
      <c r="E700" s="3">
        <v>15</v>
      </c>
      <c r="F700" s="3">
        <v>2</v>
      </c>
      <c r="G700" s="3">
        <v>2024</v>
      </c>
      <c r="H700" s="36" t="s">
        <v>375</v>
      </c>
      <c r="I700" s="7" t="s">
        <v>864</v>
      </c>
      <c r="J700" s="4" t="s">
        <v>61</v>
      </c>
      <c r="K700" s="3">
        <v>6</v>
      </c>
      <c r="L700" s="3">
        <v>0</v>
      </c>
      <c r="M700" s="4" t="s">
        <v>30</v>
      </c>
      <c r="N700" s="4">
        <v>0</v>
      </c>
      <c r="O700" s="4" t="s">
        <v>45</v>
      </c>
      <c r="P700" s="3" t="s">
        <v>31</v>
      </c>
      <c r="Q700" s="11">
        <v>11</v>
      </c>
      <c r="R700" s="3" t="s">
        <v>31</v>
      </c>
      <c r="S700" s="10" t="s">
        <v>4</v>
      </c>
      <c r="T700" s="4" t="str">
        <f>IF(OR(Tabela1[[#This Row],[Grau de Risco]]="Médio",Tabela1[[#This Row],[Grau de Risco]]="Baixo"),"Não","Sim")</f>
        <v>Não</v>
      </c>
    </row>
    <row r="701" spans="1:20" hidden="1">
      <c r="A701" s="28" t="s">
        <v>2</v>
      </c>
      <c r="B701" s="33" t="s">
        <v>1800</v>
      </c>
      <c r="C701" s="28" t="s">
        <v>41</v>
      </c>
      <c r="D701" s="38" t="s">
        <v>1382</v>
      </c>
      <c r="E701" s="32">
        <v>17</v>
      </c>
      <c r="F701" s="32">
        <v>7</v>
      </c>
      <c r="G701" s="32">
        <v>2024</v>
      </c>
      <c r="H701" s="5" t="s">
        <v>71</v>
      </c>
      <c r="I701" s="29" t="s">
        <v>889</v>
      </c>
      <c r="J701" s="28" t="s">
        <v>69</v>
      </c>
      <c r="K701" s="32">
        <v>8</v>
      </c>
      <c r="L701" s="32" t="s">
        <v>80</v>
      </c>
      <c r="M701" s="28" t="s">
        <v>30</v>
      </c>
      <c r="N701" s="28" t="s">
        <v>80</v>
      </c>
      <c r="O701" s="28" t="s">
        <v>167</v>
      </c>
      <c r="P701" s="32" t="s">
        <v>52</v>
      </c>
      <c r="Q701" s="35">
        <v>15</v>
      </c>
      <c r="R701" s="32" t="s">
        <v>52</v>
      </c>
      <c r="S701" s="33" t="s">
        <v>4</v>
      </c>
      <c r="T701" s="4" t="str">
        <f>IF(OR(Tabela1[[#This Row],[Grau de Risco]]="Médio",Tabela1[[#This Row],[Grau de Risco]]="Baixo"),"Não","Sim")</f>
        <v>Não</v>
      </c>
    </row>
    <row r="702" spans="1:20" hidden="1">
      <c r="A702" s="4" t="s">
        <v>8</v>
      </c>
      <c r="B702" s="10" t="s">
        <v>1797</v>
      </c>
      <c r="C702" s="4" t="s">
        <v>252</v>
      </c>
      <c r="D702" s="38" t="s">
        <v>1320</v>
      </c>
      <c r="E702" s="3">
        <v>22</v>
      </c>
      <c r="F702" s="3">
        <v>4</v>
      </c>
      <c r="G702" s="3">
        <v>2024</v>
      </c>
      <c r="H702" s="5" t="s">
        <v>71</v>
      </c>
      <c r="I702" s="7" t="s">
        <v>914</v>
      </c>
      <c r="J702" s="4" t="s">
        <v>79</v>
      </c>
      <c r="K702" s="3" t="s">
        <v>44</v>
      </c>
      <c r="L702" s="3" t="s">
        <v>44</v>
      </c>
      <c r="M702" s="4"/>
      <c r="N702" s="4" t="s">
        <v>44</v>
      </c>
      <c r="O702" s="4" t="s">
        <v>70</v>
      </c>
      <c r="P702" s="3" t="s">
        <v>52</v>
      </c>
      <c r="Q702" s="11">
        <v>15</v>
      </c>
      <c r="R702" s="3" t="s">
        <v>52</v>
      </c>
      <c r="S702" s="5" t="s">
        <v>56</v>
      </c>
      <c r="T702" s="4" t="str">
        <f>IF(OR(Tabela1[[#This Row],[Grau de Risco]]="Médio",Tabela1[[#This Row],[Grau de Risco]]="Baixo"),"Não","Sim")</f>
        <v>Não</v>
      </c>
    </row>
    <row r="703" spans="1:20" hidden="1">
      <c r="A703" s="4" t="s">
        <v>7</v>
      </c>
      <c r="B703" s="10" t="s">
        <v>1797</v>
      </c>
      <c r="C703" s="4" t="s">
        <v>26</v>
      </c>
      <c r="D703" s="38" t="s">
        <v>47</v>
      </c>
      <c r="E703" s="3">
        <v>19</v>
      </c>
      <c r="F703" s="3">
        <v>4</v>
      </c>
      <c r="G703" s="3">
        <v>2024</v>
      </c>
      <c r="H703" s="4" t="s">
        <v>86</v>
      </c>
      <c r="I703" s="7" t="s">
        <v>925</v>
      </c>
      <c r="J703" s="4" t="s">
        <v>111</v>
      </c>
      <c r="K703" s="3" t="s">
        <v>62</v>
      </c>
      <c r="L703" s="3"/>
      <c r="M703" s="4"/>
      <c r="N703" s="4"/>
      <c r="O703" s="4" t="s">
        <v>129</v>
      </c>
      <c r="P703" s="3"/>
      <c r="Q703" s="11">
        <v>15</v>
      </c>
      <c r="R703" s="3" t="s">
        <v>52</v>
      </c>
      <c r="S703" s="10" t="s">
        <v>4</v>
      </c>
      <c r="T703" s="4" t="str">
        <f>IF(OR(Tabela1[[#This Row],[Grau de Risco]]="Médio",Tabela1[[#This Row],[Grau de Risco]]="Baixo"),"Não","Sim")</f>
        <v>Não</v>
      </c>
    </row>
    <row r="704" spans="1:20">
      <c r="A704" s="4" t="s">
        <v>2</v>
      </c>
      <c r="B704" s="10" t="s">
        <v>1809</v>
      </c>
      <c r="C704" s="4" t="s">
        <v>41</v>
      </c>
      <c r="D704" s="38" t="s">
        <v>1382</v>
      </c>
      <c r="E704" s="3">
        <v>3</v>
      </c>
      <c r="F704" s="3">
        <v>4</v>
      </c>
      <c r="G704" s="3">
        <v>2024</v>
      </c>
      <c r="H704" s="4" t="s">
        <v>27</v>
      </c>
      <c r="I704" s="7" t="s">
        <v>959</v>
      </c>
      <c r="J704" s="4" t="s">
        <v>61</v>
      </c>
      <c r="K704" s="3">
        <v>2</v>
      </c>
      <c r="L704" s="3">
        <v>0</v>
      </c>
      <c r="M704" s="4" t="s">
        <v>25</v>
      </c>
      <c r="N704" s="4">
        <v>1</v>
      </c>
      <c r="O704" s="4" t="s">
        <v>51</v>
      </c>
      <c r="P704" s="3" t="s">
        <v>31</v>
      </c>
      <c r="Q704" s="11">
        <v>11</v>
      </c>
      <c r="R704" s="3" t="s">
        <v>31</v>
      </c>
      <c r="S704" s="10" t="s">
        <v>4</v>
      </c>
      <c r="T704" s="4" t="str">
        <f>IF(OR(Tabela1[[#This Row],[Grau de Risco]]="Médio",Tabela1[[#This Row],[Grau de Risco]]="Baixo"),"Não","Sim")</f>
        <v>Não</v>
      </c>
    </row>
    <row r="705" spans="1:20" hidden="1">
      <c r="A705" s="5" t="s">
        <v>7</v>
      </c>
      <c r="B705" s="33" t="s">
        <v>1805</v>
      </c>
      <c r="C705" s="4" t="s">
        <v>26</v>
      </c>
      <c r="D705" s="38" t="s">
        <v>1382</v>
      </c>
      <c r="E705" s="32">
        <v>26</v>
      </c>
      <c r="F705" s="32">
        <v>6</v>
      </c>
      <c r="G705" s="32">
        <v>2024</v>
      </c>
      <c r="H705" s="4" t="s">
        <v>27</v>
      </c>
      <c r="I705" s="29" t="s">
        <v>965</v>
      </c>
      <c r="J705" s="28" t="s">
        <v>54</v>
      </c>
      <c r="K705" s="3" t="s">
        <v>44</v>
      </c>
      <c r="L705" s="32" t="s">
        <v>30</v>
      </c>
      <c r="M705" s="28" t="s">
        <v>30</v>
      </c>
      <c r="N705" s="28" t="s">
        <v>44</v>
      </c>
      <c r="O705" s="28"/>
      <c r="P705" s="32"/>
      <c r="Q705" s="35">
        <v>11</v>
      </c>
      <c r="R705" s="3" t="s">
        <v>31</v>
      </c>
      <c r="S705" s="33" t="s">
        <v>178</v>
      </c>
      <c r="T705" s="4" t="str">
        <f>IF(OR(Tabela1[[#This Row],[Grau de Risco]]="Médio",Tabela1[[#This Row],[Grau de Risco]]="Baixo"),"Não","Sim")</f>
        <v>Não</v>
      </c>
    </row>
    <row r="706" spans="1:20">
      <c r="A706" s="4" t="s">
        <v>7</v>
      </c>
      <c r="B706" s="10" t="s">
        <v>1809</v>
      </c>
      <c r="C706" s="4" t="s">
        <v>133</v>
      </c>
      <c r="D706" s="38" t="s">
        <v>1320</v>
      </c>
      <c r="E706" s="3">
        <v>5</v>
      </c>
      <c r="F706" s="3">
        <v>8</v>
      </c>
      <c r="G706" s="3">
        <v>2024</v>
      </c>
      <c r="H706" s="36" t="s">
        <v>82</v>
      </c>
      <c r="I706" s="7" t="s">
        <v>1657</v>
      </c>
      <c r="J706" s="4" t="s">
        <v>154</v>
      </c>
      <c r="K706" s="3" t="s">
        <v>44</v>
      </c>
      <c r="L706" s="3" t="s">
        <v>44</v>
      </c>
      <c r="M706" s="4"/>
      <c r="N706" s="4" t="s">
        <v>44</v>
      </c>
      <c r="O706" s="4"/>
      <c r="P706" s="3"/>
      <c r="Q706" s="11">
        <v>4</v>
      </c>
      <c r="R706" s="3" t="s">
        <v>102</v>
      </c>
      <c r="S706" s="5" t="s">
        <v>40</v>
      </c>
      <c r="T706" s="4" t="str">
        <f>IF(OR(Tabela1[[#This Row],[Grau de Risco]]="Médio",Tabela1[[#This Row],[Grau de Risco]]="Baixo"),"Não","Sim")</f>
        <v>Sim</v>
      </c>
    </row>
    <row r="707" spans="1:20" hidden="1">
      <c r="A707" s="5" t="s">
        <v>7</v>
      </c>
      <c r="B707" s="38" t="s">
        <v>1800</v>
      </c>
      <c r="C707" s="38" t="s">
        <v>41</v>
      </c>
      <c r="D707" s="38" t="s">
        <v>47</v>
      </c>
      <c r="E707" s="50">
        <v>9</v>
      </c>
      <c r="F707" s="50">
        <v>8</v>
      </c>
      <c r="G707" s="50">
        <v>2024</v>
      </c>
      <c r="H707" s="36" t="s">
        <v>112</v>
      </c>
      <c r="I707" s="48" t="s">
        <v>1003</v>
      </c>
      <c r="J707" s="38" t="s">
        <v>54</v>
      </c>
      <c r="K707" s="3" t="s">
        <v>44</v>
      </c>
      <c r="L707" s="38" t="s">
        <v>80</v>
      </c>
      <c r="M707" s="38" t="s">
        <v>30</v>
      </c>
      <c r="N707" s="38" t="s">
        <v>80</v>
      </c>
      <c r="O707" s="38" t="s">
        <v>99</v>
      </c>
      <c r="P707" s="38"/>
      <c r="Q707" s="38">
        <v>10</v>
      </c>
      <c r="R707" s="32" t="s">
        <v>31</v>
      </c>
      <c r="S707" s="38" t="s">
        <v>4</v>
      </c>
      <c r="T707" s="4" t="str">
        <f>IF(OR(Tabela1[[#This Row],[Grau de Risco]]="Médio",Tabela1[[#This Row],[Grau de Risco]]="Baixo"),"Não","Sim")</f>
        <v>Não</v>
      </c>
    </row>
    <row r="708" spans="1:20">
      <c r="A708" s="4" t="s">
        <v>7</v>
      </c>
      <c r="B708" s="10" t="s">
        <v>1809</v>
      </c>
      <c r="C708" s="4" t="s">
        <v>26</v>
      </c>
      <c r="D708" s="38" t="s">
        <v>1320</v>
      </c>
      <c r="E708" s="3">
        <v>12</v>
      </c>
      <c r="F708" s="3">
        <v>8</v>
      </c>
      <c r="G708" s="3">
        <v>2024</v>
      </c>
      <c r="H708" s="5" t="s">
        <v>71</v>
      </c>
      <c r="I708" s="7" t="s">
        <v>1042</v>
      </c>
      <c r="J708" s="4" t="s">
        <v>111</v>
      </c>
      <c r="K708" s="3" t="s">
        <v>62</v>
      </c>
      <c r="L708" s="3"/>
      <c r="M708" s="4"/>
      <c r="N708" s="4"/>
      <c r="O708" s="4" t="s">
        <v>4</v>
      </c>
      <c r="P708" s="3"/>
      <c r="Q708" s="11">
        <v>15</v>
      </c>
      <c r="R708" s="3" t="s">
        <v>52</v>
      </c>
      <c r="S708" s="10" t="s">
        <v>63</v>
      </c>
      <c r="T708" s="4" t="str">
        <f>IF(OR(Tabela1[[#This Row],[Grau de Risco]]="Médio",Tabela1[[#This Row],[Grau de Risco]]="Baixo"),"Não","Sim")</f>
        <v>Não</v>
      </c>
    </row>
    <row r="709" spans="1:20" hidden="1">
      <c r="A709" s="4" t="s">
        <v>7</v>
      </c>
      <c r="B709" s="10" t="s">
        <v>1797</v>
      </c>
      <c r="C709" s="4" t="s">
        <v>252</v>
      </c>
      <c r="D709" s="38" t="s">
        <v>47</v>
      </c>
      <c r="E709" s="3">
        <v>27</v>
      </c>
      <c r="F709" s="3">
        <v>9</v>
      </c>
      <c r="G709" s="3">
        <v>2024</v>
      </c>
      <c r="H709" s="36" t="s">
        <v>107</v>
      </c>
      <c r="I709" s="7" t="s">
        <v>1077</v>
      </c>
      <c r="J709" s="4" t="s">
        <v>115</v>
      </c>
      <c r="K709" s="3"/>
      <c r="L709" s="3"/>
      <c r="M709" s="4"/>
      <c r="N709" s="4"/>
      <c r="O709" s="4" t="s">
        <v>88</v>
      </c>
      <c r="P709" s="3"/>
      <c r="Q709" s="11">
        <v>16</v>
      </c>
      <c r="R709" s="3" t="s">
        <v>52</v>
      </c>
      <c r="S709" s="10" t="s">
        <v>4</v>
      </c>
      <c r="T709" s="4" t="str">
        <f>IF(OR(Tabela1[[#This Row],[Grau de Risco]]="Médio",Tabela1[[#This Row],[Grau de Risco]]="Baixo"),"Não","Sim")</f>
        <v>Não</v>
      </c>
    </row>
    <row r="710" spans="1:20" hidden="1">
      <c r="A710" s="4" t="s">
        <v>8</v>
      </c>
      <c r="B710" s="10" t="s">
        <v>1797</v>
      </c>
      <c r="C710" s="4" t="s">
        <v>252</v>
      </c>
      <c r="D710" s="38" t="s">
        <v>47</v>
      </c>
      <c r="E710" s="3">
        <v>23</v>
      </c>
      <c r="F710" s="3">
        <v>2</v>
      </c>
      <c r="G710" s="3">
        <v>2024</v>
      </c>
      <c r="H710" s="4" t="s">
        <v>27</v>
      </c>
      <c r="I710" s="7" t="s">
        <v>1078</v>
      </c>
      <c r="J710" s="4" t="s">
        <v>115</v>
      </c>
      <c r="K710" s="3">
        <v>2</v>
      </c>
      <c r="L710" s="3">
        <v>0</v>
      </c>
      <c r="M710" s="4" t="s">
        <v>25</v>
      </c>
      <c r="N710" s="4">
        <v>0</v>
      </c>
      <c r="O710" s="4" t="s">
        <v>70</v>
      </c>
      <c r="P710" s="3" t="s">
        <v>52</v>
      </c>
      <c r="Q710" s="11">
        <v>11</v>
      </c>
      <c r="R710" s="3" t="s">
        <v>31</v>
      </c>
      <c r="S710" s="10" t="s">
        <v>4</v>
      </c>
      <c r="T710" s="4" t="str">
        <f>IF(OR(Tabela1[[#This Row],[Grau de Risco]]="Médio",Tabela1[[#This Row],[Grau de Risco]]="Baixo"),"Não","Sim")</f>
        <v>Não</v>
      </c>
    </row>
    <row r="711" spans="1:20" hidden="1">
      <c r="A711" s="4" t="s">
        <v>9</v>
      </c>
      <c r="B711" s="10" t="s">
        <v>1797</v>
      </c>
      <c r="C711" s="4" t="s">
        <v>252</v>
      </c>
      <c r="D711" s="38" t="s">
        <v>1382</v>
      </c>
      <c r="E711" s="3">
        <v>6</v>
      </c>
      <c r="F711" s="3">
        <v>3</v>
      </c>
      <c r="G711" s="3">
        <v>2024</v>
      </c>
      <c r="H711" s="4" t="s">
        <v>86</v>
      </c>
      <c r="I711" s="7" t="s">
        <v>1079</v>
      </c>
      <c r="J711" s="4" t="s">
        <v>115</v>
      </c>
      <c r="K711" s="3">
        <v>60</v>
      </c>
      <c r="L711" s="3">
        <v>0</v>
      </c>
      <c r="M711" s="4" t="s">
        <v>30</v>
      </c>
      <c r="N711" s="4">
        <v>0</v>
      </c>
      <c r="O711" s="4" t="s">
        <v>386</v>
      </c>
      <c r="P711" s="3" t="s">
        <v>31</v>
      </c>
      <c r="Q711" s="11">
        <v>11</v>
      </c>
      <c r="R711" s="3" t="s">
        <v>31</v>
      </c>
      <c r="S711" s="10" t="s">
        <v>63</v>
      </c>
      <c r="T711" s="4" t="str">
        <f>IF(OR(Tabela1[[#This Row],[Grau de Risco]]="Médio",Tabela1[[#This Row],[Grau de Risco]]="Baixo"),"Não","Sim")</f>
        <v>Não</v>
      </c>
    </row>
    <row r="712" spans="1:20" hidden="1">
      <c r="A712" s="28" t="s">
        <v>7</v>
      </c>
      <c r="B712" s="33" t="s">
        <v>1800</v>
      </c>
      <c r="C712" s="28" t="s">
        <v>252</v>
      </c>
      <c r="D712" s="38" t="s">
        <v>1382</v>
      </c>
      <c r="E712" s="32">
        <v>22</v>
      </c>
      <c r="F712" s="32">
        <v>1</v>
      </c>
      <c r="G712" s="32">
        <v>2025</v>
      </c>
      <c r="H712" s="38" t="s">
        <v>33</v>
      </c>
      <c r="I712" s="29" t="s">
        <v>1127</v>
      </c>
      <c r="J712" s="28" t="s">
        <v>84</v>
      </c>
      <c r="K712" s="32" t="s">
        <v>80</v>
      </c>
      <c r="L712" s="32" t="s">
        <v>80</v>
      </c>
      <c r="M712" s="28" t="s">
        <v>30</v>
      </c>
      <c r="N712" s="28" t="s">
        <v>80</v>
      </c>
      <c r="O712" s="28" t="s">
        <v>4</v>
      </c>
      <c r="P712" s="32"/>
      <c r="Q712" s="35">
        <v>10</v>
      </c>
      <c r="R712" s="32" t="s">
        <v>31</v>
      </c>
      <c r="S712" s="33" t="s">
        <v>63</v>
      </c>
      <c r="T712" s="4" t="str">
        <f>IF(OR(Tabela1[[#This Row],[Grau de Risco]]="Médio",Tabela1[[#This Row],[Grau de Risco]]="Baixo"),"Não","Sim")</f>
        <v>Não</v>
      </c>
    </row>
    <row r="713" spans="1:20">
      <c r="A713" s="5" t="s">
        <v>7</v>
      </c>
      <c r="B713" s="10" t="s">
        <v>1809</v>
      </c>
      <c r="C713" s="28" t="s">
        <v>1143</v>
      </c>
      <c r="D713" s="38" t="s">
        <v>1320</v>
      </c>
      <c r="E713" s="32">
        <v>3</v>
      </c>
      <c r="F713" s="32">
        <v>2</v>
      </c>
      <c r="G713" s="32">
        <v>2025</v>
      </c>
      <c r="H713" s="36" t="s">
        <v>33</v>
      </c>
      <c r="I713" s="29" t="s">
        <v>1658</v>
      </c>
      <c r="J713" s="28" t="s">
        <v>38</v>
      </c>
      <c r="K713" s="32" t="s">
        <v>44</v>
      </c>
      <c r="L713" s="32" t="s">
        <v>44</v>
      </c>
      <c r="M713" s="28" t="s">
        <v>30</v>
      </c>
      <c r="N713" s="28" t="s">
        <v>44</v>
      </c>
      <c r="O713" s="28"/>
      <c r="P713" s="32"/>
      <c r="Q713" s="35">
        <v>11</v>
      </c>
      <c r="R713" s="32" t="s">
        <v>31</v>
      </c>
      <c r="S713" s="10" t="s">
        <v>63</v>
      </c>
      <c r="T713" s="4" t="str">
        <f>IF(OR(Tabela1[[#This Row],[Grau de Risco]]="Médio",Tabela1[[#This Row],[Grau de Risco]]="Baixo"),"Não","Sim")</f>
        <v>Não</v>
      </c>
    </row>
    <row r="714" spans="1:20" hidden="1">
      <c r="A714" s="4" t="s">
        <v>9</v>
      </c>
      <c r="B714" s="10" t="s">
        <v>1805</v>
      </c>
      <c r="C714" s="4" t="s">
        <v>252</v>
      </c>
      <c r="D714" s="38" t="s">
        <v>1382</v>
      </c>
      <c r="E714" s="3">
        <v>12</v>
      </c>
      <c r="F714" s="3">
        <v>2</v>
      </c>
      <c r="G714" s="3">
        <v>2025</v>
      </c>
      <c r="H714" s="5" t="s">
        <v>332</v>
      </c>
      <c r="I714" s="7" t="s">
        <v>1159</v>
      </c>
      <c r="J714" s="4" t="s">
        <v>93</v>
      </c>
      <c r="K714" s="3">
        <v>1</v>
      </c>
      <c r="L714" s="3">
        <v>0</v>
      </c>
      <c r="M714" s="4" t="s">
        <v>30</v>
      </c>
      <c r="N714" s="4">
        <v>0</v>
      </c>
      <c r="O714" s="4" t="s">
        <v>101</v>
      </c>
      <c r="P714" s="3" t="s">
        <v>31</v>
      </c>
      <c r="Q714" s="11">
        <v>10</v>
      </c>
      <c r="R714" s="3" t="s">
        <v>31</v>
      </c>
      <c r="S714" s="5" t="s">
        <v>56</v>
      </c>
      <c r="T714" s="4" t="str">
        <f>IF(OR(Tabela1[[#This Row],[Grau de Risco]]="Médio",Tabela1[[#This Row],[Grau de Risco]]="Baixo"),"Não","Sim")</f>
        <v>Não</v>
      </c>
    </row>
    <row r="715" spans="1:20" hidden="1">
      <c r="A715" s="28" t="s">
        <v>6</v>
      </c>
      <c r="B715" s="33" t="s">
        <v>1800</v>
      </c>
      <c r="C715" s="4" t="s">
        <v>41</v>
      </c>
      <c r="D715" s="38" t="s">
        <v>1409</v>
      </c>
      <c r="E715" s="32">
        <v>27</v>
      </c>
      <c r="F715" s="32">
        <v>2</v>
      </c>
      <c r="G715" s="32">
        <v>2025</v>
      </c>
      <c r="H715" s="38" t="s">
        <v>107</v>
      </c>
      <c r="I715" s="29" t="s">
        <v>1659</v>
      </c>
      <c r="J715" s="28" t="s">
        <v>76</v>
      </c>
      <c r="K715" s="32" t="s">
        <v>80</v>
      </c>
      <c r="L715" s="32" t="s">
        <v>80</v>
      </c>
      <c r="M715" s="28" t="s">
        <v>30</v>
      </c>
      <c r="N715" s="28" t="s">
        <v>80</v>
      </c>
      <c r="O715" s="28"/>
      <c r="P715" s="32"/>
      <c r="Q715" s="35">
        <v>5</v>
      </c>
      <c r="R715" s="32" t="s">
        <v>102</v>
      </c>
      <c r="S715" s="5" t="s">
        <v>40</v>
      </c>
      <c r="T715" s="4" t="str">
        <f>IF(OR(Tabela1[[#This Row],[Grau de Risco]]="Médio",Tabela1[[#This Row],[Grau de Risco]]="Baixo"),"Não","Sim")</f>
        <v>Sim</v>
      </c>
    </row>
    <row r="716" spans="1:20" hidden="1">
      <c r="A716" s="4" t="s">
        <v>1110</v>
      </c>
      <c r="B716" s="10" t="s">
        <v>1805</v>
      </c>
      <c r="C716" s="4" t="s">
        <v>252</v>
      </c>
      <c r="D716" s="58" t="s">
        <v>1409</v>
      </c>
      <c r="E716" s="3">
        <v>13</v>
      </c>
      <c r="F716" s="3">
        <v>3</v>
      </c>
      <c r="G716" s="3">
        <v>2025</v>
      </c>
      <c r="H716" s="36" t="s">
        <v>107</v>
      </c>
      <c r="I716" s="7" t="s">
        <v>1660</v>
      </c>
      <c r="J716" s="4" t="s">
        <v>69</v>
      </c>
      <c r="K716" s="3" t="s">
        <v>44</v>
      </c>
      <c r="L716" s="3" t="s">
        <v>44</v>
      </c>
      <c r="M716" s="4"/>
      <c r="N716" s="4" t="s">
        <v>44</v>
      </c>
      <c r="O716" s="4"/>
      <c r="P716" s="3"/>
      <c r="Q716" s="11">
        <v>16</v>
      </c>
      <c r="R716" s="3" t="s">
        <v>52</v>
      </c>
      <c r="S716" s="10" t="s">
        <v>63</v>
      </c>
      <c r="T716" s="4" t="str">
        <f>IF(OR(Tabela1[[#This Row],[Grau de Risco]]="Médio",Tabela1[[#This Row],[Grau de Risco]]="Baixo"),"Não","Sim")</f>
        <v>Não</v>
      </c>
    </row>
    <row r="717" spans="1:20" hidden="1">
      <c r="A717" s="4" t="s">
        <v>1110</v>
      </c>
      <c r="B717" s="10" t="s">
        <v>1805</v>
      </c>
      <c r="C717" s="4" t="s">
        <v>81</v>
      </c>
      <c r="D717" s="5" t="s">
        <v>148</v>
      </c>
      <c r="E717" s="3">
        <v>16</v>
      </c>
      <c r="F717" s="3">
        <v>3</v>
      </c>
      <c r="G717" s="3">
        <v>2025</v>
      </c>
      <c r="H717" s="36" t="s">
        <v>66</v>
      </c>
      <c r="I717" s="7" t="s">
        <v>1661</v>
      </c>
      <c r="J717" s="4" t="s">
        <v>69</v>
      </c>
      <c r="K717" s="3" t="s">
        <v>44</v>
      </c>
      <c r="L717" s="3" t="s">
        <v>44</v>
      </c>
      <c r="M717" s="4"/>
      <c r="N717" s="4" t="s">
        <v>44</v>
      </c>
      <c r="O717" s="4"/>
      <c r="P717" s="3"/>
      <c r="Q717" s="11">
        <v>16</v>
      </c>
      <c r="R717" s="3" t="s">
        <v>52</v>
      </c>
      <c r="S717" s="10" t="s">
        <v>63</v>
      </c>
      <c r="T717" s="4" t="str">
        <f>IF(OR(Tabela1[[#This Row],[Grau de Risco]]="Médio",Tabela1[[#This Row],[Grau de Risco]]="Baixo"),"Não","Sim")</f>
        <v>Não</v>
      </c>
    </row>
    <row r="718" spans="1:20" hidden="1">
      <c r="A718" s="28" t="s">
        <v>7</v>
      </c>
      <c r="B718" s="56" t="s">
        <v>1797</v>
      </c>
      <c r="C718" s="28" t="s">
        <v>125</v>
      </c>
      <c r="D718" s="38" t="s">
        <v>1320</v>
      </c>
      <c r="E718" s="32">
        <v>24</v>
      </c>
      <c r="F718" s="32">
        <v>3</v>
      </c>
      <c r="G718" s="32">
        <v>2025</v>
      </c>
      <c r="H718" s="34" t="s">
        <v>59</v>
      </c>
      <c r="I718" s="29" t="s">
        <v>1200</v>
      </c>
      <c r="J718" s="28" t="s">
        <v>61</v>
      </c>
      <c r="K718" s="32"/>
      <c r="L718" s="32"/>
      <c r="M718" s="28"/>
      <c r="N718" s="28"/>
      <c r="O718" s="28" t="s">
        <v>101</v>
      </c>
      <c r="P718" s="32"/>
      <c r="Q718" s="35">
        <v>11</v>
      </c>
      <c r="R718" s="32" t="s">
        <v>31</v>
      </c>
      <c r="S718" s="33" t="s">
        <v>63</v>
      </c>
      <c r="T718" s="4" t="str">
        <f>IF(OR(Tabela1[[#This Row],[Grau de Risco]]="Médio",Tabela1[[#This Row],[Grau de Risco]]="Baixo"),"Não","Sim")</f>
        <v>Não</v>
      </c>
    </row>
    <row r="719" spans="1:20" hidden="1">
      <c r="A719" s="28" t="s">
        <v>8</v>
      </c>
      <c r="B719" s="33" t="s">
        <v>1800</v>
      </c>
      <c r="C719" s="4" t="s">
        <v>41</v>
      </c>
      <c r="D719" s="38" t="s">
        <v>1320</v>
      </c>
      <c r="E719" s="32">
        <v>14</v>
      </c>
      <c r="F719" s="32">
        <v>4</v>
      </c>
      <c r="G719" s="32">
        <v>2025</v>
      </c>
      <c r="H719" s="38" t="s">
        <v>82</v>
      </c>
      <c r="I719" s="29" t="s">
        <v>1227</v>
      </c>
      <c r="J719" s="28" t="s">
        <v>61</v>
      </c>
      <c r="K719" s="32" t="s">
        <v>80</v>
      </c>
      <c r="L719" s="32" t="s">
        <v>80</v>
      </c>
      <c r="M719" s="28" t="s">
        <v>30</v>
      </c>
      <c r="N719" s="28" t="s">
        <v>80</v>
      </c>
      <c r="O719" s="28" t="s">
        <v>4</v>
      </c>
      <c r="P719" s="32" t="s">
        <v>52</v>
      </c>
      <c r="Q719" s="35">
        <v>15</v>
      </c>
      <c r="R719" s="32" t="s">
        <v>52</v>
      </c>
      <c r="S719" s="33" t="s">
        <v>32</v>
      </c>
      <c r="T719" s="4" t="str">
        <f>IF(OR(Tabela1[[#This Row],[Grau de Risco]]="Médio",Tabela1[[#This Row],[Grau de Risco]]="Baixo"),"Não","Sim")</f>
        <v>Não</v>
      </c>
    </row>
    <row r="720" spans="1:20" hidden="1">
      <c r="A720" s="28" t="s">
        <v>2</v>
      </c>
      <c r="B720" s="33" t="s">
        <v>1797</v>
      </c>
      <c r="C720" s="28" t="s">
        <v>252</v>
      </c>
      <c r="D720" s="38" t="s">
        <v>1382</v>
      </c>
      <c r="E720" s="32">
        <v>16</v>
      </c>
      <c r="F720" s="32">
        <v>4</v>
      </c>
      <c r="G720" s="32">
        <v>2025</v>
      </c>
      <c r="H720" s="36" t="s">
        <v>66</v>
      </c>
      <c r="I720" s="29" t="s">
        <v>1229</v>
      </c>
      <c r="J720" s="28" t="s">
        <v>115</v>
      </c>
      <c r="K720" s="32">
        <v>3</v>
      </c>
      <c r="L720" s="32"/>
      <c r="M720" s="28"/>
      <c r="N720" s="28"/>
      <c r="O720" s="28" t="s">
        <v>4</v>
      </c>
      <c r="P720" s="32" t="s">
        <v>31</v>
      </c>
      <c r="Q720" s="11">
        <v>11</v>
      </c>
      <c r="R720" s="3" t="s">
        <v>31</v>
      </c>
      <c r="S720" s="5" t="s">
        <v>56</v>
      </c>
      <c r="T720" s="4" t="str">
        <f>IF(OR(Tabela1[[#This Row],[Grau de Risco]]="Médio",Tabela1[[#This Row],[Grau de Risco]]="Baixo"),"Não","Sim")</f>
        <v>Não</v>
      </c>
    </row>
    <row r="721" spans="1:20" hidden="1">
      <c r="A721" s="4" t="s">
        <v>9</v>
      </c>
      <c r="B721" s="10" t="s">
        <v>1805</v>
      </c>
      <c r="C721" s="4" t="s">
        <v>252</v>
      </c>
      <c r="D721" s="38" t="s">
        <v>1320</v>
      </c>
      <c r="E721" s="3">
        <v>16</v>
      </c>
      <c r="F721" s="3">
        <v>6</v>
      </c>
      <c r="G721" s="3">
        <v>2025</v>
      </c>
      <c r="H721" s="36" t="s">
        <v>375</v>
      </c>
      <c r="I721" s="7" t="s">
        <v>1662</v>
      </c>
      <c r="J721" s="4" t="s">
        <v>79</v>
      </c>
      <c r="K721" s="3">
        <v>15</v>
      </c>
      <c r="L721" s="3">
        <v>0</v>
      </c>
      <c r="M721" s="4" t="s">
        <v>30</v>
      </c>
      <c r="N721" s="4"/>
      <c r="O721" s="4"/>
      <c r="P721" s="3" t="s">
        <v>31</v>
      </c>
      <c r="Q721" s="11">
        <v>7</v>
      </c>
      <c r="R721" s="3" t="s">
        <v>102</v>
      </c>
      <c r="S721" s="10" t="s">
        <v>63</v>
      </c>
      <c r="T721" s="4" t="str">
        <f>IF(OR(Tabela1[[#This Row],[Grau de Risco]]="Médio",Tabela1[[#This Row],[Grau de Risco]]="Baixo"),"Não","Sim")</f>
        <v>Sim</v>
      </c>
    </row>
    <row r="722" spans="1:20" ht="80.55" customHeight="1">
      <c r="A722" s="28" t="s">
        <v>7</v>
      </c>
      <c r="B722" s="10" t="s">
        <v>1809</v>
      </c>
      <c r="C722" s="28" t="s">
        <v>125</v>
      </c>
      <c r="D722" s="28" t="s">
        <v>1393</v>
      </c>
      <c r="E722" s="32">
        <v>5</v>
      </c>
      <c r="F722" s="32">
        <v>8</v>
      </c>
      <c r="G722" s="32">
        <v>2025</v>
      </c>
      <c r="H722" s="34" t="s">
        <v>107</v>
      </c>
      <c r="I722" s="100" t="s">
        <v>1379</v>
      </c>
      <c r="J722" s="28" t="s">
        <v>91</v>
      </c>
      <c r="K722" s="32"/>
      <c r="L722" s="32"/>
      <c r="M722" s="28"/>
      <c r="N722" s="28"/>
      <c r="O722" s="28" t="s">
        <v>4</v>
      </c>
      <c r="P722" s="32"/>
      <c r="Q722" s="35">
        <v>8</v>
      </c>
      <c r="R722" s="32" t="s">
        <v>102</v>
      </c>
      <c r="S722" s="5" t="s">
        <v>40</v>
      </c>
      <c r="T722" s="4" t="str">
        <f>IF(OR(Tabela1[[#This Row],[Grau de Risco]]="Médio",Tabela1[[#This Row],[Grau de Risco]]="Baixo"),"Não","Sim")</f>
        <v>Sim</v>
      </c>
    </row>
    <row r="723" spans="1:20">
      <c r="A723" s="28" t="s">
        <v>10</v>
      </c>
      <c r="B723" s="10" t="s">
        <v>1809</v>
      </c>
      <c r="C723" s="28" t="s">
        <v>26</v>
      </c>
      <c r="D723" s="28" t="s">
        <v>47</v>
      </c>
      <c r="E723" s="32">
        <v>15</v>
      </c>
      <c r="F723" s="32">
        <v>8</v>
      </c>
      <c r="G723" s="32">
        <v>2025</v>
      </c>
      <c r="H723" s="34" t="s">
        <v>112</v>
      </c>
      <c r="I723" s="29" t="s">
        <v>1400</v>
      </c>
      <c r="J723" s="28" t="s">
        <v>111</v>
      </c>
      <c r="K723" s="32"/>
      <c r="L723" s="32"/>
      <c r="M723" s="28" t="s">
        <v>25</v>
      </c>
      <c r="N723" s="28"/>
      <c r="O723" s="28" t="s">
        <v>101</v>
      </c>
      <c r="P723" s="32" t="s">
        <v>31</v>
      </c>
      <c r="Q723" s="35">
        <v>11</v>
      </c>
      <c r="R723" s="32" t="s">
        <v>31</v>
      </c>
      <c r="S723" s="33" t="s">
        <v>63</v>
      </c>
      <c r="T723" s="4" t="str">
        <f>IF(OR(Tabela1[[#This Row],[Grau de Risco]]="Médio",Tabela1[[#This Row],[Grau de Risco]]="Baixo"),"Não","Sim")</f>
        <v>Não</v>
      </c>
    </row>
    <row r="724" spans="1:20" hidden="1">
      <c r="A724" s="47" t="s">
        <v>6</v>
      </c>
      <c r="B724" s="10" t="s">
        <v>1805</v>
      </c>
      <c r="C724" s="4"/>
      <c r="D724" s="38" t="s">
        <v>1393</v>
      </c>
      <c r="E724" s="3">
        <v>1</v>
      </c>
      <c r="F724" s="3">
        <v>7</v>
      </c>
      <c r="G724" s="3">
        <v>2025</v>
      </c>
      <c r="H724" s="36" t="s">
        <v>112</v>
      </c>
      <c r="I724" s="7" t="s">
        <v>1330</v>
      </c>
      <c r="J724" s="4" t="s">
        <v>93</v>
      </c>
      <c r="K724" s="3">
        <v>0</v>
      </c>
      <c r="L724" s="3">
        <v>0</v>
      </c>
      <c r="M724" s="4"/>
      <c r="N724" s="4">
        <v>0</v>
      </c>
      <c r="O724" s="4" t="s">
        <v>45</v>
      </c>
      <c r="P724" s="3" t="s">
        <v>52</v>
      </c>
      <c r="Q724" s="11">
        <v>15</v>
      </c>
      <c r="R724" s="3" t="s">
        <v>52</v>
      </c>
      <c r="S724" s="10" t="s">
        <v>63</v>
      </c>
      <c r="T724" s="4" t="str">
        <f>IF(OR(Tabela1[[#This Row],[Grau de Risco]]="Médio",Tabela1[[#This Row],[Grau de Risco]]="Baixo"),"Não","Sim")</f>
        <v>Não</v>
      </c>
    </row>
    <row r="725" spans="1:20">
      <c r="A725" s="28" t="s">
        <v>7</v>
      </c>
      <c r="B725" s="10" t="s">
        <v>1809</v>
      </c>
      <c r="C725" s="28" t="s">
        <v>26</v>
      </c>
      <c r="D725" s="28" t="s">
        <v>47</v>
      </c>
      <c r="E725" s="32">
        <v>30</v>
      </c>
      <c r="F725" s="32">
        <v>9</v>
      </c>
      <c r="G725" s="32">
        <v>2025</v>
      </c>
      <c r="H725" s="34" t="s">
        <v>71</v>
      </c>
      <c r="I725" s="7" t="s">
        <v>1663</v>
      </c>
      <c r="J725" s="28" t="s">
        <v>575</v>
      </c>
      <c r="K725" s="32">
        <v>0</v>
      </c>
      <c r="L725" s="32">
        <v>0</v>
      </c>
      <c r="M725" s="28" t="s">
        <v>30</v>
      </c>
      <c r="N725" s="28">
        <v>0</v>
      </c>
      <c r="O725" s="28"/>
      <c r="P725" s="32"/>
      <c r="Q725" s="35">
        <v>15</v>
      </c>
      <c r="R725" s="3" t="s">
        <v>52</v>
      </c>
      <c r="S725" s="33" t="s">
        <v>63</v>
      </c>
      <c r="T725" s="4" t="str">
        <f>IF(OR(Tabela1[[#This Row],[Grau de Risco]]="Médio",Tabela1[[#This Row],[Grau de Risco]]="Baixo"),"Não","Sim")</f>
        <v>Não</v>
      </c>
    </row>
    <row r="726" spans="1:20" hidden="1">
      <c r="A726" s="28" t="s">
        <v>7</v>
      </c>
      <c r="B726" s="33" t="s">
        <v>1797</v>
      </c>
      <c r="C726" s="28" t="s">
        <v>46</v>
      </c>
      <c r="D726" s="28" t="s">
        <v>36</v>
      </c>
      <c r="E726" s="32">
        <v>4</v>
      </c>
      <c r="F726" s="32">
        <v>10</v>
      </c>
      <c r="G726" s="32">
        <v>2025</v>
      </c>
      <c r="H726" s="34" t="s">
        <v>82</v>
      </c>
      <c r="I726" s="29" t="s">
        <v>1488</v>
      </c>
      <c r="J726" s="28" t="s">
        <v>290</v>
      </c>
      <c r="K726" s="32">
        <v>0</v>
      </c>
      <c r="L726" s="32">
        <v>0</v>
      </c>
      <c r="M726" s="28" t="s">
        <v>30</v>
      </c>
      <c r="N726" s="28">
        <v>0</v>
      </c>
      <c r="O726" s="28"/>
      <c r="P726" s="32"/>
      <c r="Q726" s="35">
        <v>4</v>
      </c>
      <c r="R726" s="3" t="s">
        <v>102</v>
      </c>
      <c r="S726" s="33" t="s">
        <v>63</v>
      </c>
      <c r="T726" s="4" t="str">
        <f>IF(OR(Tabela1[[#This Row],[Grau de Risco]]="Médio",Tabela1[[#This Row],[Grau de Risco]]="Baixo"),"Não","Sim")</f>
        <v>Sim</v>
      </c>
    </row>
    <row r="727" spans="1:20" hidden="1">
      <c r="A727" s="38" t="s">
        <v>7</v>
      </c>
      <c r="B727" s="38" t="s">
        <v>1800</v>
      </c>
      <c r="C727" s="38" t="s">
        <v>41</v>
      </c>
      <c r="D727" s="38" t="s">
        <v>1409</v>
      </c>
      <c r="E727" s="38">
        <v>13</v>
      </c>
      <c r="F727" s="38">
        <v>11</v>
      </c>
      <c r="G727" s="38">
        <v>2025</v>
      </c>
      <c r="H727" s="38" t="s">
        <v>33</v>
      </c>
      <c r="I727" s="49" t="s">
        <v>1537</v>
      </c>
      <c r="J727" s="38" t="s">
        <v>76</v>
      </c>
      <c r="K727" s="38" t="s">
        <v>80</v>
      </c>
      <c r="L727" s="38" t="s">
        <v>80</v>
      </c>
      <c r="M727" s="38" t="s">
        <v>30</v>
      </c>
      <c r="N727" s="38" t="s">
        <v>80</v>
      </c>
      <c r="O727" s="38" t="s">
        <v>45</v>
      </c>
      <c r="P727" s="38" t="s">
        <v>57</v>
      </c>
      <c r="Q727" s="38">
        <v>5</v>
      </c>
      <c r="R727" s="3" t="s">
        <v>102</v>
      </c>
      <c r="S727" s="38" t="s">
        <v>56</v>
      </c>
      <c r="T727" s="4" t="str">
        <f>IF(OR(Tabela1[[#This Row],[Grau de Risco]]="Médio",Tabela1[[#This Row],[Grau de Risco]]="Baixo"),"Não","Sim")</f>
        <v>Sim</v>
      </c>
    </row>
    <row r="728" spans="1:20">
      <c r="A728" s="4" t="s">
        <v>2</v>
      </c>
      <c r="B728" s="10" t="s">
        <v>1809</v>
      </c>
      <c r="C728" s="4" t="s">
        <v>89</v>
      </c>
      <c r="D728" s="38" t="s">
        <v>1320</v>
      </c>
      <c r="E728" s="3">
        <v>14</v>
      </c>
      <c r="F728" s="3">
        <v>9</v>
      </c>
      <c r="G728" s="3">
        <v>2020</v>
      </c>
      <c r="H728" s="5" t="s">
        <v>48</v>
      </c>
      <c r="I728" s="7" t="s">
        <v>114</v>
      </c>
      <c r="J728" s="4" t="s">
        <v>115</v>
      </c>
      <c r="K728" s="3">
        <v>3</v>
      </c>
      <c r="L728" s="3">
        <v>0</v>
      </c>
      <c r="M728" s="4" t="s">
        <v>30</v>
      </c>
      <c r="N728" s="4"/>
      <c r="O728" s="4" t="s">
        <v>4</v>
      </c>
      <c r="P728" s="3" t="s">
        <v>52</v>
      </c>
      <c r="Q728" s="11">
        <v>12</v>
      </c>
      <c r="R728" s="3" t="str">
        <f>IF(Q728="","",IF(Q728&lt;4,"Crítico",IF(Q728&lt;9,"Alto",IF(Q728&lt;14,"Médio","Baixo"))))</f>
        <v>Médio</v>
      </c>
      <c r="S728" s="10" t="s">
        <v>63</v>
      </c>
      <c r="T728" s="4" t="str">
        <f>IF(OR(Tabela1[[#This Row],[Grau de Risco]]="Médio",Tabela1[[#This Row],[Grau de Risco]]="Baixo"),"Não","Sim")</f>
        <v>Não</v>
      </c>
    </row>
    <row r="729" spans="1:20" hidden="1">
      <c r="A729" s="4" t="s">
        <v>10</v>
      </c>
      <c r="B729" s="10" t="s">
        <v>1793</v>
      </c>
      <c r="C729" s="4" t="s">
        <v>26</v>
      </c>
      <c r="D729" s="38" t="s">
        <v>1382</v>
      </c>
      <c r="E729" s="3">
        <v>19</v>
      </c>
      <c r="F729" s="3">
        <v>8</v>
      </c>
      <c r="G729" s="3">
        <v>2020</v>
      </c>
      <c r="H729" s="36" t="s">
        <v>112</v>
      </c>
      <c r="I729" s="7" t="s">
        <v>116</v>
      </c>
      <c r="J729" s="4" t="s">
        <v>79</v>
      </c>
      <c r="K729" s="3" t="s">
        <v>62</v>
      </c>
      <c r="L729" s="3">
        <v>0</v>
      </c>
      <c r="M729" s="4" t="s">
        <v>30</v>
      </c>
      <c r="N729" s="4">
        <v>0</v>
      </c>
      <c r="O729" s="4" t="s">
        <v>117</v>
      </c>
      <c r="P729" s="3" t="s">
        <v>52</v>
      </c>
      <c r="Q729" s="11">
        <v>18</v>
      </c>
      <c r="R729" s="3" t="s">
        <v>52</v>
      </c>
      <c r="S729" s="5" t="s">
        <v>56</v>
      </c>
      <c r="T729" s="4" t="str">
        <f>IF(OR(Tabela1[[#This Row],[Grau de Risco]]="Médio",Tabela1[[#This Row],[Grau de Risco]]="Baixo"),"Não","Sim")</f>
        <v>Não</v>
      </c>
    </row>
    <row r="730" spans="1:20">
      <c r="A730" s="5" t="s">
        <v>2</v>
      </c>
      <c r="B730" s="10" t="s">
        <v>1809</v>
      </c>
      <c r="C730" s="4" t="s">
        <v>41</v>
      </c>
      <c r="D730" s="38" t="s">
        <v>1393</v>
      </c>
      <c r="E730" s="3">
        <v>12</v>
      </c>
      <c r="F730" s="3">
        <v>1</v>
      </c>
      <c r="G730" s="3">
        <v>2021</v>
      </c>
      <c r="H730" s="5" t="s">
        <v>48</v>
      </c>
      <c r="I730" s="7" t="s">
        <v>163</v>
      </c>
      <c r="J730" s="4" t="s">
        <v>76</v>
      </c>
      <c r="K730" s="3">
        <v>3</v>
      </c>
      <c r="L730" s="3">
        <v>0</v>
      </c>
      <c r="M730" s="5" t="s">
        <v>30</v>
      </c>
      <c r="N730" s="4">
        <v>3</v>
      </c>
      <c r="O730" s="4" t="s">
        <v>88</v>
      </c>
      <c r="P730" s="3" t="s">
        <v>31</v>
      </c>
      <c r="Q730" s="3">
        <v>16</v>
      </c>
      <c r="R730" s="2" t="s">
        <v>31</v>
      </c>
      <c r="S730" s="10" t="s">
        <v>32</v>
      </c>
      <c r="T730" s="4" t="str">
        <f>IF(OR(Tabela1[[#This Row],[Grau de Risco]]="Médio",Tabela1[[#This Row],[Grau de Risco]]="Baixo"),"Não","Sim")</f>
        <v>Não</v>
      </c>
    </row>
    <row r="731" spans="1:20" hidden="1">
      <c r="A731" s="5" t="s">
        <v>2</v>
      </c>
      <c r="B731" s="6" t="s">
        <v>1805</v>
      </c>
      <c r="C731" s="5" t="s">
        <v>26</v>
      </c>
      <c r="D731" s="5" t="s">
        <v>148</v>
      </c>
      <c r="E731" s="2">
        <v>19</v>
      </c>
      <c r="F731" s="2">
        <v>9</v>
      </c>
      <c r="G731" s="2">
        <v>2021</v>
      </c>
      <c r="H731" s="36" t="s">
        <v>107</v>
      </c>
      <c r="I731" s="5" t="s">
        <v>174</v>
      </c>
      <c r="J731" s="5" t="s">
        <v>54</v>
      </c>
      <c r="K731" s="2">
        <v>13</v>
      </c>
      <c r="L731" s="2">
        <v>0</v>
      </c>
      <c r="M731" s="5" t="s">
        <v>30</v>
      </c>
      <c r="N731" s="5">
        <v>0</v>
      </c>
      <c r="O731" s="5" t="s">
        <v>70</v>
      </c>
      <c r="P731" s="2" t="s">
        <v>31</v>
      </c>
      <c r="Q731" s="2">
        <v>13</v>
      </c>
      <c r="R731" s="2" t="s">
        <v>31</v>
      </c>
      <c r="S731" s="5" t="s">
        <v>56</v>
      </c>
      <c r="T731" s="4" t="str">
        <f>IF(OR(Tabela1[[#This Row],[Grau de Risco]]="Médio",Tabela1[[#This Row],[Grau de Risco]]="Baixo"),"Não","Sim")</f>
        <v>Não</v>
      </c>
    </row>
    <row r="732" spans="1:20" hidden="1">
      <c r="A732" s="4" t="s">
        <v>2</v>
      </c>
      <c r="B732" s="10" t="s">
        <v>1805</v>
      </c>
      <c r="C732" s="4" t="s">
        <v>26</v>
      </c>
      <c r="D732" s="5" t="s">
        <v>36</v>
      </c>
      <c r="E732" s="3">
        <v>17</v>
      </c>
      <c r="F732" s="3">
        <v>7</v>
      </c>
      <c r="G732" s="3">
        <v>2021</v>
      </c>
      <c r="H732" s="4" t="s">
        <v>27</v>
      </c>
      <c r="I732" s="7" t="s">
        <v>189</v>
      </c>
      <c r="J732" s="4" t="s">
        <v>150</v>
      </c>
      <c r="K732" s="3">
        <v>12</v>
      </c>
      <c r="L732" s="3">
        <v>0</v>
      </c>
      <c r="M732" s="4" t="s">
        <v>30</v>
      </c>
      <c r="N732" s="4">
        <v>0</v>
      </c>
      <c r="O732" s="4" t="s">
        <v>39</v>
      </c>
      <c r="P732" s="3" t="s">
        <v>31</v>
      </c>
      <c r="Q732" s="11">
        <v>8</v>
      </c>
      <c r="R732" s="3" t="s">
        <v>102</v>
      </c>
      <c r="S732" s="5" t="s">
        <v>56</v>
      </c>
      <c r="T732" s="4" t="str">
        <f>IF(OR(Tabela1[[#This Row],[Grau de Risco]]="Médio",Tabela1[[#This Row],[Grau de Risco]]="Baixo"),"Não","Sim")</f>
        <v>Sim</v>
      </c>
    </row>
    <row r="733" spans="1:20" hidden="1">
      <c r="A733" s="4" t="s">
        <v>8</v>
      </c>
      <c r="B733" s="10" t="s">
        <v>1805</v>
      </c>
      <c r="C733" s="4" t="s">
        <v>133</v>
      </c>
      <c r="D733" s="38" t="s">
        <v>47</v>
      </c>
      <c r="E733" s="3">
        <v>16</v>
      </c>
      <c r="F733" s="3">
        <v>7</v>
      </c>
      <c r="G733" s="3">
        <v>2021</v>
      </c>
      <c r="H733" s="36" t="s">
        <v>107</v>
      </c>
      <c r="I733" s="7" t="s">
        <v>193</v>
      </c>
      <c r="J733" s="4" t="s">
        <v>192</v>
      </c>
      <c r="K733" s="3">
        <v>0</v>
      </c>
      <c r="L733" s="3">
        <v>0</v>
      </c>
      <c r="M733" s="4" t="s">
        <v>30</v>
      </c>
      <c r="N733" s="4"/>
      <c r="O733" s="4" t="s">
        <v>4</v>
      </c>
      <c r="P733" s="3" t="s">
        <v>102</v>
      </c>
      <c r="Q733" s="11">
        <v>4</v>
      </c>
      <c r="R733" s="3" t="str">
        <f>IF(Q733="","",IF(Q733&lt;4,"Crítico",IF(Q733&lt;9,"Alto",IF(Q733&lt;14,"Médio","Baixo"))))</f>
        <v>Alto</v>
      </c>
      <c r="S733" s="10" t="s">
        <v>63</v>
      </c>
      <c r="T733" s="4" t="str">
        <f>IF(OR(Tabela1[[#This Row],[Grau de Risco]]="Médio",Tabela1[[#This Row],[Grau de Risco]]="Baixo"),"Não","Sim")</f>
        <v>Sim</v>
      </c>
    </row>
    <row r="734" spans="1:20" hidden="1">
      <c r="A734" s="5" t="s">
        <v>8</v>
      </c>
      <c r="B734" s="6" t="s">
        <v>1805</v>
      </c>
      <c r="C734" s="5" t="s">
        <v>26</v>
      </c>
      <c r="D734" s="5" t="s">
        <v>148</v>
      </c>
      <c r="E734" s="2">
        <v>27</v>
      </c>
      <c r="F734" s="2">
        <v>2</v>
      </c>
      <c r="G734" s="2">
        <v>2022</v>
      </c>
      <c r="H734" s="36" t="s">
        <v>33</v>
      </c>
      <c r="I734" s="5" t="s">
        <v>271</v>
      </c>
      <c r="J734" s="5" t="s">
        <v>54</v>
      </c>
      <c r="K734" s="2">
        <v>0</v>
      </c>
      <c r="L734" s="2">
        <v>0</v>
      </c>
      <c r="M734" s="5" t="s">
        <v>30</v>
      </c>
      <c r="N734" s="5">
        <v>0</v>
      </c>
      <c r="O734" s="5" t="s">
        <v>129</v>
      </c>
      <c r="P734" s="2" t="s">
        <v>31</v>
      </c>
      <c r="Q734" s="2">
        <v>13</v>
      </c>
      <c r="R734" s="2" t="s">
        <v>31</v>
      </c>
      <c r="S734" s="5" t="s">
        <v>56</v>
      </c>
      <c r="T734" s="4" t="str">
        <f>IF(OR(Tabela1[[#This Row],[Grau de Risco]]="Médio",Tabela1[[#This Row],[Grau de Risco]]="Baixo"),"Não","Sim")</f>
        <v>Não</v>
      </c>
    </row>
    <row r="735" spans="1:20">
      <c r="A735" s="4" t="s">
        <v>9</v>
      </c>
      <c r="B735" s="10" t="s">
        <v>1809</v>
      </c>
      <c r="C735" s="4" t="s">
        <v>26</v>
      </c>
      <c r="D735" s="38" t="s">
        <v>1320</v>
      </c>
      <c r="E735" s="3">
        <v>6</v>
      </c>
      <c r="F735" s="3">
        <v>6</v>
      </c>
      <c r="G735" s="3">
        <v>2022</v>
      </c>
      <c r="H735" s="36" t="s">
        <v>66</v>
      </c>
      <c r="I735" s="7" t="s">
        <v>291</v>
      </c>
      <c r="J735" s="4" t="s">
        <v>290</v>
      </c>
      <c r="K735" s="3">
        <v>2</v>
      </c>
      <c r="L735" s="3">
        <v>0</v>
      </c>
      <c r="M735" s="4" t="s">
        <v>30</v>
      </c>
      <c r="N735" s="4">
        <v>0</v>
      </c>
      <c r="O735" s="4" t="s">
        <v>129</v>
      </c>
      <c r="P735" s="3" t="s">
        <v>31</v>
      </c>
      <c r="Q735" s="11">
        <v>14</v>
      </c>
      <c r="R735" s="3" t="s">
        <v>52</v>
      </c>
      <c r="S735" s="10" t="s">
        <v>63</v>
      </c>
      <c r="T735" s="4" t="str">
        <f>IF(OR(Tabela1[[#This Row],[Grau de Risco]]="Médio",Tabela1[[#This Row],[Grau de Risco]]="Baixo"),"Não","Sim")</f>
        <v>Não</v>
      </c>
    </row>
    <row r="736" spans="1:20" hidden="1">
      <c r="A736" s="4" t="s">
        <v>8</v>
      </c>
      <c r="B736" s="10" t="s">
        <v>1805</v>
      </c>
      <c r="C736" s="4"/>
      <c r="D736" s="38" t="s">
        <v>1320</v>
      </c>
      <c r="E736" s="3">
        <v>21</v>
      </c>
      <c r="F736" s="3">
        <v>3</v>
      </c>
      <c r="G736" s="3">
        <v>2022</v>
      </c>
      <c r="H736" s="5" t="s">
        <v>48</v>
      </c>
      <c r="I736" s="7" t="s">
        <v>339</v>
      </c>
      <c r="J736" s="4" t="s">
        <v>150</v>
      </c>
      <c r="K736" s="3" t="s">
        <v>62</v>
      </c>
      <c r="L736" s="3">
        <v>0</v>
      </c>
      <c r="M736" s="4" t="s">
        <v>30</v>
      </c>
      <c r="N736" s="4">
        <v>0</v>
      </c>
      <c r="O736" s="4" t="s">
        <v>117</v>
      </c>
      <c r="P736" s="3" t="s">
        <v>52</v>
      </c>
      <c r="Q736" s="11">
        <v>14</v>
      </c>
      <c r="R736" s="3" t="s">
        <v>52</v>
      </c>
      <c r="S736" s="10" t="s">
        <v>141</v>
      </c>
      <c r="T736" s="4" t="str">
        <f>IF(OR(Tabela1[[#This Row],[Grau de Risco]]="Médio",Tabela1[[#This Row],[Grau de Risco]]="Baixo"),"Não","Sim")</f>
        <v>Não</v>
      </c>
    </row>
    <row r="737" spans="1:20" hidden="1">
      <c r="A737" s="4" t="s">
        <v>2</v>
      </c>
      <c r="B737" s="10" t="s">
        <v>1805</v>
      </c>
      <c r="C737" s="4" t="s">
        <v>81</v>
      </c>
      <c r="D737" s="38" t="s">
        <v>1382</v>
      </c>
      <c r="E737" s="3">
        <v>19</v>
      </c>
      <c r="F737" s="3">
        <v>4</v>
      </c>
      <c r="G737" s="3">
        <v>2023</v>
      </c>
      <c r="H737" s="36" t="s">
        <v>82</v>
      </c>
      <c r="I737" s="7" t="s">
        <v>446</v>
      </c>
      <c r="J737" s="4" t="s">
        <v>54</v>
      </c>
      <c r="K737" s="3">
        <v>1</v>
      </c>
      <c r="L737" s="3">
        <v>0</v>
      </c>
      <c r="M737" s="4" t="s">
        <v>30</v>
      </c>
      <c r="N737" s="4">
        <v>0</v>
      </c>
      <c r="O737" s="4" t="s">
        <v>85</v>
      </c>
      <c r="P737" s="3" t="s">
        <v>31</v>
      </c>
      <c r="Q737" s="11">
        <v>13</v>
      </c>
      <c r="R737" s="2" t="s">
        <v>31</v>
      </c>
      <c r="S737" s="5" t="s">
        <v>40</v>
      </c>
      <c r="T737" s="4" t="str">
        <f>IF(OR(Tabela1[[#This Row],[Grau de Risco]]="Médio",Tabela1[[#This Row],[Grau de Risco]]="Baixo"),"Não","Sim")</f>
        <v>Não</v>
      </c>
    </row>
    <row r="738" spans="1:20">
      <c r="A738" s="4" t="s">
        <v>240</v>
      </c>
      <c r="B738" s="10" t="s">
        <v>1809</v>
      </c>
      <c r="C738" s="4" t="s">
        <v>81</v>
      </c>
      <c r="D738" s="38" t="s">
        <v>1320</v>
      </c>
      <c r="E738" s="3">
        <v>13</v>
      </c>
      <c r="F738" s="3">
        <v>2</v>
      </c>
      <c r="G738" s="3">
        <v>2023</v>
      </c>
      <c r="H738" s="34" t="s">
        <v>59</v>
      </c>
      <c r="I738" s="7" t="s">
        <v>1823</v>
      </c>
      <c r="J738" s="4" t="s">
        <v>135</v>
      </c>
      <c r="K738" s="3">
        <v>0</v>
      </c>
      <c r="L738" s="3">
        <v>6000</v>
      </c>
      <c r="M738" s="4" t="s">
        <v>30</v>
      </c>
      <c r="N738" s="4"/>
      <c r="O738" s="4" t="s">
        <v>74</v>
      </c>
      <c r="P738" s="3" t="s">
        <v>102</v>
      </c>
      <c r="Q738" s="11">
        <v>2</v>
      </c>
      <c r="R738" s="3" t="str">
        <f>IF(Q738="","",IF(Q738&lt;4,"Crítico",IF(Q738&lt;9,"Alto",IF(Q738&lt;14,"Médio","Baixo"))))</f>
        <v>Crítico</v>
      </c>
      <c r="S738" s="10" t="s">
        <v>141</v>
      </c>
      <c r="T738" s="4" t="str">
        <f>IF(OR(Tabela1[[#This Row],[Grau de Risco]]="Médio",Tabela1[[#This Row],[Grau de Risco]]="Baixo"),"Não","Sim")</f>
        <v>Sim</v>
      </c>
    </row>
    <row r="739" spans="1:20" hidden="1">
      <c r="A739" s="46" t="s">
        <v>10</v>
      </c>
      <c r="B739" s="23" t="s">
        <v>1793</v>
      </c>
      <c r="C739" s="5" t="s">
        <v>26</v>
      </c>
      <c r="D739" s="38" t="s">
        <v>47</v>
      </c>
      <c r="E739" s="3">
        <v>30</v>
      </c>
      <c r="F739" s="3">
        <v>6</v>
      </c>
      <c r="G739" s="3">
        <v>2023</v>
      </c>
      <c r="H739" s="34" t="s">
        <v>59</v>
      </c>
      <c r="I739" s="7" t="s">
        <v>513</v>
      </c>
      <c r="J739" s="4" t="s">
        <v>54</v>
      </c>
      <c r="K739" s="3">
        <v>0</v>
      </c>
      <c r="L739" s="3">
        <v>0</v>
      </c>
      <c r="M739" s="4" t="s">
        <v>30</v>
      </c>
      <c r="N739" s="4">
        <v>0</v>
      </c>
      <c r="O739" s="4" t="s">
        <v>101</v>
      </c>
      <c r="P739" s="3" t="s">
        <v>102</v>
      </c>
      <c r="Q739" s="11">
        <v>5</v>
      </c>
      <c r="R739" s="3" t="s">
        <v>102</v>
      </c>
      <c r="S739" s="10" t="s">
        <v>63</v>
      </c>
      <c r="T739" s="4" t="str">
        <f>IF(OR(Tabela1[[#This Row],[Grau de Risco]]="Médio",Tabela1[[#This Row],[Grau de Risco]]="Baixo"),"Não","Sim")</f>
        <v>Sim</v>
      </c>
    </row>
    <row r="740" spans="1:20" hidden="1">
      <c r="A740" s="4" t="s">
        <v>7</v>
      </c>
      <c r="B740" s="10" t="s">
        <v>1805</v>
      </c>
      <c r="C740" s="4" t="s">
        <v>133</v>
      </c>
      <c r="D740" s="38" t="s">
        <v>1320</v>
      </c>
      <c r="E740" s="3">
        <v>27</v>
      </c>
      <c r="F740" s="3">
        <v>2</v>
      </c>
      <c r="G740" s="3">
        <v>2023</v>
      </c>
      <c r="H740" s="36" t="s">
        <v>66</v>
      </c>
      <c r="I740" s="7" t="s">
        <v>530</v>
      </c>
      <c r="J740" s="4" t="s">
        <v>61</v>
      </c>
      <c r="K740" s="3" t="s">
        <v>62</v>
      </c>
      <c r="L740" s="3" t="s">
        <v>44</v>
      </c>
      <c r="M740" s="4" t="s">
        <v>30</v>
      </c>
      <c r="N740" s="4"/>
      <c r="O740" s="4" t="s">
        <v>396</v>
      </c>
      <c r="P740" s="3"/>
      <c r="Q740" s="11">
        <v>7</v>
      </c>
      <c r="R740" s="3" t="str">
        <f>IF(Q740="","",IF(Q740&lt;4,"Crítico",IF(Q740&lt;9,"Alto",IF(Q740&lt;14,"Médio","Baixo"))))</f>
        <v>Alto</v>
      </c>
      <c r="S740" s="10" t="s">
        <v>63</v>
      </c>
      <c r="T740" s="4" t="str">
        <f>IF(OR(Tabela1[[#This Row],[Grau de Risco]]="Médio",Tabela1[[#This Row],[Grau de Risco]]="Baixo"),"Não","Sim")</f>
        <v>Sim</v>
      </c>
    </row>
    <row r="741" spans="1:20" hidden="1">
      <c r="A741" s="4" t="s">
        <v>7</v>
      </c>
      <c r="B741" s="10" t="s">
        <v>1805</v>
      </c>
      <c r="C741" s="4" t="s">
        <v>89</v>
      </c>
      <c r="D741" s="58" t="s">
        <v>1409</v>
      </c>
      <c r="E741" s="3">
        <v>17</v>
      </c>
      <c r="F741" s="3">
        <v>8</v>
      </c>
      <c r="G741" s="3">
        <v>2023</v>
      </c>
      <c r="H741" s="36" t="s">
        <v>112</v>
      </c>
      <c r="I741" s="7" t="s">
        <v>540</v>
      </c>
      <c r="J741" s="4" t="s">
        <v>111</v>
      </c>
      <c r="K741" s="3" t="s">
        <v>62</v>
      </c>
      <c r="L741" s="3"/>
      <c r="M741" s="4"/>
      <c r="N741" s="4"/>
      <c r="O741" s="4" t="s">
        <v>312</v>
      </c>
      <c r="P741" s="3" t="s">
        <v>31</v>
      </c>
      <c r="Q741" s="11">
        <v>2</v>
      </c>
      <c r="R741" s="3" t="str">
        <f>IF(Q741="","",IF(Q741&lt;4,"Crítico",IF(Q741&lt;9,"Alto",IF(Q741&lt;14,"Médio","Baixo"))))</f>
        <v>Crítico</v>
      </c>
      <c r="S741" s="10" t="s">
        <v>63</v>
      </c>
      <c r="T741" s="4" t="str">
        <f>IF(OR(Tabela1[[#This Row],[Grau de Risco]]="Médio",Tabela1[[#This Row],[Grau de Risco]]="Baixo"),"Não","Sim")</f>
        <v>Sim</v>
      </c>
    </row>
    <row r="742" spans="1:20">
      <c r="A742" s="4" t="s">
        <v>8</v>
      </c>
      <c r="B742" s="10" t="s">
        <v>1809</v>
      </c>
      <c r="C742" s="4" t="s">
        <v>252</v>
      </c>
      <c r="D742" s="38" t="s">
        <v>1393</v>
      </c>
      <c r="E742" s="3">
        <v>1</v>
      </c>
      <c r="F742" s="3">
        <v>8</v>
      </c>
      <c r="G742" s="3">
        <v>2023</v>
      </c>
      <c r="H742" s="36" t="s">
        <v>82</v>
      </c>
      <c r="I742" s="7" t="s">
        <v>556</v>
      </c>
      <c r="J742" s="4" t="s">
        <v>79</v>
      </c>
      <c r="K742" s="3" t="s">
        <v>62</v>
      </c>
      <c r="L742" s="3">
        <v>0</v>
      </c>
      <c r="M742" s="4" t="s">
        <v>30</v>
      </c>
      <c r="N742" s="4">
        <v>0</v>
      </c>
      <c r="O742" s="4" t="s">
        <v>45</v>
      </c>
      <c r="P742" s="3" t="s">
        <v>52</v>
      </c>
      <c r="Q742" s="11">
        <v>15</v>
      </c>
      <c r="R742" s="3" t="s">
        <v>52</v>
      </c>
      <c r="S742" s="5" t="s">
        <v>56</v>
      </c>
      <c r="T742" s="4" t="str">
        <f>IF(OR(Tabela1[[#This Row],[Grau de Risco]]="Médio",Tabela1[[#This Row],[Grau de Risco]]="Baixo"),"Não","Sim")</f>
        <v>Não</v>
      </c>
    </row>
    <row r="743" spans="1:20">
      <c r="A743" s="4" t="s">
        <v>2</v>
      </c>
      <c r="B743" s="10" t="s">
        <v>1809</v>
      </c>
      <c r="C743" s="4" t="s">
        <v>252</v>
      </c>
      <c r="D743" s="58" t="s">
        <v>1409</v>
      </c>
      <c r="E743" s="3">
        <v>10</v>
      </c>
      <c r="F743" s="3">
        <v>8</v>
      </c>
      <c r="G743" s="3">
        <v>2023</v>
      </c>
      <c r="H743" s="36" t="s">
        <v>107</v>
      </c>
      <c r="I743" s="7" t="s">
        <v>557</v>
      </c>
      <c r="J743" s="4" t="s">
        <v>79</v>
      </c>
      <c r="K743" s="3">
        <v>5</v>
      </c>
      <c r="L743" s="3">
        <v>0</v>
      </c>
      <c r="M743" s="4" t="s">
        <v>30</v>
      </c>
      <c r="N743" s="4">
        <v>0</v>
      </c>
      <c r="O743" s="4" t="s">
        <v>45</v>
      </c>
      <c r="P743" s="3" t="s">
        <v>31</v>
      </c>
      <c r="Q743" s="11">
        <v>11</v>
      </c>
      <c r="R743" s="3" t="s">
        <v>31</v>
      </c>
      <c r="S743" s="5" t="s">
        <v>56</v>
      </c>
      <c r="T743" s="4" t="str">
        <f>IF(OR(Tabela1[[#This Row],[Grau de Risco]]="Médio",Tabela1[[#This Row],[Grau de Risco]]="Baixo"),"Não","Sim")</f>
        <v>Não</v>
      </c>
    </row>
    <row r="744" spans="1:20">
      <c r="A744" s="4" t="s">
        <v>2</v>
      </c>
      <c r="B744" s="10" t="s">
        <v>1809</v>
      </c>
      <c r="C744" s="4" t="s">
        <v>89</v>
      </c>
      <c r="D744" s="38" t="s">
        <v>1382</v>
      </c>
      <c r="E744" s="3">
        <v>12</v>
      </c>
      <c r="F744" s="3">
        <v>4</v>
      </c>
      <c r="G744" s="3">
        <v>2023</v>
      </c>
      <c r="H744" s="4" t="s">
        <v>27</v>
      </c>
      <c r="I744" s="7" t="s">
        <v>584</v>
      </c>
      <c r="J744" s="4" t="s">
        <v>192</v>
      </c>
      <c r="K744" s="3">
        <v>2</v>
      </c>
      <c r="L744" s="3">
        <v>0</v>
      </c>
      <c r="M744" s="4" t="s">
        <v>30</v>
      </c>
      <c r="N744" s="4"/>
      <c r="O744" s="4" t="s">
        <v>4</v>
      </c>
      <c r="P744" s="3" t="s">
        <v>52</v>
      </c>
      <c r="Q744" s="11">
        <v>14</v>
      </c>
      <c r="R744" s="3" t="str">
        <f>IF(Q744="","",IF(Q744&lt;4,"Crítico",IF(Q744&lt;9,"Alto",IF(Q744&lt;14,"Médio","Baixo"))))</f>
        <v>Baixo</v>
      </c>
      <c r="S744" s="5" t="s">
        <v>56</v>
      </c>
      <c r="T744" s="4" t="str">
        <f>IF(OR(Tabela1[[#This Row],[Grau de Risco]]="Médio",Tabela1[[#This Row],[Grau de Risco]]="Baixo"),"Não","Sim")</f>
        <v>Não</v>
      </c>
    </row>
    <row r="745" spans="1:20">
      <c r="A745" s="5" t="s">
        <v>7</v>
      </c>
      <c r="B745" s="10" t="s">
        <v>1809</v>
      </c>
      <c r="C745" s="28" t="s">
        <v>81</v>
      </c>
      <c r="D745" s="54" t="s">
        <v>148</v>
      </c>
      <c r="E745" s="55">
        <v>24</v>
      </c>
      <c r="F745" s="55">
        <v>11</v>
      </c>
      <c r="G745" s="55">
        <v>2024</v>
      </c>
      <c r="H745" s="5" t="s">
        <v>71</v>
      </c>
      <c r="I745" s="7" t="s">
        <v>1664</v>
      </c>
      <c r="J745" s="4" t="s">
        <v>54</v>
      </c>
      <c r="K745" s="3" t="s">
        <v>44</v>
      </c>
      <c r="L745" s="3" t="s">
        <v>30</v>
      </c>
      <c r="M745" s="4" t="s">
        <v>30</v>
      </c>
      <c r="N745" s="4" t="s">
        <v>44</v>
      </c>
      <c r="O745" s="28"/>
      <c r="P745" s="32"/>
      <c r="Q745" s="35">
        <v>11</v>
      </c>
      <c r="R745" s="3" t="s">
        <v>31</v>
      </c>
      <c r="S745" s="33" t="s">
        <v>178</v>
      </c>
      <c r="T745" s="4" t="str">
        <f>IF(OR(Tabela1[[#This Row],[Grau de Risco]]="Médio",Tabela1[[#This Row],[Grau de Risco]]="Baixo"),"Não","Sim")</f>
        <v>Não</v>
      </c>
    </row>
    <row r="746" spans="1:20" hidden="1">
      <c r="A746" s="4" t="s">
        <v>7</v>
      </c>
      <c r="B746" s="10" t="s">
        <v>1805</v>
      </c>
      <c r="C746" s="4" t="s">
        <v>252</v>
      </c>
      <c r="D746" s="38" t="s">
        <v>1393</v>
      </c>
      <c r="E746" s="3">
        <v>22</v>
      </c>
      <c r="F746" s="3">
        <v>10</v>
      </c>
      <c r="G746" s="3">
        <v>2024</v>
      </c>
      <c r="I746" s="7" t="s">
        <v>768</v>
      </c>
      <c r="J746" s="4" t="s">
        <v>73</v>
      </c>
      <c r="K746" s="3"/>
      <c r="L746" s="3"/>
      <c r="M746" s="4"/>
      <c r="N746" s="4"/>
      <c r="O746" s="4" t="s">
        <v>527</v>
      </c>
      <c r="P746" s="3"/>
      <c r="Q746" s="11">
        <v>16</v>
      </c>
      <c r="R746" s="3" t="s">
        <v>52</v>
      </c>
      <c r="S746" s="10" t="s">
        <v>63</v>
      </c>
      <c r="T746" s="4" t="str">
        <f>IF(OR(Tabela1[[#This Row],[Grau de Risco]]="Médio",Tabela1[[#This Row],[Grau de Risco]]="Baixo"),"Não","Sim")</f>
        <v>Não</v>
      </c>
    </row>
    <row r="747" spans="1:20" hidden="1">
      <c r="A747" s="4" t="s">
        <v>2</v>
      </c>
      <c r="B747" s="10" t="s">
        <v>1800</v>
      </c>
      <c r="C747" s="4" t="s">
        <v>81</v>
      </c>
      <c r="D747" s="38" t="s">
        <v>47</v>
      </c>
      <c r="E747" s="3">
        <v>29</v>
      </c>
      <c r="F747" s="3">
        <v>3</v>
      </c>
      <c r="G747" s="3">
        <v>2024</v>
      </c>
      <c r="H747" s="36" t="s">
        <v>82</v>
      </c>
      <c r="I747" s="7" t="s">
        <v>844</v>
      </c>
      <c r="J747" s="4" t="s">
        <v>35</v>
      </c>
      <c r="K747" s="3">
        <v>7</v>
      </c>
      <c r="L747" s="3" t="s">
        <v>80</v>
      </c>
      <c r="M747" s="4" t="s">
        <v>30</v>
      </c>
      <c r="N747" s="4" t="s">
        <v>80</v>
      </c>
      <c r="O747" s="4" t="s">
        <v>4</v>
      </c>
      <c r="P747" s="3" t="s">
        <v>52</v>
      </c>
      <c r="Q747" s="11">
        <v>16</v>
      </c>
      <c r="R747" s="3" t="str">
        <f>IF(Q747="","",IF(Q747&lt;4,"Alto",IF(Q747&lt;9,"Alto",IF(Q747&lt;14,"Médio","Baixo"))))</f>
        <v>Baixo</v>
      </c>
      <c r="S747" s="10" t="s">
        <v>4</v>
      </c>
      <c r="T747" s="4" t="str">
        <f>IF(OR(Tabela1[[#This Row],[Grau de Risco]]="Médio",Tabela1[[#This Row],[Grau de Risco]]="Baixo"),"Não","Sim")</f>
        <v>Não</v>
      </c>
    </row>
    <row r="748" spans="1:20">
      <c r="A748" s="5" t="s">
        <v>7</v>
      </c>
      <c r="B748" s="10" t="s">
        <v>1809</v>
      </c>
      <c r="C748" s="28" t="s">
        <v>81</v>
      </c>
      <c r="D748" s="58" t="s">
        <v>1409</v>
      </c>
      <c r="E748" s="32">
        <v>26</v>
      </c>
      <c r="F748" s="32">
        <v>9</v>
      </c>
      <c r="G748" s="32">
        <v>2024</v>
      </c>
      <c r="H748" s="36" t="s">
        <v>82</v>
      </c>
      <c r="I748" s="29" t="s">
        <v>848</v>
      </c>
      <c r="J748" s="28" t="s">
        <v>54</v>
      </c>
      <c r="K748" s="3" t="s">
        <v>44</v>
      </c>
      <c r="L748" s="32" t="s">
        <v>30</v>
      </c>
      <c r="M748" s="28" t="s">
        <v>30</v>
      </c>
      <c r="N748" s="28" t="s">
        <v>44</v>
      </c>
      <c r="O748" s="28" t="s">
        <v>44</v>
      </c>
      <c r="P748" s="32"/>
      <c r="Q748" s="35">
        <v>7</v>
      </c>
      <c r="R748" s="3" t="s">
        <v>102</v>
      </c>
      <c r="S748" s="5" t="s">
        <v>40</v>
      </c>
      <c r="T748" s="4" t="str">
        <f>IF(OR(Tabela1[[#This Row],[Grau de Risco]]="Médio",Tabela1[[#This Row],[Grau de Risco]]="Baixo"),"Não","Sim")</f>
        <v>Sim</v>
      </c>
    </row>
    <row r="749" spans="1:20">
      <c r="A749" s="4" t="s">
        <v>7</v>
      </c>
      <c r="B749" s="10" t="s">
        <v>1809</v>
      </c>
      <c r="C749" s="4" t="s">
        <v>41</v>
      </c>
      <c r="D749" s="38" t="s">
        <v>1320</v>
      </c>
      <c r="E749" s="3">
        <v>12</v>
      </c>
      <c r="F749" s="3">
        <v>8</v>
      </c>
      <c r="G749" s="3">
        <v>2024</v>
      </c>
      <c r="H749" s="36" t="s">
        <v>66</v>
      </c>
      <c r="I749" s="7" t="s">
        <v>872</v>
      </c>
      <c r="J749" s="4" t="s">
        <v>61</v>
      </c>
      <c r="K749" s="3" t="s">
        <v>62</v>
      </c>
      <c r="L749" s="3"/>
      <c r="M749" s="4"/>
      <c r="N749" s="4"/>
      <c r="O749" s="4" t="s">
        <v>77</v>
      </c>
      <c r="P749" s="3"/>
      <c r="Q749" s="11">
        <v>15</v>
      </c>
      <c r="R749" s="3" t="s">
        <v>52</v>
      </c>
      <c r="S749" s="10" t="s">
        <v>63</v>
      </c>
      <c r="T749" s="4" t="str">
        <f>IF(OR(Tabela1[[#This Row],[Grau de Risco]]="Médio",Tabela1[[#This Row],[Grau de Risco]]="Baixo"),"Não","Sim")</f>
        <v>Não</v>
      </c>
    </row>
    <row r="750" spans="1:20">
      <c r="A750" s="4" t="s">
        <v>2</v>
      </c>
      <c r="B750" s="10" t="s">
        <v>1809</v>
      </c>
      <c r="C750" s="4" t="s">
        <v>252</v>
      </c>
      <c r="D750" s="38" t="s">
        <v>1320</v>
      </c>
      <c r="E750" s="3">
        <v>25</v>
      </c>
      <c r="F750" s="3">
        <v>11</v>
      </c>
      <c r="G750" s="3">
        <v>2024</v>
      </c>
      <c r="H750" s="5" t="s">
        <v>71</v>
      </c>
      <c r="I750" s="7" t="s">
        <v>876</v>
      </c>
      <c r="J750" s="4" t="s">
        <v>35</v>
      </c>
      <c r="K750" s="3">
        <v>30</v>
      </c>
      <c r="L750" s="3">
        <v>0</v>
      </c>
      <c r="M750" s="4" t="s">
        <v>30</v>
      </c>
      <c r="N750" s="4"/>
      <c r="O750" s="4" t="s">
        <v>45</v>
      </c>
      <c r="P750" s="3" t="s">
        <v>52</v>
      </c>
      <c r="Q750" s="11">
        <v>2</v>
      </c>
      <c r="R750" s="3" t="str">
        <f>IF(Q750="","",IF(Q750&lt;4,"Crítico",IF(Q750&lt;9,"Alto",IF(Q750&lt;14,"Médio","Baixo"))))</f>
        <v>Crítico</v>
      </c>
      <c r="S750" s="5" t="s">
        <v>56</v>
      </c>
      <c r="T750" s="4" t="str">
        <f>IF(OR(Tabela1[[#This Row],[Grau de Risco]]="Médio",Tabela1[[#This Row],[Grau de Risco]]="Baixo"),"Não","Sim")</f>
        <v>Sim</v>
      </c>
    </row>
    <row r="751" spans="1:20" hidden="1">
      <c r="A751" s="4" t="s">
        <v>2</v>
      </c>
      <c r="B751" s="10" t="s">
        <v>1800</v>
      </c>
      <c r="C751" s="4" t="s">
        <v>81</v>
      </c>
      <c r="D751" s="38" t="s">
        <v>1320</v>
      </c>
      <c r="E751" s="3">
        <v>1</v>
      </c>
      <c r="F751" s="3">
        <v>4</v>
      </c>
      <c r="G751" s="3">
        <v>2024</v>
      </c>
      <c r="H751" s="4" t="s">
        <v>86</v>
      </c>
      <c r="I751" s="7" t="s">
        <v>897</v>
      </c>
      <c r="J751" s="4" t="s">
        <v>61</v>
      </c>
      <c r="K751" s="3">
        <v>7</v>
      </c>
      <c r="L751" s="3">
        <v>0</v>
      </c>
      <c r="M751" s="4" t="s">
        <v>30</v>
      </c>
      <c r="N751" s="4">
        <v>0</v>
      </c>
      <c r="O751" s="4" t="s">
        <v>45</v>
      </c>
      <c r="P751" s="3" t="s">
        <v>31</v>
      </c>
      <c r="Q751" s="11">
        <v>11</v>
      </c>
      <c r="R751" s="3" t="s">
        <v>31</v>
      </c>
      <c r="S751" s="10" t="s">
        <v>63</v>
      </c>
      <c r="T751" s="4" t="str">
        <f>IF(OR(Tabela1[[#This Row],[Grau de Risco]]="Médio",Tabela1[[#This Row],[Grau de Risco]]="Baixo"),"Não","Sim")</f>
        <v>Não</v>
      </c>
    </row>
    <row r="752" spans="1:20" hidden="1">
      <c r="A752" s="43" t="s">
        <v>9</v>
      </c>
      <c r="B752" s="43" t="s">
        <v>1800</v>
      </c>
      <c r="C752" s="43" t="s">
        <v>81</v>
      </c>
      <c r="D752" s="38" t="s">
        <v>1320</v>
      </c>
      <c r="E752" s="51">
        <v>26</v>
      </c>
      <c r="F752" s="51">
        <v>8</v>
      </c>
      <c r="G752" s="51">
        <v>2024</v>
      </c>
      <c r="H752" s="60" t="s">
        <v>109</v>
      </c>
      <c r="I752" s="43" t="s">
        <v>903</v>
      </c>
      <c r="J752" s="43" t="s">
        <v>79</v>
      </c>
      <c r="K752" s="43">
        <v>4</v>
      </c>
      <c r="L752" s="43" t="s">
        <v>80</v>
      </c>
      <c r="M752" s="43" t="s">
        <v>30</v>
      </c>
      <c r="N752" s="43"/>
      <c r="O752" s="43" t="s">
        <v>904</v>
      </c>
      <c r="P752" s="38" t="s">
        <v>31</v>
      </c>
      <c r="Q752" s="38">
        <v>7</v>
      </c>
      <c r="R752" s="3" t="s">
        <v>102</v>
      </c>
      <c r="S752" s="38" t="s">
        <v>63</v>
      </c>
      <c r="T752" s="4" t="str">
        <f>IF(OR(Tabela1[[#This Row],[Grau de Risco]]="Médio",Tabela1[[#This Row],[Grau de Risco]]="Baixo"),"Não","Sim")</f>
        <v>Sim</v>
      </c>
    </row>
    <row r="753" spans="1:20">
      <c r="A753" s="4" t="s">
        <v>7</v>
      </c>
      <c r="B753" s="10" t="s">
        <v>1809</v>
      </c>
      <c r="C753" s="4" t="s">
        <v>46</v>
      </c>
      <c r="D753" s="5" t="s">
        <v>148</v>
      </c>
      <c r="E753" s="3">
        <v>14</v>
      </c>
      <c r="F753" s="3">
        <v>7</v>
      </c>
      <c r="G753" s="3">
        <v>2024</v>
      </c>
      <c r="H753" s="59" t="s">
        <v>516</v>
      </c>
      <c r="I753" s="7" t="s">
        <v>1665</v>
      </c>
      <c r="J753" s="4" t="s">
        <v>79</v>
      </c>
      <c r="K753" s="3" t="s">
        <v>44</v>
      </c>
      <c r="L753" s="3" t="s">
        <v>44</v>
      </c>
      <c r="M753" s="4"/>
      <c r="N753" s="4" t="s">
        <v>44</v>
      </c>
      <c r="O753" s="4"/>
      <c r="P753" s="3"/>
      <c r="Q753" s="11">
        <v>4</v>
      </c>
      <c r="R753" s="3" t="s">
        <v>102</v>
      </c>
      <c r="S753" s="5" t="s">
        <v>40</v>
      </c>
      <c r="T753" s="4" t="str">
        <f>IF(OR(Tabela1[[#This Row],[Grau de Risco]]="Médio",Tabela1[[#This Row],[Grau de Risco]]="Baixo"),"Não","Sim")</f>
        <v>Sim</v>
      </c>
    </row>
    <row r="754" spans="1:20" hidden="1">
      <c r="A754" s="4" t="s">
        <v>10</v>
      </c>
      <c r="B754" s="10" t="s">
        <v>1797</v>
      </c>
      <c r="C754" s="4" t="s">
        <v>26</v>
      </c>
      <c r="D754" s="38" t="s">
        <v>47</v>
      </c>
      <c r="E754" s="3">
        <v>22</v>
      </c>
      <c r="F754" s="3">
        <v>3</v>
      </c>
      <c r="G754" s="3">
        <v>2024</v>
      </c>
      <c r="H754" s="36" t="s">
        <v>33</v>
      </c>
      <c r="I754" s="7" t="s">
        <v>924</v>
      </c>
      <c r="J754" s="4" t="s">
        <v>111</v>
      </c>
      <c r="K754" s="3">
        <v>0</v>
      </c>
      <c r="L754" s="3">
        <v>0</v>
      </c>
      <c r="M754" s="4" t="s">
        <v>30</v>
      </c>
      <c r="N754" s="4">
        <v>0</v>
      </c>
      <c r="O754" s="4" t="s">
        <v>55</v>
      </c>
      <c r="P754" s="3" t="s">
        <v>52</v>
      </c>
      <c r="Q754" s="11">
        <v>15</v>
      </c>
      <c r="R754" s="3" t="s">
        <v>52</v>
      </c>
      <c r="S754" s="10" t="s">
        <v>4</v>
      </c>
      <c r="T754" s="4" t="str">
        <f>IF(OR(Tabela1[[#This Row],[Grau de Risco]]="Médio",Tabela1[[#This Row],[Grau de Risco]]="Baixo"),"Não","Sim")</f>
        <v>Não</v>
      </c>
    </row>
    <row r="755" spans="1:20" hidden="1">
      <c r="A755" s="4" t="s">
        <v>10</v>
      </c>
      <c r="B755" s="10" t="s">
        <v>1793</v>
      </c>
      <c r="C755" s="4" t="s">
        <v>133</v>
      </c>
      <c r="D755" s="38" t="s">
        <v>1320</v>
      </c>
      <c r="E755" s="3">
        <v>15</v>
      </c>
      <c r="F755" s="3">
        <v>1</v>
      </c>
      <c r="G755" s="3">
        <v>2024</v>
      </c>
      <c r="H755" s="4" t="s">
        <v>27</v>
      </c>
      <c r="I755" s="7" t="s">
        <v>956</v>
      </c>
      <c r="J755" s="4" t="s">
        <v>35</v>
      </c>
      <c r="K755" s="3" t="s">
        <v>44</v>
      </c>
      <c r="L755" s="3" t="s">
        <v>44</v>
      </c>
      <c r="M755" s="4" t="s">
        <v>30</v>
      </c>
      <c r="N755" s="4" t="s">
        <v>44</v>
      </c>
      <c r="O755" s="4" t="s">
        <v>55</v>
      </c>
      <c r="P755" s="3" t="s">
        <v>52</v>
      </c>
      <c r="Q755" s="11">
        <v>14</v>
      </c>
      <c r="R755" s="3" t="s">
        <v>52</v>
      </c>
      <c r="S755" s="10" t="s">
        <v>32</v>
      </c>
      <c r="T755" s="4" t="str">
        <f>IF(OR(Tabela1[[#This Row],[Grau de Risco]]="Médio",Tabela1[[#This Row],[Grau de Risco]]="Baixo"),"Não","Sim")</f>
        <v>Não</v>
      </c>
    </row>
    <row r="756" spans="1:20">
      <c r="A756" s="4" t="s">
        <v>7</v>
      </c>
      <c r="B756" s="10" t="s">
        <v>1809</v>
      </c>
      <c r="C756" s="4" t="s">
        <v>26</v>
      </c>
      <c r="D756" s="38" t="s">
        <v>47</v>
      </c>
      <c r="E756" s="3">
        <v>13</v>
      </c>
      <c r="F756" s="3">
        <v>12</v>
      </c>
      <c r="G756" s="3">
        <v>2024</v>
      </c>
      <c r="H756" s="5" t="s">
        <v>675</v>
      </c>
      <c r="I756" s="7" t="s">
        <v>978</v>
      </c>
      <c r="J756" s="4" t="s">
        <v>135</v>
      </c>
      <c r="K756" s="3"/>
      <c r="L756" s="3"/>
      <c r="M756" s="4"/>
      <c r="N756" s="4"/>
      <c r="O756" s="4" t="s">
        <v>301</v>
      </c>
      <c r="P756" s="3"/>
      <c r="Q756" s="11">
        <v>5</v>
      </c>
      <c r="R756" s="3" t="s">
        <v>102</v>
      </c>
      <c r="S756" s="10" t="s">
        <v>63</v>
      </c>
      <c r="T756" s="4" t="str">
        <f>IF(OR(Tabela1[[#This Row],[Grau de Risco]]="Médio",Tabela1[[#This Row],[Grau de Risco]]="Baixo"),"Não","Sim")</f>
        <v>Sim</v>
      </c>
    </row>
    <row r="757" spans="1:20" hidden="1">
      <c r="A757" s="5" t="s">
        <v>7</v>
      </c>
      <c r="B757" s="38" t="s">
        <v>1800</v>
      </c>
      <c r="C757" s="38" t="s">
        <v>41</v>
      </c>
      <c r="D757" s="58" t="s">
        <v>1409</v>
      </c>
      <c r="E757" s="50">
        <v>8</v>
      </c>
      <c r="F757" s="50">
        <v>8</v>
      </c>
      <c r="G757" s="50">
        <v>2024</v>
      </c>
      <c r="H757" s="38" t="s">
        <v>463</v>
      </c>
      <c r="I757" s="38" t="s">
        <v>1002</v>
      </c>
      <c r="J757" s="38" t="s">
        <v>54</v>
      </c>
      <c r="K757" s="3" t="s">
        <v>44</v>
      </c>
      <c r="L757" s="38" t="s">
        <v>80</v>
      </c>
      <c r="M757" s="38" t="s">
        <v>30</v>
      </c>
      <c r="N757" s="38" t="s">
        <v>80</v>
      </c>
      <c r="O757" s="38" t="s">
        <v>99</v>
      </c>
      <c r="P757" s="38"/>
      <c r="Q757" s="38">
        <v>10</v>
      </c>
      <c r="R757" s="32" t="s">
        <v>31</v>
      </c>
      <c r="S757" s="38" t="s">
        <v>4</v>
      </c>
      <c r="T757" s="4" t="str">
        <f>IF(OR(Tabela1[[#This Row],[Grau de Risco]]="Médio",Tabela1[[#This Row],[Grau de Risco]]="Baixo"),"Não","Sim")</f>
        <v>Não</v>
      </c>
    </row>
    <row r="758" spans="1:20" hidden="1">
      <c r="A758" s="5" t="s">
        <v>7</v>
      </c>
      <c r="B758" s="38" t="s">
        <v>1800</v>
      </c>
      <c r="C758" s="38" t="s">
        <v>252</v>
      </c>
      <c r="D758" s="38" t="s">
        <v>1382</v>
      </c>
      <c r="E758" s="50">
        <v>28</v>
      </c>
      <c r="F758" s="50">
        <v>8</v>
      </c>
      <c r="G758" s="50">
        <v>2024</v>
      </c>
      <c r="H758" s="38" t="s">
        <v>256</v>
      </c>
      <c r="I758" s="38" t="s">
        <v>1005</v>
      </c>
      <c r="J758" s="38" t="s">
        <v>54</v>
      </c>
      <c r="K758" s="3" t="s">
        <v>44</v>
      </c>
      <c r="L758" s="38" t="s">
        <v>80</v>
      </c>
      <c r="M758" s="38" t="s">
        <v>30</v>
      </c>
      <c r="N758" s="38" t="s">
        <v>80</v>
      </c>
      <c r="O758" s="38" t="s">
        <v>77</v>
      </c>
      <c r="P758" s="38"/>
      <c r="Q758" s="38">
        <v>16</v>
      </c>
      <c r="R758" s="3" t="s">
        <v>52</v>
      </c>
      <c r="S758" s="38" t="s">
        <v>63</v>
      </c>
      <c r="T758" s="4" t="str">
        <f>IF(OR(Tabela1[[#This Row],[Grau de Risco]]="Médio",Tabela1[[#This Row],[Grau de Risco]]="Baixo"),"Não","Sim")</f>
        <v>Não</v>
      </c>
    </row>
    <row r="759" spans="1:20" hidden="1">
      <c r="A759" s="5" t="s">
        <v>7</v>
      </c>
      <c r="B759" s="10" t="s">
        <v>1800</v>
      </c>
      <c r="C759" s="4" t="s">
        <v>252</v>
      </c>
      <c r="D759" s="38" t="s">
        <v>47</v>
      </c>
      <c r="E759" s="3">
        <v>4</v>
      </c>
      <c r="F759" s="3">
        <v>10</v>
      </c>
      <c r="G759" s="3">
        <v>2024</v>
      </c>
      <c r="H759" s="36" t="s">
        <v>33</v>
      </c>
      <c r="I759" s="7" t="s">
        <v>1011</v>
      </c>
      <c r="J759" s="4" t="s">
        <v>54</v>
      </c>
      <c r="K759" s="3" t="s">
        <v>80</v>
      </c>
      <c r="L759" s="3" t="s">
        <v>80</v>
      </c>
      <c r="M759" s="4" t="s">
        <v>30</v>
      </c>
      <c r="N759" s="4" t="s">
        <v>80</v>
      </c>
      <c r="O759" s="4" t="s">
        <v>77</v>
      </c>
      <c r="P759" s="3"/>
      <c r="Q759" s="11">
        <v>13</v>
      </c>
      <c r="R759" s="3" t="s">
        <v>31</v>
      </c>
      <c r="S759" s="10" t="s">
        <v>63</v>
      </c>
      <c r="T759" s="4" t="str">
        <f>IF(OR(Tabela1[[#This Row],[Grau de Risco]]="Médio",Tabela1[[#This Row],[Grau de Risco]]="Baixo"),"Não","Sim")</f>
        <v>Não</v>
      </c>
    </row>
    <row r="760" spans="1:20" hidden="1">
      <c r="A760" s="4" t="s">
        <v>9</v>
      </c>
      <c r="B760" s="10" t="s">
        <v>1805</v>
      </c>
      <c r="C760" s="4" t="s">
        <v>252</v>
      </c>
      <c r="D760" s="58" t="s">
        <v>1409</v>
      </c>
      <c r="E760" s="3">
        <v>21</v>
      </c>
      <c r="F760" s="3">
        <v>11</v>
      </c>
      <c r="G760" s="3">
        <v>2024</v>
      </c>
      <c r="H760" s="5" t="s">
        <v>71</v>
      </c>
      <c r="I760" s="7" t="s">
        <v>1666</v>
      </c>
      <c r="J760" s="4" t="s">
        <v>69</v>
      </c>
      <c r="K760" s="3">
        <v>1</v>
      </c>
      <c r="L760" s="3">
        <v>0</v>
      </c>
      <c r="M760" s="4" t="s">
        <v>30</v>
      </c>
      <c r="N760" s="4"/>
      <c r="O760" s="4"/>
      <c r="P760" s="3" t="s">
        <v>52</v>
      </c>
      <c r="Q760" s="11">
        <v>14</v>
      </c>
      <c r="R760" s="3" t="s">
        <v>52</v>
      </c>
      <c r="S760" s="10" t="s">
        <v>63</v>
      </c>
      <c r="T760" s="4" t="str">
        <f>IF(OR(Tabela1[[#This Row],[Grau de Risco]]="Médio",Tabela1[[#This Row],[Grau de Risco]]="Baixo"),"Não","Sim")</f>
        <v>Não</v>
      </c>
    </row>
    <row r="761" spans="1:20" hidden="1">
      <c r="A761" s="4" t="s">
        <v>7</v>
      </c>
      <c r="B761" s="10" t="s">
        <v>1793</v>
      </c>
      <c r="C761" s="4" t="s">
        <v>26</v>
      </c>
      <c r="D761" s="38" t="s">
        <v>47</v>
      </c>
      <c r="E761" s="3">
        <v>8</v>
      </c>
      <c r="F761" s="3">
        <v>3</v>
      </c>
      <c r="G761" s="3">
        <v>2024</v>
      </c>
      <c r="H761" s="34" t="s">
        <v>59</v>
      </c>
      <c r="I761" s="7" t="s">
        <v>1044</v>
      </c>
      <c r="J761" s="4" t="s">
        <v>290</v>
      </c>
      <c r="K761" s="3" t="s">
        <v>62</v>
      </c>
      <c r="L761" s="3">
        <v>0</v>
      </c>
      <c r="M761" s="4" t="s">
        <v>30</v>
      </c>
      <c r="N761" s="4">
        <v>0</v>
      </c>
      <c r="O761" s="4" t="s">
        <v>77</v>
      </c>
      <c r="P761" s="3" t="s">
        <v>52</v>
      </c>
      <c r="Q761" s="11">
        <v>14</v>
      </c>
      <c r="R761" s="3" t="s">
        <v>52</v>
      </c>
      <c r="S761" s="10" t="s">
        <v>63</v>
      </c>
      <c r="T761" s="4" t="str">
        <f>IF(OR(Tabela1[[#This Row],[Grau de Risco]]="Médio",Tabela1[[#This Row],[Grau de Risco]]="Baixo"),"Não","Sim")</f>
        <v>Não</v>
      </c>
    </row>
    <row r="762" spans="1:20" hidden="1">
      <c r="A762" s="4" t="s">
        <v>2</v>
      </c>
      <c r="B762" s="10" t="s">
        <v>1805</v>
      </c>
      <c r="C762" s="4" t="s">
        <v>81</v>
      </c>
      <c r="D762" s="5" t="s">
        <v>36</v>
      </c>
      <c r="E762" s="3">
        <v>24</v>
      </c>
      <c r="F762" s="3">
        <v>2</v>
      </c>
      <c r="G762" s="3">
        <v>2024</v>
      </c>
      <c r="H762" s="5" t="s">
        <v>474</v>
      </c>
      <c r="I762" s="7" t="s">
        <v>1081</v>
      </c>
      <c r="J762" s="4" t="s">
        <v>93</v>
      </c>
      <c r="K762" s="3">
        <v>7</v>
      </c>
      <c r="L762" s="3">
        <v>0</v>
      </c>
      <c r="M762" s="4" t="s">
        <v>30</v>
      </c>
      <c r="N762" s="4">
        <v>0</v>
      </c>
      <c r="O762" s="4" t="s">
        <v>129</v>
      </c>
      <c r="P762" s="3" t="s">
        <v>31</v>
      </c>
      <c r="Q762" s="11">
        <v>11</v>
      </c>
      <c r="R762" s="3" t="s">
        <v>31</v>
      </c>
      <c r="S762" s="5" t="s">
        <v>56</v>
      </c>
      <c r="T762" s="4" t="str">
        <f>IF(OR(Tabela1[[#This Row],[Grau de Risco]]="Médio",Tabela1[[#This Row],[Grau de Risco]]="Baixo"),"Não","Sim")</f>
        <v>Não</v>
      </c>
    </row>
    <row r="763" spans="1:20" hidden="1">
      <c r="A763" s="4" t="s">
        <v>8</v>
      </c>
      <c r="B763" s="10" t="s">
        <v>1805</v>
      </c>
      <c r="C763" s="4" t="s">
        <v>252</v>
      </c>
      <c r="D763" s="58" t="s">
        <v>1409</v>
      </c>
      <c r="E763" s="3">
        <v>20</v>
      </c>
      <c r="F763" s="3">
        <v>6</v>
      </c>
      <c r="G763" s="3">
        <v>2024</v>
      </c>
      <c r="H763" s="4" t="s">
        <v>86</v>
      </c>
      <c r="I763" s="7" t="s">
        <v>1087</v>
      </c>
      <c r="J763" s="4" t="s">
        <v>93</v>
      </c>
      <c r="K763" s="3">
        <v>0</v>
      </c>
      <c r="L763" s="3">
        <v>0</v>
      </c>
      <c r="M763" s="4" t="s">
        <v>30</v>
      </c>
      <c r="N763" s="4">
        <v>0</v>
      </c>
      <c r="O763" s="4" t="s">
        <v>45</v>
      </c>
      <c r="P763" s="3" t="s">
        <v>31</v>
      </c>
      <c r="Q763" s="11">
        <v>15</v>
      </c>
      <c r="R763" s="3" t="s">
        <v>52</v>
      </c>
      <c r="S763" s="5" t="s">
        <v>56</v>
      </c>
      <c r="T763" s="4" t="str">
        <f>IF(OR(Tabela1[[#This Row],[Grau de Risco]]="Médio",Tabela1[[#This Row],[Grau de Risco]]="Baixo"),"Não","Sim")</f>
        <v>Não</v>
      </c>
    </row>
    <row r="764" spans="1:20" hidden="1">
      <c r="A764" s="4" t="s">
        <v>8</v>
      </c>
      <c r="B764" s="10" t="s">
        <v>1800</v>
      </c>
      <c r="C764" s="4" t="s">
        <v>26</v>
      </c>
      <c r="D764" s="38" t="s">
        <v>1393</v>
      </c>
      <c r="E764" s="3">
        <v>7</v>
      </c>
      <c r="F764" s="3">
        <v>5</v>
      </c>
      <c r="G764" s="3">
        <v>2024</v>
      </c>
      <c r="H764" s="36" t="s">
        <v>107</v>
      </c>
      <c r="I764" s="7" t="s">
        <v>1103</v>
      </c>
      <c r="J764" s="4" t="s">
        <v>111</v>
      </c>
      <c r="K764" s="3">
        <v>0</v>
      </c>
      <c r="L764" s="3" t="s">
        <v>80</v>
      </c>
      <c r="M764" s="4" t="s">
        <v>25</v>
      </c>
      <c r="N764" s="4" t="s">
        <v>80</v>
      </c>
      <c r="O764" s="4" t="s">
        <v>77</v>
      </c>
      <c r="P764" s="3" t="s">
        <v>31</v>
      </c>
      <c r="Q764" s="11">
        <v>5</v>
      </c>
      <c r="R764" s="3" t="s">
        <v>102</v>
      </c>
      <c r="S764" s="10" t="s">
        <v>63</v>
      </c>
      <c r="T764" s="4" t="str">
        <f>IF(OR(Tabela1[[#This Row],[Grau de Risco]]="Médio",Tabela1[[#This Row],[Grau de Risco]]="Baixo"),"Não","Sim")</f>
        <v>Sim</v>
      </c>
    </row>
    <row r="765" spans="1:20" hidden="1">
      <c r="A765" s="28" t="s">
        <v>8</v>
      </c>
      <c r="B765" s="33" t="s">
        <v>1800</v>
      </c>
      <c r="C765" s="28" t="s">
        <v>252</v>
      </c>
      <c r="D765" s="38" t="s">
        <v>36</v>
      </c>
      <c r="E765" s="32">
        <v>8</v>
      </c>
      <c r="F765" s="32">
        <v>3</v>
      </c>
      <c r="G765" s="32">
        <v>2025</v>
      </c>
      <c r="H765" s="38" t="s">
        <v>27</v>
      </c>
      <c r="I765" s="29" t="s">
        <v>1185</v>
      </c>
      <c r="J765" s="28" t="s">
        <v>54</v>
      </c>
      <c r="K765" s="32" t="s">
        <v>80</v>
      </c>
      <c r="L765" s="32" t="s">
        <v>80</v>
      </c>
      <c r="M765" s="28" t="s">
        <v>30</v>
      </c>
      <c r="N765" s="28" t="s">
        <v>80</v>
      </c>
      <c r="O765" s="28" t="s">
        <v>45</v>
      </c>
      <c r="P765" s="32" t="s">
        <v>31</v>
      </c>
      <c r="Q765" s="35">
        <v>10</v>
      </c>
      <c r="R765" s="32" t="s">
        <v>31</v>
      </c>
      <c r="S765" s="33" t="s">
        <v>178</v>
      </c>
      <c r="T765" s="4" t="str">
        <f>IF(OR(Tabela1[[#This Row],[Grau de Risco]]="Médio",Tabela1[[#This Row],[Grau de Risco]]="Baixo"),"Não","Sim")</f>
        <v>Não</v>
      </c>
    </row>
    <row r="766" spans="1:20">
      <c r="A766" s="4" t="s">
        <v>8</v>
      </c>
      <c r="B766" s="10" t="s">
        <v>1809</v>
      </c>
      <c r="C766" s="4" t="s">
        <v>26</v>
      </c>
      <c r="D766" s="38" t="s">
        <v>47</v>
      </c>
      <c r="E766" s="3">
        <v>28</v>
      </c>
      <c r="F766" s="3">
        <v>3</v>
      </c>
      <c r="G766" s="3">
        <v>2025</v>
      </c>
      <c r="H766" s="34" t="s">
        <v>59</v>
      </c>
      <c r="I766" s="7" t="s">
        <v>1209</v>
      </c>
      <c r="J766" s="4" t="s">
        <v>93</v>
      </c>
      <c r="K766" s="3">
        <v>0</v>
      </c>
      <c r="L766" s="3">
        <v>0</v>
      </c>
      <c r="M766" s="4" t="s">
        <v>30</v>
      </c>
      <c r="N766" s="4">
        <v>0</v>
      </c>
      <c r="O766" s="4" t="s">
        <v>1210</v>
      </c>
      <c r="P766" s="3" t="s">
        <v>52</v>
      </c>
      <c r="Q766" s="11">
        <v>14</v>
      </c>
      <c r="R766" s="3" t="s">
        <v>52</v>
      </c>
      <c r="S766" s="5" t="s">
        <v>56</v>
      </c>
      <c r="T766" s="4" t="str">
        <f>IF(OR(Tabela1[[#This Row],[Grau de Risco]]="Médio",Tabela1[[#This Row],[Grau de Risco]]="Baixo"),"Não","Sim")</f>
        <v>Não</v>
      </c>
    </row>
    <row r="767" spans="1:20" hidden="1">
      <c r="A767" s="28" t="s">
        <v>2</v>
      </c>
      <c r="B767" s="33" t="s">
        <v>1797</v>
      </c>
      <c r="C767" s="28" t="s">
        <v>125</v>
      </c>
      <c r="D767" s="38" t="s">
        <v>1320</v>
      </c>
      <c r="E767" s="32">
        <v>28</v>
      </c>
      <c r="F767" s="32">
        <v>4</v>
      </c>
      <c r="G767" s="32">
        <v>2025</v>
      </c>
      <c r="H767" s="36" t="s">
        <v>107</v>
      </c>
      <c r="I767" s="29" t="s">
        <v>1237</v>
      </c>
      <c r="J767" s="28" t="s">
        <v>111</v>
      </c>
      <c r="K767" s="32">
        <v>14</v>
      </c>
      <c r="L767" s="32"/>
      <c r="M767" s="28"/>
      <c r="N767" s="28"/>
      <c r="O767" s="28" t="s">
        <v>4</v>
      </c>
      <c r="P767" s="32" t="s">
        <v>31</v>
      </c>
      <c r="Q767" s="11">
        <v>11</v>
      </c>
      <c r="R767" s="32" t="s">
        <v>31</v>
      </c>
      <c r="S767" s="5" t="s">
        <v>56</v>
      </c>
      <c r="T767" s="4" t="str">
        <f>IF(OR(Tabela1[[#This Row],[Grau de Risco]]="Médio",Tabela1[[#This Row],[Grau de Risco]]="Baixo"),"Não","Sim")</f>
        <v>Não</v>
      </c>
    </row>
    <row r="768" spans="1:20" hidden="1">
      <c r="A768" s="28" t="s">
        <v>7</v>
      </c>
      <c r="B768" s="33" t="s">
        <v>1797</v>
      </c>
      <c r="C768" s="28" t="s">
        <v>252</v>
      </c>
      <c r="D768" s="5" t="s">
        <v>36</v>
      </c>
      <c r="E768" s="32">
        <v>31</v>
      </c>
      <c r="F768" s="32">
        <v>5</v>
      </c>
      <c r="G768" s="32">
        <v>2025</v>
      </c>
      <c r="H768" s="34" t="s">
        <v>675</v>
      </c>
      <c r="I768" s="29" t="s">
        <v>1274</v>
      </c>
      <c r="J768" s="28" t="s">
        <v>73</v>
      </c>
      <c r="K768" s="32"/>
      <c r="L768" s="32"/>
      <c r="M768" s="28"/>
      <c r="N768" s="28"/>
      <c r="O768" s="28" t="s">
        <v>51</v>
      </c>
      <c r="P768" s="32"/>
      <c r="Q768" s="11">
        <v>14</v>
      </c>
      <c r="R768" s="3" t="s">
        <v>52</v>
      </c>
      <c r="S768" s="10" t="s">
        <v>63</v>
      </c>
      <c r="T768" s="4" t="str">
        <f>IF(OR(Tabela1[[#This Row],[Grau de Risco]]="Médio",Tabela1[[#This Row],[Grau de Risco]]="Baixo"),"Não","Sim")</f>
        <v>Não</v>
      </c>
    </row>
    <row r="769" spans="1:20" hidden="1">
      <c r="A769" s="28" t="s">
        <v>7</v>
      </c>
      <c r="B769" s="33" t="s">
        <v>1805</v>
      </c>
      <c r="C769" s="28" t="s">
        <v>252</v>
      </c>
      <c r="D769" s="38" t="s">
        <v>1320</v>
      </c>
      <c r="E769" s="32">
        <v>16</v>
      </c>
      <c r="F769" s="32">
        <v>6</v>
      </c>
      <c r="G769" s="32">
        <v>2025</v>
      </c>
      <c r="H769" s="5" t="s">
        <v>48</v>
      </c>
      <c r="I769" s="29" t="s">
        <v>1305</v>
      </c>
      <c r="J769" s="28" t="s">
        <v>73</v>
      </c>
      <c r="K769" s="32"/>
      <c r="L769" s="32"/>
      <c r="M769" s="28"/>
      <c r="N769" s="28"/>
      <c r="O769" s="28" t="s">
        <v>4</v>
      </c>
      <c r="P769" s="32"/>
      <c r="Q769" s="35">
        <v>15</v>
      </c>
      <c r="R769" s="32" t="s">
        <v>52</v>
      </c>
      <c r="S769" s="33" t="s">
        <v>63</v>
      </c>
      <c r="T769" s="4" t="str">
        <f>IF(OR(Tabela1[[#This Row],[Grau de Risco]]="Médio",Tabela1[[#This Row],[Grau de Risco]]="Baixo"),"Não","Sim")</f>
        <v>Não</v>
      </c>
    </row>
    <row r="770" spans="1:20">
      <c r="A770" s="4" t="s">
        <v>7</v>
      </c>
      <c r="B770" s="10" t="s">
        <v>1809</v>
      </c>
      <c r="C770" s="4" t="s">
        <v>41</v>
      </c>
      <c r="D770" s="38" t="s">
        <v>1393</v>
      </c>
      <c r="E770" s="3">
        <v>15</v>
      </c>
      <c r="F770" s="3">
        <v>7</v>
      </c>
      <c r="G770" s="3">
        <v>2025</v>
      </c>
      <c r="H770" s="34" t="s">
        <v>59</v>
      </c>
      <c r="I770" s="7" t="s">
        <v>1667</v>
      </c>
      <c r="J770" s="4" t="s">
        <v>79</v>
      </c>
      <c r="K770" s="3">
        <v>0</v>
      </c>
      <c r="L770" s="3">
        <v>0</v>
      </c>
      <c r="M770" s="4">
        <v>0</v>
      </c>
      <c r="N770" s="4">
        <v>0</v>
      </c>
      <c r="O770" s="4"/>
      <c r="P770" s="3"/>
      <c r="Q770" s="11">
        <v>15</v>
      </c>
      <c r="R770" s="3" t="s">
        <v>52</v>
      </c>
      <c r="S770" s="10" t="s">
        <v>63</v>
      </c>
      <c r="T770" s="4" t="str">
        <f>IF(OR(Tabela1[[#This Row],[Grau de Risco]]="Médio",Tabela1[[#This Row],[Grau de Risco]]="Baixo"),"Não","Sim")</f>
        <v>Não</v>
      </c>
    </row>
    <row r="771" spans="1:20">
      <c r="A771" s="28" t="s">
        <v>7</v>
      </c>
      <c r="B771" s="10" t="s">
        <v>1809</v>
      </c>
      <c r="C771" s="28" t="s">
        <v>26</v>
      </c>
      <c r="D771" s="38" t="s">
        <v>1382</v>
      </c>
      <c r="E771" s="32">
        <v>16</v>
      </c>
      <c r="F771" s="32">
        <v>7</v>
      </c>
      <c r="G771" s="32">
        <v>2025</v>
      </c>
      <c r="H771" s="36" t="s">
        <v>107</v>
      </c>
      <c r="I771" s="29" t="s">
        <v>1368</v>
      </c>
      <c r="J771" s="28" t="s">
        <v>61</v>
      </c>
      <c r="K771" s="32"/>
      <c r="L771" s="32"/>
      <c r="M771" s="28"/>
      <c r="N771" s="28"/>
      <c r="O771" s="28" t="s">
        <v>4</v>
      </c>
      <c r="P771" s="32"/>
      <c r="Q771" s="35">
        <v>11</v>
      </c>
      <c r="R771" s="32" t="s">
        <v>31</v>
      </c>
      <c r="S771" s="10" t="s">
        <v>141</v>
      </c>
      <c r="T771" s="4" t="str">
        <f>IF(OR(Tabela1[[#This Row],[Grau de Risco]]="Médio",Tabela1[[#This Row],[Grau de Risco]]="Baixo"),"Não","Sim")</f>
        <v>Não</v>
      </c>
    </row>
    <row r="772" spans="1:20" hidden="1">
      <c r="A772" s="28" t="s">
        <v>8</v>
      </c>
      <c r="B772" s="33" t="s">
        <v>1797</v>
      </c>
      <c r="C772" s="28" t="s">
        <v>252</v>
      </c>
      <c r="D772" s="36" t="s">
        <v>1382</v>
      </c>
      <c r="E772" s="32">
        <v>30</v>
      </c>
      <c r="F772" s="32">
        <v>7</v>
      </c>
      <c r="G772" s="32">
        <v>2025</v>
      </c>
      <c r="H772" s="36" t="s">
        <v>107</v>
      </c>
      <c r="I772" s="29" t="s">
        <v>1371</v>
      </c>
      <c r="J772" s="28" t="s">
        <v>38</v>
      </c>
      <c r="K772" s="32" t="s">
        <v>1581</v>
      </c>
      <c r="L772" s="32" t="s">
        <v>44</v>
      </c>
      <c r="M772" s="28" t="s">
        <v>30</v>
      </c>
      <c r="N772" s="28" t="s">
        <v>44</v>
      </c>
      <c r="O772" s="28"/>
      <c r="P772" s="32" t="s">
        <v>52</v>
      </c>
      <c r="Q772" s="35">
        <v>11</v>
      </c>
      <c r="R772" s="32" t="s">
        <v>31</v>
      </c>
      <c r="S772" s="57" t="s">
        <v>1261</v>
      </c>
      <c r="T772" s="4" t="str">
        <f>IF(OR(Tabela1[[#This Row],[Grau de Risco]]="Médio",Tabela1[[#This Row],[Grau de Risco]]="Baixo"),"Não","Sim")</f>
        <v>Não</v>
      </c>
    </row>
    <row r="773" spans="1:20" hidden="1">
      <c r="A773" s="28" t="s">
        <v>7</v>
      </c>
      <c r="B773" s="33" t="s">
        <v>1797</v>
      </c>
      <c r="C773" s="28" t="s">
        <v>252</v>
      </c>
      <c r="D773" s="28" t="s">
        <v>148</v>
      </c>
      <c r="E773" s="32">
        <v>3</v>
      </c>
      <c r="F773" s="32">
        <v>8</v>
      </c>
      <c r="G773" s="32">
        <v>2025</v>
      </c>
      <c r="H773" s="34" t="s">
        <v>112</v>
      </c>
      <c r="I773" s="29" t="s">
        <v>1376</v>
      </c>
      <c r="J773" s="28" t="s">
        <v>135</v>
      </c>
      <c r="K773" s="32"/>
      <c r="L773" s="32"/>
      <c r="M773" s="28"/>
      <c r="N773" s="28"/>
      <c r="O773" s="28" t="s">
        <v>77</v>
      </c>
      <c r="P773" s="32"/>
      <c r="Q773" s="35">
        <v>13</v>
      </c>
      <c r="R773" s="32" t="s">
        <v>31</v>
      </c>
      <c r="S773" s="33" t="s">
        <v>63</v>
      </c>
      <c r="T773" s="4" t="str">
        <f>IF(OR(Tabela1[[#This Row],[Grau de Risco]]="Médio",Tabela1[[#This Row],[Grau de Risco]]="Baixo"),"Não","Sim")</f>
        <v>Não</v>
      </c>
    </row>
    <row r="774" spans="1:20" hidden="1">
      <c r="A774" s="28" t="s">
        <v>8</v>
      </c>
      <c r="B774" s="40" t="s">
        <v>1797</v>
      </c>
      <c r="C774" s="39" t="s">
        <v>125</v>
      </c>
      <c r="D774" s="39" t="s">
        <v>47</v>
      </c>
      <c r="E774" s="66">
        <v>19</v>
      </c>
      <c r="F774" s="66">
        <v>9</v>
      </c>
      <c r="G774" s="66">
        <v>2025</v>
      </c>
      <c r="H774" s="34" t="s">
        <v>27</v>
      </c>
      <c r="I774" s="7" t="s">
        <v>1450</v>
      </c>
      <c r="J774" s="28" t="s">
        <v>79</v>
      </c>
      <c r="K774" s="3">
        <v>0</v>
      </c>
      <c r="L774" s="3">
        <v>0</v>
      </c>
      <c r="M774" s="4" t="s">
        <v>1451</v>
      </c>
      <c r="N774" s="4">
        <v>0</v>
      </c>
      <c r="O774" s="28" t="s">
        <v>1254</v>
      </c>
      <c r="P774" s="32" t="s">
        <v>52</v>
      </c>
      <c r="Q774" s="35">
        <v>14</v>
      </c>
      <c r="R774" s="3" t="s">
        <v>52</v>
      </c>
      <c r="S774" s="40" t="s">
        <v>56</v>
      </c>
      <c r="T774" s="4" t="str">
        <f>IF(OR(Tabela1[[#This Row],[Grau de Risco]]="Médio",Tabela1[[#This Row],[Grau de Risco]]="Baixo"),"Não","Sim")</f>
        <v>Não</v>
      </c>
    </row>
    <row r="775" spans="1:20" hidden="1">
      <c r="A775" s="28" t="s">
        <v>7</v>
      </c>
      <c r="B775" s="33" t="s">
        <v>1797</v>
      </c>
      <c r="C775" s="28" t="s">
        <v>41</v>
      </c>
      <c r="D775" s="28" t="s">
        <v>47</v>
      </c>
      <c r="E775" s="32">
        <v>10</v>
      </c>
      <c r="F775" s="32">
        <v>10</v>
      </c>
      <c r="G775" s="32">
        <v>2025</v>
      </c>
      <c r="H775" s="34" t="s">
        <v>127</v>
      </c>
      <c r="I775" s="7" t="s">
        <v>1668</v>
      </c>
      <c r="J775" s="28" t="s">
        <v>93</v>
      </c>
      <c r="K775" s="3">
        <v>0</v>
      </c>
      <c r="L775" s="3">
        <v>0</v>
      </c>
      <c r="M775" s="4" t="s">
        <v>25</v>
      </c>
      <c r="N775" s="4">
        <v>0</v>
      </c>
      <c r="O775" s="28"/>
      <c r="P775" s="32"/>
      <c r="Q775" s="35">
        <v>11</v>
      </c>
      <c r="R775" s="32" t="s">
        <v>31</v>
      </c>
      <c r="S775" s="33" t="s">
        <v>63</v>
      </c>
      <c r="T775" s="4" t="str">
        <f>IF(OR(Tabela1[[#This Row],[Grau de Risco]]="Médio",Tabela1[[#This Row],[Grau de Risco]]="Baixo"),"Não","Sim")</f>
        <v>Não</v>
      </c>
    </row>
    <row r="776" spans="1:20" hidden="1">
      <c r="A776" s="28" t="s">
        <v>8</v>
      </c>
      <c r="B776" s="33" t="s">
        <v>1800</v>
      </c>
      <c r="C776" s="28" t="s">
        <v>41</v>
      </c>
      <c r="D776" s="38" t="s">
        <v>1320</v>
      </c>
      <c r="E776" s="32">
        <v>13</v>
      </c>
      <c r="F776" s="32">
        <v>10</v>
      </c>
      <c r="G776" s="32">
        <v>2025</v>
      </c>
      <c r="H776" s="38" t="s">
        <v>107</v>
      </c>
      <c r="I776" s="7" t="s">
        <v>1499</v>
      </c>
      <c r="J776" s="28" t="s">
        <v>115</v>
      </c>
      <c r="K776" s="32" t="s">
        <v>80</v>
      </c>
      <c r="L776" s="32" t="s">
        <v>80</v>
      </c>
      <c r="M776" s="28" t="s">
        <v>30</v>
      </c>
      <c r="N776" s="28" t="s">
        <v>80</v>
      </c>
      <c r="O776" s="4" t="s">
        <v>88</v>
      </c>
      <c r="P776" s="32" t="s">
        <v>52</v>
      </c>
      <c r="Q776" s="35">
        <v>11</v>
      </c>
      <c r="R776" s="32" t="s">
        <v>31</v>
      </c>
      <c r="S776" s="33" t="s">
        <v>144</v>
      </c>
      <c r="T776" s="4" t="str">
        <f>IF(OR(Tabela1[[#This Row],[Grau de Risco]]="Médio",Tabela1[[#This Row],[Grau de Risco]]="Baixo"),"Não","Sim")</f>
        <v>Não</v>
      </c>
    </row>
    <row r="777" spans="1:20" hidden="1">
      <c r="A777" s="28" t="s">
        <v>7</v>
      </c>
      <c r="B777" s="33" t="s">
        <v>1800</v>
      </c>
      <c r="C777" s="28" t="s">
        <v>41</v>
      </c>
      <c r="D777" s="38" t="s">
        <v>1382</v>
      </c>
      <c r="E777" s="32">
        <v>15</v>
      </c>
      <c r="F777" s="32">
        <v>10</v>
      </c>
      <c r="G777" s="32">
        <v>2025</v>
      </c>
      <c r="H777" s="38" t="s">
        <v>82</v>
      </c>
      <c r="I777" s="7" t="s">
        <v>1503</v>
      </c>
      <c r="J777" s="28" t="s">
        <v>69</v>
      </c>
      <c r="K777" s="32" t="s">
        <v>80</v>
      </c>
      <c r="L777" s="32" t="s">
        <v>80</v>
      </c>
      <c r="M777" s="28" t="s">
        <v>30</v>
      </c>
      <c r="N777" s="28" t="s">
        <v>80</v>
      </c>
      <c r="O777" s="4" t="s">
        <v>45</v>
      </c>
      <c r="P777" s="32" t="s">
        <v>52</v>
      </c>
      <c r="Q777" s="35">
        <v>11</v>
      </c>
      <c r="R777" s="32" t="s">
        <v>31</v>
      </c>
      <c r="S777" s="33" t="s">
        <v>63</v>
      </c>
      <c r="T777" s="4" t="str">
        <f>IF(OR(Tabela1[[#This Row],[Grau de Risco]]="Médio",Tabela1[[#This Row],[Grau de Risco]]="Baixo"),"Não","Sim")</f>
        <v>Não</v>
      </c>
    </row>
    <row r="778" spans="1:20" hidden="1">
      <c r="A778" s="38" t="s">
        <v>8</v>
      </c>
      <c r="B778" s="38" t="s">
        <v>1800</v>
      </c>
      <c r="C778" s="38" t="s">
        <v>41</v>
      </c>
      <c r="D778" s="38" t="s">
        <v>1393</v>
      </c>
      <c r="E778" s="38">
        <v>17</v>
      </c>
      <c r="F778" s="38">
        <v>11</v>
      </c>
      <c r="G778" s="38">
        <v>2025</v>
      </c>
      <c r="H778" s="38" t="s">
        <v>48</v>
      </c>
      <c r="I778" t="s">
        <v>1538</v>
      </c>
      <c r="J778" s="38" t="s">
        <v>76</v>
      </c>
      <c r="K778" s="38" t="s">
        <v>80</v>
      </c>
      <c r="L778" s="38" t="s">
        <v>80</v>
      </c>
      <c r="M778" s="38" t="s">
        <v>30</v>
      </c>
      <c r="N778" s="38" t="s">
        <v>80</v>
      </c>
      <c r="O778" s="38" t="s">
        <v>45</v>
      </c>
      <c r="P778" s="38" t="s">
        <v>31</v>
      </c>
      <c r="Q778" s="38">
        <v>5</v>
      </c>
      <c r="R778" s="3" t="s">
        <v>102</v>
      </c>
      <c r="S778" s="38" t="s">
        <v>56</v>
      </c>
      <c r="T778" s="4" t="str">
        <f>IF(OR(Tabela1[[#This Row],[Grau de Risco]]="Médio",Tabela1[[#This Row],[Grau de Risco]]="Baixo"),"Não","Sim")</f>
        <v>Sim</v>
      </c>
    </row>
    <row r="779" spans="1:20">
      <c r="A779" s="4" t="s">
        <v>2</v>
      </c>
      <c r="B779" s="10" t="s">
        <v>1809</v>
      </c>
      <c r="C779" s="4" t="s">
        <v>89</v>
      </c>
      <c r="D779" s="38" t="s">
        <v>1382</v>
      </c>
      <c r="E779" s="3">
        <v>23</v>
      </c>
      <c r="F779" s="3">
        <v>9</v>
      </c>
      <c r="G779" s="3">
        <v>2020</v>
      </c>
      <c r="H779" s="4" t="s">
        <v>27</v>
      </c>
      <c r="I779" s="7" t="s">
        <v>90</v>
      </c>
      <c r="J779" s="4" t="s">
        <v>91</v>
      </c>
      <c r="K779" s="3">
        <v>1</v>
      </c>
      <c r="L779" s="3">
        <v>0</v>
      </c>
      <c r="M779" s="4" t="s">
        <v>30</v>
      </c>
      <c r="N779" s="4"/>
      <c r="O779" s="4" t="s">
        <v>4</v>
      </c>
      <c r="P779" s="3" t="s">
        <v>52</v>
      </c>
      <c r="Q779" s="11">
        <v>17</v>
      </c>
      <c r="R779" s="3" t="str">
        <f>IF(Q779="","",IF(Q779&lt;4,"Crítico",IF(Q779&lt;9,"Alto",IF(Q779&lt;14,"Médio","Baixo"))))</f>
        <v>Baixo</v>
      </c>
      <c r="S779" s="10" t="s">
        <v>63</v>
      </c>
      <c r="T779" s="4" t="str">
        <f>IF(OR(Tabela1[[#This Row],[Grau de Risco]]="Médio",Tabela1[[#This Row],[Grau de Risco]]="Baixo"),"Não","Sim")</f>
        <v>Não</v>
      </c>
    </row>
    <row r="780" spans="1:20">
      <c r="A780" s="4" t="s">
        <v>2</v>
      </c>
      <c r="B780" s="10" t="s">
        <v>1809</v>
      </c>
      <c r="C780" s="4" t="s">
        <v>97</v>
      </c>
      <c r="D780" s="38" t="s">
        <v>47</v>
      </c>
      <c r="E780" s="3">
        <v>28</v>
      </c>
      <c r="F780" s="3">
        <v>8</v>
      </c>
      <c r="G780" s="3">
        <v>2020</v>
      </c>
      <c r="H780" s="4" t="s">
        <v>27</v>
      </c>
      <c r="I780" s="7" t="s">
        <v>98</v>
      </c>
      <c r="J780" s="4" t="s">
        <v>91</v>
      </c>
      <c r="K780" s="3">
        <v>2</v>
      </c>
      <c r="L780" s="3">
        <v>0</v>
      </c>
      <c r="M780" s="4" t="s">
        <v>30</v>
      </c>
      <c r="N780" s="4"/>
      <c r="O780" s="4" t="s">
        <v>99</v>
      </c>
      <c r="P780" s="3" t="s">
        <v>52</v>
      </c>
      <c r="Q780" s="11">
        <v>12</v>
      </c>
      <c r="R780" s="3" t="str">
        <f>IF(Q780="","",IF(Q780&lt;4,"Crítico",IF(Q780&lt;9,"Alto",IF(Q780&lt;14,"Médio","Baixo"))))</f>
        <v>Médio</v>
      </c>
      <c r="S780" s="10" t="s">
        <v>63</v>
      </c>
      <c r="T780" s="4" t="str">
        <f>IF(OR(Tabela1[[#This Row],[Grau de Risco]]="Médio",Tabela1[[#This Row],[Grau de Risco]]="Baixo"),"Não","Sim")</f>
        <v>Não</v>
      </c>
    </row>
    <row r="781" spans="1:20">
      <c r="A781" s="4" t="s">
        <v>10</v>
      </c>
      <c r="B781" s="10" t="s">
        <v>1809</v>
      </c>
      <c r="C781" s="4" t="s">
        <v>26</v>
      </c>
      <c r="D781" s="38" t="s">
        <v>1382</v>
      </c>
      <c r="E781" s="3">
        <v>10</v>
      </c>
      <c r="F781" s="3">
        <v>3</v>
      </c>
      <c r="G781" s="3">
        <v>2021</v>
      </c>
      <c r="H781" s="5" t="s">
        <v>71</v>
      </c>
      <c r="I781" s="7" t="s">
        <v>142</v>
      </c>
      <c r="J781" s="4" t="s">
        <v>93</v>
      </c>
      <c r="K781" s="3" t="s">
        <v>62</v>
      </c>
      <c r="L781" s="3">
        <v>0</v>
      </c>
      <c r="M781" s="4" t="s">
        <v>30</v>
      </c>
      <c r="N781" s="4">
        <v>0</v>
      </c>
      <c r="O781" s="4" t="s">
        <v>77</v>
      </c>
      <c r="P781" s="3" t="s">
        <v>52</v>
      </c>
      <c r="Q781" s="11">
        <v>14</v>
      </c>
      <c r="R781" s="3" t="s">
        <v>52</v>
      </c>
      <c r="S781" s="10" t="s">
        <v>63</v>
      </c>
      <c r="T781" s="4" t="str">
        <f>IF(OR(Tabela1[[#This Row],[Grau de Risco]]="Médio",Tabela1[[#This Row],[Grau de Risco]]="Baixo"),"Não","Sim")</f>
        <v>Não</v>
      </c>
    </row>
    <row r="782" spans="1:20">
      <c r="A782" s="5" t="s">
        <v>2</v>
      </c>
      <c r="B782" s="10" t="s">
        <v>1809</v>
      </c>
      <c r="C782" s="5" t="s">
        <v>26</v>
      </c>
      <c r="D782" s="5" t="s">
        <v>36</v>
      </c>
      <c r="E782" s="3">
        <v>26</v>
      </c>
      <c r="F782" s="2">
        <v>3</v>
      </c>
      <c r="G782" s="3">
        <v>2022</v>
      </c>
      <c r="H782" s="36" t="s">
        <v>66</v>
      </c>
      <c r="I782" s="7" t="s">
        <v>244</v>
      </c>
      <c r="J782" s="4" t="s">
        <v>69</v>
      </c>
      <c r="K782" s="3">
        <v>4</v>
      </c>
      <c r="L782" s="3">
        <v>0</v>
      </c>
      <c r="M782" s="5" t="s">
        <v>30</v>
      </c>
      <c r="N782" s="4">
        <v>4</v>
      </c>
      <c r="O782" s="4" t="s">
        <v>85</v>
      </c>
      <c r="P782" s="3" t="s">
        <v>31</v>
      </c>
      <c r="Q782" s="3">
        <v>17</v>
      </c>
      <c r="R782" s="2" t="s">
        <v>31</v>
      </c>
      <c r="S782" s="10" t="s">
        <v>32</v>
      </c>
      <c r="T782" s="4" t="str">
        <f>IF(OR(Tabela1[[#This Row],[Grau de Risco]]="Médio",Tabela1[[#This Row],[Grau de Risco]]="Baixo"),"Não","Sim")</f>
        <v>Não</v>
      </c>
    </row>
    <row r="783" spans="1:20">
      <c r="A783" s="4" t="s">
        <v>9</v>
      </c>
      <c r="B783" s="10" t="s">
        <v>1809</v>
      </c>
      <c r="C783" s="4" t="s">
        <v>26</v>
      </c>
      <c r="D783" s="38" t="s">
        <v>1320</v>
      </c>
      <c r="E783" s="3">
        <v>12</v>
      </c>
      <c r="F783" s="3">
        <v>9</v>
      </c>
      <c r="G783" s="3">
        <v>2022</v>
      </c>
      <c r="H783" s="5" t="s">
        <v>256</v>
      </c>
      <c r="I783" s="7" t="s">
        <v>257</v>
      </c>
      <c r="J783" s="4" t="s">
        <v>154</v>
      </c>
      <c r="K783" s="3">
        <v>9</v>
      </c>
      <c r="L783" s="3">
        <v>0</v>
      </c>
      <c r="M783" s="4" t="s">
        <v>30</v>
      </c>
      <c r="N783" s="4">
        <v>0</v>
      </c>
      <c r="O783" s="4" t="s">
        <v>4</v>
      </c>
      <c r="P783" s="3" t="s">
        <v>52</v>
      </c>
      <c r="Q783" s="11">
        <v>14</v>
      </c>
      <c r="R783" s="3" t="s">
        <v>52</v>
      </c>
      <c r="S783" s="10" t="s">
        <v>63</v>
      </c>
      <c r="T783" s="4" t="str">
        <f>IF(OR(Tabela1[[#This Row],[Grau de Risco]]="Médio",Tabela1[[#This Row],[Grau de Risco]]="Baixo"),"Não","Sim")</f>
        <v>Não</v>
      </c>
    </row>
    <row r="784" spans="1:20">
      <c r="A784" s="5" t="s">
        <v>2</v>
      </c>
      <c r="B784" s="10" t="s">
        <v>1809</v>
      </c>
      <c r="C784" s="5" t="s">
        <v>26</v>
      </c>
      <c r="D784" s="58" t="s">
        <v>1409</v>
      </c>
      <c r="E784" s="2">
        <v>24</v>
      </c>
      <c r="F784" s="2">
        <v>11</v>
      </c>
      <c r="G784" s="2">
        <v>2022</v>
      </c>
      <c r="H784" s="4" t="s">
        <v>27</v>
      </c>
      <c r="I784" s="5" t="s">
        <v>305</v>
      </c>
      <c r="J784" s="5" t="s">
        <v>169</v>
      </c>
      <c r="K784" s="2">
        <v>15</v>
      </c>
      <c r="L784" s="2">
        <v>0</v>
      </c>
      <c r="M784" s="5" t="s">
        <v>30</v>
      </c>
      <c r="N784" s="5">
        <v>0</v>
      </c>
      <c r="O784" s="5" t="s">
        <v>45</v>
      </c>
      <c r="P784" s="3" t="s">
        <v>52</v>
      </c>
      <c r="Q784" s="2">
        <v>6</v>
      </c>
      <c r="R784" s="2" t="s">
        <v>52</v>
      </c>
      <c r="S784" s="5" t="s">
        <v>56</v>
      </c>
      <c r="T784" s="4" t="str">
        <f>IF(OR(Tabela1[[#This Row],[Grau de Risco]]="Médio",Tabela1[[#This Row],[Grau de Risco]]="Baixo"),"Não","Sim")</f>
        <v>Não</v>
      </c>
    </row>
    <row r="785" spans="1:20">
      <c r="A785" s="4" t="s">
        <v>9</v>
      </c>
      <c r="B785" s="10" t="s">
        <v>1809</v>
      </c>
      <c r="C785" s="5" t="s">
        <v>26</v>
      </c>
      <c r="D785" s="38" t="s">
        <v>1382</v>
      </c>
      <c r="E785" s="3">
        <v>2</v>
      </c>
      <c r="F785" s="2">
        <v>11</v>
      </c>
      <c r="G785" s="3">
        <v>2022</v>
      </c>
      <c r="H785" s="4" t="s">
        <v>307</v>
      </c>
      <c r="I785" s="7" t="s">
        <v>308</v>
      </c>
      <c r="J785" s="4" t="s">
        <v>76</v>
      </c>
      <c r="K785" s="3">
        <v>0</v>
      </c>
      <c r="L785" s="3">
        <v>6000</v>
      </c>
      <c r="M785" s="4" t="s">
        <v>30</v>
      </c>
      <c r="N785" s="4">
        <v>0</v>
      </c>
      <c r="O785" s="4" t="s">
        <v>77</v>
      </c>
      <c r="P785" s="3" t="s">
        <v>102</v>
      </c>
      <c r="Q785" s="3">
        <v>2</v>
      </c>
      <c r="R785" s="3" t="str">
        <f>IF(Q785="","",IF(Q785&lt;4,"Crítico",IF(Q785&lt;9,"Alto",IF(Q785&lt;14,"Médio","Baixo"))))</f>
        <v>Crítico</v>
      </c>
      <c r="S785" s="10" t="s">
        <v>32</v>
      </c>
      <c r="T785" s="4" t="str">
        <f>IF(OR(Tabela1[[#This Row],[Grau de Risco]]="Médio",Tabela1[[#This Row],[Grau de Risco]]="Baixo"),"Não","Sim")</f>
        <v>Sim</v>
      </c>
    </row>
    <row r="786" spans="1:20">
      <c r="A786" s="5" t="s">
        <v>8</v>
      </c>
      <c r="B786" s="10" t="s">
        <v>1809</v>
      </c>
      <c r="C786" s="5" t="s">
        <v>81</v>
      </c>
      <c r="D786" s="58" t="s">
        <v>1409</v>
      </c>
      <c r="E786" s="2">
        <v>1</v>
      </c>
      <c r="F786" s="2">
        <v>12</v>
      </c>
      <c r="G786" s="2">
        <v>2022</v>
      </c>
      <c r="H786" s="36" t="s">
        <v>112</v>
      </c>
      <c r="I786" s="5" t="s">
        <v>1669</v>
      </c>
      <c r="J786" s="5" t="s">
        <v>54</v>
      </c>
      <c r="K786" s="2">
        <v>0</v>
      </c>
      <c r="L786" s="2">
        <v>0</v>
      </c>
      <c r="M786" s="5" t="s">
        <v>30</v>
      </c>
      <c r="Q786" s="2">
        <v>14</v>
      </c>
      <c r="R786" s="2" t="s">
        <v>52</v>
      </c>
      <c r="S786" s="10" t="s">
        <v>32</v>
      </c>
      <c r="T786" s="4" t="str">
        <f>IF(OR(Tabela1[[#This Row],[Grau de Risco]]="Médio",Tabela1[[#This Row],[Grau de Risco]]="Baixo"),"Não","Sim")</f>
        <v>Não</v>
      </c>
    </row>
    <row r="787" spans="1:20">
      <c r="A787" s="5" t="s">
        <v>2</v>
      </c>
      <c r="B787" s="10" t="s">
        <v>1809</v>
      </c>
      <c r="C787" s="5" t="s">
        <v>26</v>
      </c>
      <c r="D787" s="38" t="s">
        <v>1320</v>
      </c>
      <c r="E787" s="3">
        <v>10</v>
      </c>
      <c r="F787" s="2">
        <v>10</v>
      </c>
      <c r="G787" s="3">
        <v>2022</v>
      </c>
      <c r="H787" s="36" t="s">
        <v>33</v>
      </c>
      <c r="I787" s="7" t="s">
        <v>367</v>
      </c>
      <c r="J787" s="4" t="s">
        <v>76</v>
      </c>
      <c r="K787" s="3">
        <v>1</v>
      </c>
      <c r="L787" s="3">
        <v>0</v>
      </c>
      <c r="M787" s="5" t="s">
        <v>30</v>
      </c>
      <c r="N787" s="3">
        <v>136</v>
      </c>
      <c r="O787" s="4" t="s">
        <v>55</v>
      </c>
      <c r="P787" s="3" t="s">
        <v>31</v>
      </c>
      <c r="Q787" s="3">
        <v>17</v>
      </c>
      <c r="R787" s="2" t="s">
        <v>31</v>
      </c>
      <c r="S787" s="10" t="s">
        <v>32</v>
      </c>
      <c r="T787" s="4" t="str">
        <f>IF(OR(Tabela1[[#This Row],[Grau de Risco]]="Médio",Tabela1[[#This Row],[Grau de Risco]]="Baixo"),"Não","Sim")</f>
        <v>Não</v>
      </c>
    </row>
    <row r="788" spans="1:20" ht="28.8" hidden="1">
      <c r="A788" s="5" t="s">
        <v>2</v>
      </c>
      <c r="B788" s="6" t="s">
        <v>1805</v>
      </c>
      <c r="C788" s="5" t="s">
        <v>81</v>
      </c>
      <c r="D788" s="5" t="s">
        <v>36</v>
      </c>
      <c r="E788" s="2">
        <v>8</v>
      </c>
      <c r="F788" s="2">
        <v>10</v>
      </c>
      <c r="G788" s="2">
        <v>2022</v>
      </c>
      <c r="H788" s="36" t="s">
        <v>33</v>
      </c>
      <c r="I788" s="107" t="s">
        <v>1670</v>
      </c>
      <c r="J788" s="5" t="s">
        <v>54</v>
      </c>
      <c r="K788" s="2">
        <v>0</v>
      </c>
      <c r="L788" s="2">
        <v>0</v>
      </c>
      <c r="M788" s="5" t="s">
        <v>30</v>
      </c>
      <c r="Q788" s="2">
        <v>14</v>
      </c>
      <c r="R788" s="2" t="s">
        <v>52</v>
      </c>
      <c r="S788" s="10" t="s">
        <v>32</v>
      </c>
      <c r="T788" s="4" t="str">
        <f>IF(OR(Tabela1[[#This Row],[Grau de Risco]]="Médio",Tabela1[[#This Row],[Grau de Risco]]="Baixo"),"Não","Sim")</f>
        <v>Não</v>
      </c>
    </row>
    <row r="789" spans="1:20" hidden="1">
      <c r="A789" s="5" t="s">
        <v>2</v>
      </c>
      <c r="B789" s="6" t="s">
        <v>1805</v>
      </c>
      <c r="C789" s="5" t="s">
        <v>81</v>
      </c>
      <c r="D789" s="38" t="s">
        <v>1382</v>
      </c>
      <c r="E789" s="2">
        <v>21</v>
      </c>
      <c r="F789" s="2">
        <v>12</v>
      </c>
      <c r="G789" s="2">
        <v>2022</v>
      </c>
      <c r="H789" s="5" t="s">
        <v>71</v>
      </c>
      <c r="I789" s="5" t="s">
        <v>369</v>
      </c>
      <c r="J789" s="5" t="s">
        <v>54</v>
      </c>
      <c r="K789" s="2">
        <v>0</v>
      </c>
      <c r="L789" s="2">
        <v>0</v>
      </c>
      <c r="M789" s="5" t="s">
        <v>30</v>
      </c>
      <c r="N789" s="5">
        <v>0</v>
      </c>
      <c r="O789" s="5" t="s">
        <v>85</v>
      </c>
      <c r="P789" s="2" t="s">
        <v>31</v>
      </c>
      <c r="Q789" s="2">
        <v>14</v>
      </c>
      <c r="R789" s="2" t="s">
        <v>31</v>
      </c>
      <c r="S789" s="5" t="s">
        <v>40</v>
      </c>
      <c r="T789" s="4" t="str">
        <f>IF(OR(Tabela1[[#This Row],[Grau de Risco]]="Médio",Tabela1[[#This Row],[Grau de Risco]]="Baixo"),"Não","Sim")</f>
        <v>Não</v>
      </c>
    </row>
    <row r="790" spans="1:20" hidden="1">
      <c r="A790" s="4" t="s">
        <v>7</v>
      </c>
      <c r="B790" s="10" t="s">
        <v>1793</v>
      </c>
      <c r="C790" s="4" t="s">
        <v>41</v>
      </c>
      <c r="D790" s="38" t="s">
        <v>1393</v>
      </c>
      <c r="E790" s="3">
        <v>3</v>
      </c>
      <c r="F790" s="3">
        <v>10</v>
      </c>
      <c r="G790" s="3">
        <v>2023</v>
      </c>
      <c r="H790" s="4" t="s">
        <v>86</v>
      </c>
      <c r="I790" s="7" t="s">
        <v>421</v>
      </c>
      <c r="J790" s="4" t="s">
        <v>93</v>
      </c>
      <c r="K790" s="3" t="s">
        <v>62</v>
      </c>
      <c r="L790" s="3">
        <v>0</v>
      </c>
      <c r="M790" s="4" t="s">
        <v>30</v>
      </c>
      <c r="N790" s="4">
        <v>0</v>
      </c>
      <c r="O790" s="4" t="s">
        <v>45</v>
      </c>
      <c r="P790" s="3" t="s">
        <v>31</v>
      </c>
      <c r="Q790" s="11">
        <v>14</v>
      </c>
      <c r="R790" s="3" t="s">
        <v>52</v>
      </c>
      <c r="S790" s="5" t="s">
        <v>56</v>
      </c>
      <c r="T790" s="4" t="str">
        <f>IF(OR(Tabela1[[#This Row],[Grau de Risco]]="Médio",Tabela1[[#This Row],[Grau de Risco]]="Baixo"),"Não","Sim")</f>
        <v>Não</v>
      </c>
    </row>
    <row r="791" spans="1:20" hidden="1">
      <c r="A791" s="4" t="s">
        <v>7</v>
      </c>
      <c r="B791" s="10" t="s">
        <v>1793</v>
      </c>
      <c r="C791" s="4" t="s">
        <v>41</v>
      </c>
      <c r="D791" s="38" t="s">
        <v>1320</v>
      </c>
      <c r="E791" s="3">
        <v>20</v>
      </c>
      <c r="F791" s="3">
        <v>11</v>
      </c>
      <c r="G791" s="3">
        <v>2023</v>
      </c>
      <c r="H791" s="36" t="s">
        <v>112</v>
      </c>
      <c r="I791" s="7" t="s">
        <v>422</v>
      </c>
      <c r="J791" s="4" t="s">
        <v>93</v>
      </c>
      <c r="K791" s="3" t="s">
        <v>62</v>
      </c>
      <c r="L791" s="3">
        <v>0</v>
      </c>
      <c r="M791" s="4" t="s">
        <v>30</v>
      </c>
      <c r="N791" s="4">
        <v>0</v>
      </c>
      <c r="O791" s="4" t="s">
        <v>4</v>
      </c>
      <c r="P791" s="3" t="s">
        <v>52</v>
      </c>
      <c r="Q791" s="11">
        <v>13</v>
      </c>
      <c r="R791" s="3" t="s">
        <v>31</v>
      </c>
      <c r="S791" s="10" t="s">
        <v>63</v>
      </c>
      <c r="T791" s="4" t="str">
        <f>IF(OR(Tabela1[[#This Row],[Grau de Risco]]="Médio",Tabela1[[#This Row],[Grau de Risco]]="Baixo"),"Não","Sim")</f>
        <v>Não</v>
      </c>
    </row>
    <row r="792" spans="1:20" hidden="1">
      <c r="A792" s="24" t="s">
        <v>2</v>
      </c>
      <c r="B792" s="10" t="s">
        <v>1805</v>
      </c>
      <c r="C792" s="5" t="s">
        <v>26</v>
      </c>
      <c r="D792" s="38" t="s">
        <v>1382</v>
      </c>
      <c r="E792" s="3">
        <v>20</v>
      </c>
      <c r="F792" s="3">
        <v>9</v>
      </c>
      <c r="G792" s="3">
        <v>2023</v>
      </c>
      <c r="H792" s="5" t="s">
        <v>209</v>
      </c>
      <c r="I792" s="7" t="s">
        <v>441</v>
      </c>
      <c r="J792" s="4" t="s">
        <v>54</v>
      </c>
      <c r="K792">
        <v>8</v>
      </c>
      <c r="L792" s="3" t="s">
        <v>80</v>
      </c>
      <c r="M792" s="4"/>
      <c r="N792" s="4" t="s">
        <v>80</v>
      </c>
      <c r="O792" s="4" t="s">
        <v>55</v>
      </c>
      <c r="P792" s="3" t="s">
        <v>52</v>
      </c>
      <c r="Q792" s="11">
        <v>11</v>
      </c>
      <c r="R792" s="2" t="s">
        <v>31</v>
      </c>
      <c r="S792" s="5" t="s">
        <v>56</v>
      </c>
      <c r="T792" s="4" t="str">
        <f>IF(OR(Tabela1[[#This Row],[Grau de Risco]]="Médio",Tabela1[[#This Row],[Grau de Risco]]="Baixo"),"Não","Sim")</f>
        <v>Não</v>
      </c>
    </row>
    <row r="793" spans="1:20">
      <c r="A793" s="4" t="s">
        <v>7</v>
      </c>
      <c r="B793" s="10" t="s">
        <v>1809</v>
      </c>
      <c r="C793" s="4" t="s">
        <v>89</v>
      </c>
      <c r="D793" s="38" t="s">
        <v>1393</v>
      </c>
      <c r="E793" s="3">
        <v>21</v>
      </c>
      <c r="F793" s="3">
        <v>3</v>
      </c>
      <c r="G793" s="3">
        <v>2023</v>
      </c>
      <c r="H793" s="21" t="s">
        <v>209</v>
      </c>
      <c r="I793" s="7" t="s">
        <v>453</v>
      </c>
      <c r="J793" s="4" t="s">
        <v>61</v>
      </c>
      <c r="K793" s="3" t="s">
        <v>62</v>
      </c>
      <c r="L793" s="3" t="s">
        <v>44</v>
      </c>
      <c r="M793" s="4" t="s">
        <v>30</v>
      </c>
      <c r="N793" s="4"/>
      <c r="O793" s="4" t="s">
        <v>77</v>
      </c>
      <c r="P793" s="3" t="s">
        <v>52</v>
      </c>
      <c r="Q793" s="11">
        <v>4</v>
      </c>
      <c r="R793" s="3" t="str">
        <f>IF(Q793="","",IF(Q793&lt;4,"Crítico",IF(Q793&lt;9,"Alto",IF(Q793&lt;14,"Médio","Baixo"))))</f>
        <v>Alto</v>
      </c>
      <c r="S793" s="10" t="s">
        <v>63</v>
      </c>
      <c r="T793" s="4" t="str">
        <f>IF(OR(Tabela1[[#This Row],[Grau de Risco]]="Médio",Tabela1[[#This Row],[Grau de Risco]]="Baixo"),"Não","Sim")</f>
        <v>Sim</v>
      </c>
    </row>
    <row r="794" spans="1:20" hidden="1">
      <c r="A794" s="4" t="s">
        <v>7</v>
      </c>
      <c r="B794" s="10" t="s">
        <v>1800</v>
      </c>
      <c r="C794" s="4" t="s">
        <v>46</v>
      </c>
      <c r="D794" s="58" t="s">
        <v>1409</v>
      </c>
      <c r="E794" s="3">
        <v>7</v>
      </c>
      <c r="F794" s="3">
        <v>12</v>
      </c>
      <c r="G794" s="3">
        <v>2023</v>
      </c>
      <c r="H794" s="36" t="s">
        <v>375</v>
      </c>
      <c r="I794" s="7" t="s">
        <v>468</v>
      </c>
      <c r="J794" s="4" t="s">
        <v>111</v>
      </c>
      <c r="K794" s="3" t="s">
        <v>62</v>
      </c>
      <c r="L794" s="3" t="s">
        <v>44</v>
      </c>
      <c r="M794" s="4" t="s">
        <v>30</v>
      </c>
      <c r="N794" s="4" t="s">
        <v>44</v>
      </c>
      <c r="O794" s="4" t="s">
        <v>99</v>
      </c>
      <c r="P794" s="3" t="s">
        <v>52</v>
      </c>
      <c r="Q794" s="11">
        <v>11</v>
      </c>
      <c r="R794" s="3" t="str">
        <f>IF(Q794="","",IF(Q794&lt;4,"Crítico",IF(Q794&lt;9,"Alto",IF(Q794&lt;14,"Médio","Baixo"))))</f>
        <v>Médio</v>
      </c>
      <c r="S794" s="10" t="s">
        <v>141</v>
      </c>
      <c r="T794" s="4" t="str">
        <f>IF(OR(Tabela1[[#This Row],[Grau de Risco]]="Médio",Tabela1[[#This Row],[Grau de Risco]]="Baixo"),"Não","Sim")</f>
        <v>Não</v>
      </c>
    </row>
    <row r="795" spans="1:20">
      <c r="A795" s="4" t="s">
        <v>2</v>
      </c>
      <c r="B795" s="10" t="s">
        <v>1809</v>
      </c>
      <c r="C795" s="5" t="s">
        <v>26</v>
      </c>
      <c r="D795" s="38" t="s">
        <v>1320</v>
      </c>
      <c r="E795" s="3">
        <v>18</v>
      </c>
      <c r="F795" s="3">
        <v>8</v>
      </c>
      <c r="G795" s="3">
        <v>2023</v>
      </c>
      <c r="H795" s="5" t="s">
        <v>71</v>
      </c>
      <c r="I795" s="7" t="s">
        <v>478</v>
      </c>
      <c r="J795" s="4" t="s">
        <v>76</v>
      </c>
      <c r="K795" s="3">
        <v>12</v>
      </c>
      <c r="L795" s="3">
        <v>0</v>
      </c>
      <c r="M795" s="4" t="s">
        <v>30</v>
      </c>
      <c r="N795" s="4">
        <v>0</v>
      </c>
      <c r="O795" s="4" t="s">
        <v>45</v>
      </c>
      <c r="P795" s="3" t="s">
        <v>31</v>
      </c>
      <c r="Q795" s="11">
        <v>4</v>
      </c>
      <c r="R795" s="3" t="s">
        <v>102</v>
      </c>
      <c r="S795" s="10" t="s">
        <v>178</v>
      </c>
      <c r="T795" s="4" t="str">
        <f>IF(OR(Tabela1[[#This Row],[Grau de Risco]]="Médio",Tabela1[[#This Row],[Grau de Risco]]="Baixo"),"Não","Sim")</f>
        <v>Sim</v>
      </c>
    </row>
    <row r="796" spans="1:20">
      <c r="A796" s="4" t="s">
        <v>10</v>
      </c>
      <c r="B796" s="10" t="s">
        <v>1809</v>
      </c>
      <c r="C796" s="5" t="s">
        <v>26</v>
      </c>
      <c r="D796" s="38" t="s">
        <v>47</v>
      </c>
      <c r="E796" s="3">
        <v>9</v>
      </c>
      <c r="F796" s="3">
        <v>6</v>
      </c>
      <c r="G796" s="3">
        <v>2023</v>
      </c>
      <c r="H796" s="34" t="s">
        <v>59</v>
      </c>
      <c r="I796" s="7" t="s">
        <v>512</v>
      </c>
      <c r="J796" s="4" t="s">
        <v>54</v>
      </c>
      <c r="K796" s="3">
        <v>0</v>
      </c>
      <c r="L796" s="3"/>
      <c r="M796" s="4"/>
      <c r="N796" s="4"/>
      <c r="O796" s="4" t="s">
        <v>101</v>
      </c>
      <c r="P796" s="3" t="s">
        <v>31</v>
      </c>
      <c r="Q796" s="11">
        <v>4</v>
      </c>
      <c r="R796" s="2" t="s">
        <v>102</v>
      </c>
      <c r="S796" s="10" t="s">
        <v>63</v>
      </c>
      <c r="T796" s="4" t="str">
        <f>IF(OR(Tabela1[[#This Row],[Grau de Risco]]="Médio",Tabela1[[#This Row],[Grau de Risco]]="Baixo"),"Não","Sim")</f>
        <v>Sim</v>
      </c>
    </row>
    <row r="797" spans="1:20">
      <c r="A797" s="4" t="s">
        <v>2</v>
      </c>
      <c r="B797" s="10" t="s">
        <v>1809</v>
      </c>
      <c r="C797" s="4" t="s">
        <v>252</v>
      </c>
      <c r="D797" s="38" t="s">
        <v>1320</v>
      </c>
      <c r="E797" s="3">
        <v>13</v>
      </c>
      <c r="F797" s="3">
        <v>11</v>
      </c>
      <c r="G797" s="3">
        <v>2023</v>
      </c>
      <c r="H797" s="5" t="s">
        <v>71</v>
      </c>
      <c r="I797" s="7" t="s">
        <v>549</v>
      </c>
      <c r="J797" s="4" t="s">
        <v>69</v>
      </c>
      <c r="K797" s="3">
        <v>1</v>
      </c>
      <c r="L797" s="3">
        <v>0</v>
      </c>
      <c r="M797" s="4" t="s">
        <v>30</v>
      </c>
      <c r="N797" s="4">
        <v>0</v>
      </c>
      <c r="O797" s="4" t="s">
        <v>45</v>
      </c>
      <c r="P797" s="3" t="s">
        <v>31</v>
      </c>
      <c r="Q797" s="3">
        <v>11</v>
      </c>
      <c r="R797" s="3" t="s">
        <v>31</v>
      </c>
      <c r="S797" s="5" t="s">
        <v>56</v>
      </c>
      <c r="T797" s="4" t="str">
        <f>IF(OR(Tabela1[[#This Row],[Grau de Risco]]="Médio",Tabela1[[#This Row],[Grau de Risco]]="Baixo"),"Não","Sim")</f>
        <v>Não</v>
      </c>
    </row>
    <row r="798" spans="1:20">
      <c r="A798" s="4" t="s">
        <v>7</v>
      </c>
      <c r="B798" s="10" t="s">
        <v>1809</v>
      </c>
      <c r="C798" s="4" t="s">
        <v>46</v>
      </c>
      <c r="D798" s="38" t="s">
        <v>1393</v>
      </c>
      <c r="E798" s="3">
        <v>7</v>
      </c>
      <c r="F798" s="3">
        <v>3</v>
      </c>
      <c r="G798" s="3">
        <v>2023</v>
      </c>
      <c r="H798" s="36" t="s">
        <v>82</v>
      </c>
      <c r="I798" s="7" t="s">
        <v>567</v>
      </c>
      <c r="J798" s="4" t="s">
        <v>111</v>
      </c>
      <c r="K798" s="3" t="s">
        <v>62</v>
      </c>
      <c r="L798" s="3" t="s">
        <v>44</v>
      </c>
      <c r="M798" s="4" t="s">
        <v>30</v>
      </c>
      <c r="N798" s="4"/>
      <c r="O798" s="4" t="s">
        <v>77</v>
      </c>
      <c r="P798" s="3" t="s">
        <v>52</v>
      </c>
      <c r="Q798" s="11">
        <v>15</v>
      </c>
      <c r="R798" s="3" t="str">
        <f>IF(Q798="","",IF(Q798&lt;4,"Crítico",IF(Q798&lt;9,"Alto",IF(Q798&lt;14,"Médio","Baixo"))))</f>
        <v>Baixo</v>
      </c>
      <c r="S798" s="10" t="s">
        <v>63</v>
      </c>
      <c r="T798" s="4" t="str">
        <f>IF(OR(Tabela1[[#This Row],[Grau de Risco]]="Médio",Tabela1[[#This Row],[Grau de Risco]]="Baixo"),"Não","Sim")</f>
        <v>Não</v>
      </c>
    </row>
    <row r="799" spans="1:20">
      <c r="A799" s="4" t="s">
        <v>2</v>
      </c>
      <c r="B799" s="10" t="s">
        <v>1809</v>
      </c>
      <c r="C799" s="4" t="s">
        <v>89</v>
      </c>
      <c r="D799" s="38" t="s">
        <v>47</v>
      </c>
      <c r="E799" s="3">
        <v>8</v>
      </c>
      <c r="F799" s="3">
        <v>9</v>
      </c>
      <c r="G799" s="3">
        <v>2023</v>
      </c>
      <c r="H799" s="5" t="s">
        <v>71</v>
      </c>
      <c r="I799" s="7" t="s">
        <v>585</v>
      </c>
      <c r="J799" s="4" t="s">
        <v>192</v>
      </c>
      <c r="K799" s="3">
        <v>4</v>
      </c>
      <c r="L799" s="3">
        <v>0</v>
      </c>
      <c r="M799" s="4" t="s">
        <v>30</v>
      </c>
      <c r="N799" s="4">
        <v>0</v>
      </c>
      <c r="O799" s="4" t="s">
        <v>77</v>
      </c>
      <c r="P799" s="3" t="s">
        <v>52</v>
      </c>
      <c r="Q799" s="11">
        <v>15</v>
      </c>
      <c r="R799" s="3" t="str">
        <f>IF(Q799="","",IF(Q799&lt;4,"Crítico",IF(Q799&lt;9,"Alto",IF(Q799&lt;14,"Médio","Baixo"))))</f>
        <v>Baixo</v>
      </c>
      <c r="S799" s="10" t="s">
        <v>63</v>
      </c>
      <c r="T799" s="4" t="str">
        <f>IF(OR(Tabela1[[#This Row],[Grau de Risco]]="Médio",Tabela1[[#This Row],[Grau de Risco]]="Baixo"),"Não","Sim")</f>
        <v>Não</v>
      </c>
    </row>
    <row r="800" spans="1:20" hidden="1">
      <c r="A800" s="4" t="s">
        <v>2</v>
      </c>
      <c r="B800" s="10" t="s">
        <v>1797</v>
      </c>
      <c r="C800" s="4" t="s">
        <v>252</v>
      </c>
      <c r="D800" s="5" t="s">
        <v>148</v>
      </c>
      <c r="E800" s="3">
        <v>19</v>
      </c>
      <c r="F800" s="3">
        <v>11</v>
      </c>
      <c r="G800" s="3">
        <v>2023</v>
      </c>
      <c r="H800" s="5" t="s">
        <v>71</v>
      </c>
      <c r="I800" s="7" t="s">
        <v>596</v>
      </c>
      <c r="J800" s="4" t="s">
        <v>154</v>
      </c>
      <c r="K800" s="3">
        <v>7</v>
      </c>
      <c r="L800" s="3">
        <v>0</v>
      </c>
      <c r="M800" s="4" t="s">
        <v>30</v>
      </c>
      <c r="N800" s="4">
        <v>0</v>
      </c>
      <c r="O800" s="4" t="s">
        <v>45</v>
      </c>
      <c r="P800" s="3" t="s">
        <v>31</v>
      </c>
      <c r="Q800" s="3">
        <v>11</v>
      </c>
      <c r="R800" s="3" t="s">
        <v>31</v>
      </c>
      <c r="S800" s="5" t="s">
        <v>56</v>
      </c>
      <c r="T800" s="4" t="str">
        <f>IF(OR(Tabela1[[#This Row],[Grau de Risco]]="Médio",Tabela1[[#This Row],[Grau de Risco]]="Baixo"),"Não","Sim")</f>
        <v>Não</v>
      </c>
    </row>
    <row r="801" spans="1:20" hidden="1">
      <c r="A801" s="5" t="s">
        <v>2</v>
      </c>
      <c r="B801" s="6" t="s">
        <v>1793</v>
      </c>
      <c r="C801" s="4" t="s">
        <v>81</v>
      </c>
      <c r="D801" s="38" t="s">
        <v>1382</v>
      </c>
      <c r="E801" s="3">
        <v>7</v>
      </c>
      <c r="F801" s="2">
        <v>6</v>
      </c>
      <c r="G801" s="3">
        <v>2023</v>
      </c>
      <c r="H801" s="36" t="s">
        <v>33</v>
      </c>
      <c r="I801" s="7" t="s">
        <v>696</v>
      </c>
      <c r="J801" s="4" t="s">
        <v>69</v>
      </c>
      <c r="K801" s="3">
        <v>54</v>
      </c>
      <c r="L801" s="3">
        <v>0</v>
      </c>
      <c r="M801" s="5" t="s">
        <v>30</v>
      </c>
      <c r="N801" s="4">
        <v>54</v>
      </c>
      <c r="O801" s="4" t="s">
        <v>159</v>
      </c>
      <c r="P801" s="3" t="s">
        <v>102</v>
      </c>
      <c r="Q801" s="3">
        <v>2</v>
      </c>
      <c r="R801" s="3" t="str">
        <f>IF(Q801="","",IF(Q801&lt;4,"Crítico",IF(Q801&lt;9,"Alto",IF(Q801&lt;14,"Médio","Baixo"))))</f>
        <v>Crítico</v>
      </c>
      <c r="S801" s="5" t="s">
        <v>144</v>
      </c>
      <c r="T801" s="4" t="str">
        <f>IF(OR(Tabela1[[#This Row],[Grau de Risco]]="Médio",Tabela1[[#This Row],[Grau de Risco]]="Baixo"),"Não","Sim")</f>
        <v>Sim</v>
      </c>
    </row>
    <row r="802" spans="1:20" hidden="1">
      <c r="A802" s="4" t="s">
        <v>7</v>
      </c>
      <c r="B802" s="10" t="s">
        <v>1805</v>
      </c>
      <c r="C802" s="4" t="s">
        <v>89</v>
      </c>
      <c r="D802" s="38" t="s">
        <v>47</v>
      </c>
      <c r="E802" s="3">
        <v>10</v>
      </c>
      <c r="F802" s="3">
        <v>3</v>
      </c>
      <c r="G802" s="3">
        <v>2023</v>
      </c>
      <c r="H802" s="4" t="s">
        <v>27</v>
      </c>
      <c r="I802" s="7" t="s">
        <v>697</v>
      </c>
      <c r="J802" s="4" t="s">
        <v>61</v>
      </c>
      <c r="K802" s="3" t="s">
        <v>62</v>
      </c>
      <c r="L802" s="3" t="s">
        <v>44</v>
      </c>
      <c r="M802" s="4" t="s">
        <v>30</v>
      </c>
      <c r="N802" s="4"/>
      <c r="O802" s="4" t="s">
        <v>396</v>
      </c>
      <c r="P802" s="3" t="s">
        <v>52</v>
      </c>
      <c r="Q802" s="11">
        <v>15</v>
      </c>
      <c r="R802" s="3" t="str">
        <f>IF(Q802="","",IF(Q802&lt;4,"Crítico",IF(Q802&lt;9,"Alto",IF(Q802&lt;14,"Médio","Baixo"))))</f>
        <v>Baixo</v>
      </c>
      <c r="S802" s="10" t="s">
        <v>32</v>
      </c>
      <c r="T802" s="4" t="str">
        <f>IF(OR(Tabela1[[#This Row],[Grau de Risco]]="Médio",Tabela1[[#This Row],[Grau de Risco]]="Baixo"),"Não","Sim")</f>
        <v>Não</v>
      </c>
    </row>
    <row r="803" spans="1:20" hidden="1">
      <c r="A803" s="4" t="s">
        <v>2</v>
      </c>
      <c r="B803" s="10" t="s">
        <v>1804</v>
      </c>
      <c r="C803" s="4" t="s">
        <v>26</v>
      </c>
      <c r="D803" s="58" t="s">
        <v>1409</v>
      </c>
      <c r="E803" s="3">
        <v>5</v>
      </c>
      <c r="F803" s="3">
        <v>12</v>
      </c>
      <c r="G803" s="3">
        <v>2024</v>
      </c>
      <c r="H803" s="36" t="s">
        <v>33</v>
      </c>
      <c r="I803" s="7" t="s">
        <v>745</v>
      </c>
      <c r="J803" s="4" t="s">
        <v>154</v>
      </c>
      <c r="K803" s="3">
        <v>3</v>
      </c>
      <c r="L803" s="3">
        <v>0</v>
      </c>
      <c r="M803" s="4" t="s">
        <v>30</v>
      </c>
      <c r="N803" s="4">
        <v>0</v>
      </c>
      <c r="O803" s="4" t="s">
        <v>70</v>
      </c>
      <c r="P803" s="3" t="s">
        <v>52</v>
      </c>
      <c r="Q803" s="11">
        <v>11</v>
      </c>
      <c r="R803" s="3" t="s">
        <v>31</v>
      </c>
      <c r="S803" s="5" t="s">
        <v>56</v>
      </c>
      <c r="T803" s="4" t="str">
        <f>IF(OR(Tabela1[[#This Row],[Grau de Risco]]="Médio",Tabela1[[#This Row],[Grau de Risco]]="Baixo"),"Não","Sim")</f>
        <v>Não</v>
      </c>
    </row>
    <row r="804" spans="1:20">
      <c r="A804" s="4" t="s">
        <v>7</v>
      </c>
      <c r="B804" s="10" t="s">
        <v>1809</v>
      </c>
      <c r="C804" s="4" t="s">
        <v>26</v>
      </c>
      <c r="D804" s="38" t="s">
        <v>1393</v>
      </c>
      <c r="E804" s="3">
        <v>23</v>
      </c>
      <c r="F804" s="3">
        <v>4</v>
      </c>
      <c r="G804" s="3">
        <v>2024</v>
      </c>
      <c r="H804" s="36" t="s">
        <v>112</v>
      </c>
      <c r="I804" s="7" t="s">
        <v>750</v>
      </c>
      <c r="J804" s="4" t="s">
        <v>61</v>
      </c>
      <c r="K804" s="3" t="s">
        <v>62</v>
      </c>
      <c r="L804" s="3"/>
      <c r="M804" s="4"/>
      <c r="N804" s="4"/>
      <c r="O804" s="4" t="s">
        <v>77</v>
      </c>
      <c r="P804" s="3"/>
      <c r="Q804" s="11">
        <v>15</v>
      </c>
      <c r="R804" s="3" t="s">
        <v>52</v>
      </c>
      <c r="S804" s="10" t="s">
        <v>63</v>
      </c>
      <c r="T804" s="4" t="str">
        <f>IF(OR(Tabela1[[#This Row],[Grau de Risco]]="Médio",Tabela1[[#This Row],[Grau de Risco]]="Baixo"),"Não","Sim")</f>
        <v>Não</v>
      </c>
    </row>
    <row r="805" spans="1:20">
      <c r="A805" s="47" t="s">
        <v>9</v>
      </c>
      <c r="B805" s="10" t="s">
        <v>1809</v>
      </c>
      <c r="C805" s="47" t="s">
        <v>41</v>
      </c>
      <c r="D805" s="38" t="s">
        <v>1393</v>
      </c>
      <c r="E805" s="31">
        <v>2</v>
      </c>
      <c r="F805" s="31">
        <v>7</v>
      </c>
      <c r="G805" s="31">
        <v>2024</v>
      </c>
      <c r="H805" s="47" t="s">
        <v>209</v>
      </c>
      <c r="I805" s="47" t="s">
        <v>813</v>
      </c>
      <c r="J805" s="47" t="s">
        <v>38</v>
      </c>
      <c r="K805" s="31">
        <v>2</v>
      </c>
      <c r="L805" s="41" t="s">
        <v>30</v>
      </c>
      <c r="M805" s="31" t="s">
        <v>30</v>
      </c>
      <c r="N805" s="31" t="s">
        <v>44</v>
      </c>
      <c r="O805" s="47" t="s">
        <v>77</v>
      </c>
      <c r="P805" s="47" t="s">
        <v>31</v>
      </c>
      <c r="Q805" s="47">
        <v>10</v>
      </c>
      <c r="R805" s="32" t="s">
        <v>31</v>
      </c>
      <c r="S805" s="47" t="s">
        <v>63</v>
      </c>
      <c r="T805" s="4" t="str">
        <f>IF(OR(Tabela1[[#This Row],[Grau de Risco]]="Médio",Tabela1[[#This Row],[Grau de Risco]]="Baixo"),"Não","Sim")</f>
        <v>Não</v>
      </c>
    </row>
    <row r="806" spans="1:20">
      <c r="A806" s="4" t="s">
        <v>7</v>
      </c>
      <c r="B806" s="10" t="s">
        <v>1809</v>
      </c>
      <c r="C806" s="4" t="s">
        <v>125</v>
      </c>
      <c r="D806" s="5" t="s">
        <v>36</v>
      </c>
      <c r="E806" s="3">
        <v>13</v>
      </c>
      <c r="F806" s="3">
        <v>4</v>
      </c>
      <c r="G806" s="3">
        <v>2024</v>
      </c>
      <c r="H806" s="36" t="s">
        <v>33</v>
      </c>
      <c r="I806" s="7" t="s">
        <v>820</v>
      </c>
      <c r="J806" s="4" t="s">
        <v>150</v>
      </c>
      <c r="K806" s="3"/>
      <c r="L806" s="3"/>
      <c r="M806" s="4"/>
      <c r="N806" s="4"/>
      <c r="O806" s="4" t="s">
        <v>55</v>
      </c>
      <c r="P806" s="3" t="s">
        <v>52</v>
      </c>
      <c r="Q806" s="11">
        <v>11</v>
      </c>
      <c r="R806" s="3" t="s">
        <v>31</v>
      </c>
      <c r="S806" s="5" t="s">
        <v>56</v>
      </c>
      <c r="T806" s="4" t="str">
        <f>IF(OR(Tabela1[[#This Row],[Grau de Risco]]="Médio",Tabela1[[#This Row],[Grau de Risco]]="Baixo"),"Não","Sim")</f>
        <v>Não</v>
      </c>
    </row>
    <row r="807" spans="1:20">
      <c r="A807" s="4" t="s">
        <v>2</v>
      </c>
      <c r="B807" s="10" t="s">
        <v>1809</v>
      </c>
      <c r="C807" s="4" t="s">
        <v>41</v>
      </c>
      <c r="D807" s="38" t="s">
        <v>47</v>
      </c>
      <c r="E807" s="3">
        <v>6</v>
      </c>
      <c r="F807" s="3">
        <v>9</v>
      </c>
      <c r="G807" s="3">
        <v>2024</v>
      </c>
      <c r="H807" s="5" t="s">
        <v>48</v>
      </c>
      <c r="I807" s="7" t="s">
        <v>840</v>
      </c>
      <c r="J807" s="4" t="s">
        <v>29</v>
      </c>
      <c r="K807" s="3">
        <v>14</v>
      </c>
      <c r="L807" s="3">
        <v>0</v>
      </c>
      <c r="M807" s="4" t="s">
        <v>30</v>
      </c>
      <c r="N807" s="4">
        <v>4</v>
      </c>
      <c r="O807" s="4" t="s">
        <v>70</v>
      </c>
      <c r="P807" s="3" t="s">
        <v>31</v>
      </c>
      <c r="Q807" s="11">
        <v>11</v>
      </c>
      <c r="R807" s="3" t="s">
        <v>31</v>
      </c>
      <c r="S807" s="5" t="s">
        <v>56</v>
      </c>
      <c r="T807" s="4" t="str">
        <f>IF(OR(Tabela1[[#This Row],[Grau de Risco]]="Médio",Tabela1[[#This Row],[Grau de Risco]]="Baixo"),"Não","Sim")</f>
        <v>Não</v>
      </c>
    </row>
    <row r="808" spans="1:20">
      <c r="A808" s="4" t="s">
        <v>7</v>
      </c>
      <c r="B808" s="10" t="s">
        <v>1809</v>
      </c>
      <c r="C808" s="4" t="s">
        <v>81</v>
      </c>
      <c r="D808" s="38" t="s">
        <v>1393</v>
      </c>
      <c r="E808" s="3">
        <v>9</v>
      </c>
      <c r="F808" s="3">
        <v>4</v>
      </c>
      <c r="G808" s="3">
        <v>2024</v>
      </c>
      <c r="H808" s="36" t="s">
        <v>66</v>
      </c>
      <c r="I808" s="7" t="s">
        <v>1671</v>
      </c>
      <c r="J808" s="4" t="s">
        <v>35</v>
      </c>
      <c r="K808" s="3" t="s">
        <v>44</v>
      </c>
      <c r="L808" s="3" t="s">
        <v>44</v>
      </c>
      <c r="M808" s="4"/>
      <c r="N808" s="4" t="s">
        <v>44</v>
      </c>
      <c r="O808" s="4"/>
      <c r="P808" s="3" t="s">
        <v>52</v>
      </c>
      <c r="Q808" s="11">
        <v>4</v>
      </c>
      <c r="R808" s="3" t="s">
        <v>102</v>
      </c>
      <c r="S808" s="10" t="s">
        <v>63</v>
      </c>
      <c r="T808" s="4" t="str">
        <f>IF(OR(Tabela1[[#This Row],[Grau de Risco]]="Médio",Tabela1[[#This Row],[Grau de Risco]]="Baixo"),"Não","Sim")</f>
        <v>Sim</v>
      </c>
    </row>
    <row r="809" spans="1:20" hidden="1">
      <c r="A809" s="28" t="s">
        <v>8</v>
      </c>
      <c r="B809" s="33" t="s">
        <v>1800</v>
      </c>
      <c r="C809" s="39" t="s">
        <v>41</v>
      </c>
      <c r="D809" s="38" t="s">
        <v>1382</v>
      </c>
      <c r="E809" s="44">
        <v>13</v>
      </c>
      <c r="F809" s="32">
        <v>11</v>
      </c>
      <c r="G809" s="32">
        <v>2024</v>
      </c>
      <c r="H809" s="4" t="s">
        <v>27</v>
      </c>
      <c r="I809" s="29" t="s">
        <v>856</v>
      </c>
      <c r="J809" s="28" t="s">
        <v>61</v>
      </c>
      <c r="K809" s="32" t="s">
        <v>80</v>
      </c>
      <c r="L809" s="32" t="s">
        <v>80</v>
      </c>
      <c r="M809" s="28" t="s">
        <v>30</v>
      </c>
      <c r="N809" s="28" t="s">
        <v>80</v>
      </c>
      <c r="O809" s="28" t="s">
        <v>4</v>
      </c>
      <c r="P809" s="32" t="s">
        <v>52</v>
      </c>
      <c r="Q809" s="35">
        <v>10</v>
      </c>
      <c r="R809" s="3" t="s">
        <v>31</v>
      </c>
      <c r="S809" s="33" t="s">
        <v>4</v>
      </c>
      <c r="T809" s="4" t="str">
        <f>IF(OR(Tabela1[[#This Row],[Grau de Risco]]="Médio",Tabela1[[#This Row],[Grau de Risco]]="Baixo"),"Não","Sim")</f>
        <v>Não</v>
      </c>
    </row>
    <row r="810" spans="1:20" hidden="1">
      <c r="A810" s="4" t="s">
        <v>8</v>
      </c>
      <c r="B810" s="10" t="s">
        <v>1797</v>
      </c>
      <c r="C810" s="4" t="s">
        <v>81</v>
      </c>
      <c r="D810" s="38" t="s">
        <v>47</v>
      </c>
      <c r="E810" s="3">
        <v>19</v>
      </c>
      <c r="F810" s="3">
        <v>4</v>
      </c>
      <c r="G810" s="3">
        <v>2024</v>
      </c>
      <c r="H810" s="34" t="s">
        <v>59</v>
      </c>
      <c r="I810" s="7" t="s">
        <v>915</v>
      </c>
      <c r="J810" s="4" t="s">
        <v>79</v>
      </c>
      <c r="K810" s="3" t="s">
        <v>44</v>
      </c>
      <c r="L810" s="3" t="s">
        <v>44</v>
      </c>
      <c r="M810" s="4"/>
      <c r="N810" s="4" t="s">
        <v>44</v>
      </c>
      <c r="O810" s="4" t="s">
        <v>45</v>
      </c>
      <c r="P810" s="3" t="s">
        <v>52</v>
      </c>
      <c r="Q810" s="11">
        <v>16</v>
      </c>
      <c r="R810" s="3" t="s">
        <v>52</v>
      </c>
      <c r="S810" s="5" t="s">
        <v>56</v>
      </c>
      <c r="T810" s="4" t="str">
        <f>IF(OR(Tabela1[[#This Row],[Grau de Risco]]="Médio",Tabela1[[#This Row],[Grau de Risco]]="Baixo"),"Não","Sim")</f>
        <v>Não</v>
      </c>
    </row>
    <row r="811" spans="1:20" hidden="1">
      <c r="A811" s="4" t="s">
        <v>2</v>
      </c>
      <c r="B811" s="10" t="s">
        <v>1805</v>
      </c>
      <c r="C811" s="4" t="s">
        <v>41</v>
      </c>
      <c r="D811" s="38" t="s">
        <v>47</v>
      </c>
      <c r="E811" s="3">
        <v>5</v>
      </c>
      <c r="F811" s="3">
        <v>1</v>
      </c>
      <c r="G811" s="3">
        <v>2024</v>
      </c>
      <c r="H811" s="4" t="s">
        <v>27</v>
      </c>
      <c r="I811" s="7" t="s">
        <v>920</v>
      </c>
      <c r="J811" s="4" t="s">
        <v>150</v>
      </c>
      <c r="K811" s="3">
        <v>1</v>
      </c>
      <c r="L811" s="3">
        <v>0</v>
      </c>
      <c r="M811" s="4" t="s">
        <v>30</v>
      </c>
      <c r="N811" s="4">
        <v>0</v>
      </c>
      <c r="O811" s="4" t="s">
        <v>51</v>
      </c>
      <c r="P811" s="3" t="s">
        <v>52</v>
      </c>
      <c r="Q811" s="11">
        <v>11</v>
      </c>
      <c r="R811" s="3" t="s">
        <v>31</v>
      </c>
      <c r="S811" s="5" t="s">
        <v>56</v>
      </c>
      <c r="T811" s="4" t="str">
        <f>IF(OR(Tabela1[[#This Row],[Grau de Risco]]="Médio",Tabela1[[#This Row],[Grau de Risco]]="Baixo"),"Não","Sim")</f>
        <v>Não</v>
      </c>
    </row>
    <row r="812" spans="1:20">
      <c r="A812" s="4" t="s">
        <v>8</v>
      </c>
      <c r="B812" s="10" t="s">
        <v>1809</v>
      </c>
      <c r="C812" s="4" t="s">
        <v>46</v>
      </c>
      <c r="D812" s="38" t="s">
        <v>1382</v>
      </c>
      <c r="E812" s="3">
        <v>11</v>
      </c>
      <c r="F812" s="3">
        <v>9</v>
      </c>
      <c r="G812" s="3">
        <v>2024</v>
      </c>
      <c r="H812" s="36" t="s">
        <v>82</v>
      </c>
      <c r="I812" s="7" t="s">
        <v>954</v>
      </c>
      <c r="J812" s="4" t="s">
        <v>35</v>
      </c>
      <c r="K812" s="3" t="s">
        <v>44</v>
      </c>
      <c r="L812" s="3" t="s">
        <v>44</v>
      </c>
      <c r="M812" s="4" t="s">
        <v>30</v>
      </c>
      <c r="N812" s="4" t="s">
        <v>44</v>
      </c>
      <c r="O812" s="4" t="s">
        <v>74</v>
      </c>
      <c r="P812" s="3" t="s">
        <v>31</v>
      </c>
      <c r="Q812" s="11">
        <v>11</v>
      </c>
      <c r="R812" s="3" t="s">
        <v>31</v>
      </c>
      <c r="S812" s="5" t="s">
        <v>56</v>
      </c>
      <c r="T812" s="4" t="str">
        <f>IF(OR(Tabela1[[#This Row],[Grau de Risco]]="Médio",Tabela1[[#This Row],[Grau de Risco]]="Baixo"),"Não","Sim")</f>
        <v>Não</v>
      </c>
    </row>
    <row r="813" spans="1:20" hidden="1">
      <c r="A813" s="46" t="s">
        <v>2</v>
      </c>
      <c r="B813" s="10" t="s">
        <v>1800</v>
      </c>
      <c r="C813" s="4" t="s">
        <v>81</v>
      </c>
      <c r="D813" s="38" t="s">
        <v>1320</v>
      </c>
      <c r="E813" s="3">
        <v>22</v>
      </c>
      <c r="F813" s="3">
        <v>1</v>
      </c>
      <c r="G813" s="3">
        <v>2024</v>
      </c>
      <c r="H813" s="5" t="s">
        <v>48</v>
      </c>
      <c r="I813" s="7" t="s">
        <v>985</v>
      </c>
      <c r="J813" s="4" t="s">
        <v>54</v>
      </c>
      <c r="K813" s="3">
        <v>3</v>
      </c>
      <c r="L813" s="3" t="s">
        <v>30</v>
      </c>
      <c r="M813" s="4" t="s">
        <v>30</v>
      </c>
      <c r="N813" s="4" t="s">
        <v>44</v>
      </c>
      <c r="O813" s="4" t="s">
        <v>129</v>
      </c>
      <c r="P813" s="3" t="s">
        <v>52</v>
      </c>
      <c r="Q813" s="11">
        <v>11</v>
      </c>
      <c r="R813" s="3" t="s">
        <v>31</v>
      </c>
      <c r="S813" s="5" t="s">
        <v>56</v>
      </c>
      <c r="T813" s="4" t="str">
        <f>IF(OR(Tabela1[[#This Row],[Grau de Risco]]="Médio",Tabela1[[#This Row],[Grau de Risco]]="Baixo"),"Não","Sim")</f>
        <v>Não</v>
      </c>
    </row>
    <row r="814" spans="1:20" hidden="1">
      <c r="A814" s="52" t="s">
        <v>2</v>
      </c>
      <c r="B814" s="53" t="s">
        <v>1800</v>
      </c>
      <c r="C814" s="4" t="s">
        <v>252</v>
      </c>
      <c r="D814" s="38" t="s">
        <v>1393</v>
      </c>
      <c r="E814" s="3">
        <v>23</v>
      </c>
      <c r="F814" s="3">
        <v>4</v>
      </c>
      <c r="G814" s="3">
        <v>2024</v>
      </c>
      <c r="H814" s="36" t="s">
        <v>107</v>
      </c>
      <c r="I814" s="7" t="s">
        <v>997</v>
      </c>
      <c r="J814" s="4" t="s">
        <v>54</v>
      </c>
      <c r="K814" s="3">
        <v>13</v>
      </c>
      <c r="L814" s="3" t="s">
        <v>80</v>
      </c>
      <c r="M814" s="4" t="s">
        <v>30</v>
      </c>
      <c r="N814" s="4" t="s">
        <v>80</v>
      </c>
      <c r="O814" s="4" t="s">
        <v>4</v>
      </c>
      <c r="P814" s="3" t="s">
        <v>52</v>
      </c>
      <c r="Q814" s="11">
        <v>10</v>
      </c>
      <c r="R814" s="3" t="str">
        <f>IF(Q814="","",IF(Q814&lt;4,"Alto",IF(Q814&lt;9,"Alto",IF(Q814&lt;14,"Médio","Baixo"))))</f>
        <v>Médio</v>
      </c>
      <c r="S814" s="5" t="s">
        <v>56</v>
      </c>
      <c r="T814" s="4" t="str">
        <f>IF(OR(Tabela1[[#This Row],[Grau de Risco]]="Médio",Tabela1[[#This Row],[Grau de Risco]]="Baixo"),"Não","Sim")</f>
        <v>Não</v>
      </c>
    </row>
    <row r="815" spans="1:20" hidden="1">
      <c r="A815" s="5" t="s">
        <v>7</v>
      </c>
      <c r="B815" s="10" t="s">
        <v>1800</v>
      </c>
      <c r="C815" s="4" t="s">
        <v>81</v>
      </c>
      <c r="D815" s="38" t="s">
        <v>1393</v>
      </c>
      <c r="E815" s="3">
        <v>6</v>
      </c>
      <c r="F815" s="3">
        <v>2</v>
      </c>
      <c r="G815" s="3">
        <v>2024</v>
      </c>
      <c r="H815" s="36" t="s">
        <v>66</v>
      </c>
      <c r="I815" s="7" t="s">
        <v>1020</v>
      </c>
      <c r="J815" s="4" t="s">
        <v>54</v>
      </c>
      <c r="K815" s="3" t="s">
        <v>44</v>
      </c>
      <c r="L815" s="3" t="s">
        <v>44</v>
      </c>
      <c r="M815" s="4" t="s">
        <v>30</v>
      </c>
      <c r="N815" s="4" t="s">
        <v>44</v>
      </c>
      <c r="O815" s="4" t="s">
        <v>77</v>
      </c>
      <c r="P815" s="3"/>
      <c r="Q815" s="11">
        <v>11</v>
      </c>
      <c r="R815" s="3" t="s">
        <v>31</v>
      </c>
      <c r="S815" s="10" t="s">
        <v>63</v>
      </c>
      <c r="T815" s="4" t="str">
        <f>IF(OR(Tabela1[[#This Row],[Grau de Risco]]="Médio",Tabela1[[#This Row],[Grau de Risco]]="Baixo"),"Não","Sim")</f>
        <v>Não</v>
      </c>
    </row>
    <row r="816" spans="1:20" hidden="1">
      <c r="A816" s="5" t="s">
        <v>7</v>
      </c>
      <c r="B816" s="10" t="s">
        <v>1800</v>
      </c>
      <c r="C816" s="4" t="s">
        <v>81</v>
      </c>
      <c r="D816" s="38" t="s">
        <v>47</v>
      </c>
      <c r="E816" s="3">
        <v>5</v>
      </c>
      <c r="F816" s="3">
        <v>4</v>
      </c>
      <c r="G816" s="3">
        <v>2024</v>
      </c>
      <c r="H816" s="36" t="s">
        <v>82</v>
      </c>
      <c r="I816" s="7" t="s">
        <v>1672</v>
      </c>
      <c r="J816" s="4" t="s">
        <v>54</v>
      </c>
      <c r="K816" s="3" t="s">
        <v>44</v>
      </c>
      <c r="L816" s="3" t="s">
        <v>44</v>
      </c>
      <c r="M816" s="4" t="s">
        <v>30</v>
      </c>
      <c r="N816" s="4" t="s">
        <v>44</v>
      </c>
      <c r="O816" s="4"/>
      <c r="P816" s="3"/>
      <c r="Q816" s="11">
        <v>15</v>
      </c>
      <c r="R816" s="3" t="s">
        <v>52</v>
      </c>
      <c r="S816" s="10" t="s">
        <v>178</v>
      </c>
      <c r="T816" s="4" t="str">
        <f>IF(OR(Tabela1[[#This Row],[Grau de Risco]]="Médio",Tabela1[[#This Row],[Grau de Risco]]="Baixo"),"Não","Sim")</f>
        <v>Não</v>
      </c>
    </row>
    <row r="817" spans="1:20" hidden="1">
      <c r="A817" s="4" t="s">
        <v>7</v>
      </c>
      <c r="B817" s="10" t="s">
        <v>1800</v>
      </c>
      <c r="C817" s="4" t="s">
        <v>81</v>
      </c>
      <c r="D817" s="38" t="s">
        <v>47</v>
      </c>
      <c r="E817" s="3">
        <v>12</v>
      </c>
      <c r="F817" s="3">
        <v>4</v>
      </c>
      <c r="G817" s="3">
        <v>2024</v>
      </c>
      <c r="H817" s="36" t="s">
        <v>107</v>
      </c>
      <c r="I817" s="7" t="s">
        <v>1070</v>
      </c>
      <c r="J817" s="4" t="s">
        <v>61</v>
      </c>
      <c r="K817" s="3" t="s">
        <v>62</v>
      </c>
      <c r="L817" s="3"/>
      <c r="M817" s="4"/>
      <c r="N817" s="4"/>
      <c r="O817" s="4" t="s">
        <v>4</v>
      </c>
      <c r="P817" s="3"/>
      <c r="Q817" s="11">
        <v>15</v>
      </c>
      <c r="R817" s="3" t="s">
        <v>52</v>
      </c>
      <c r="S817" s="10" t="s">
        <v>63</v>
      </c>
      <c r="T817" s="4" t="str">
        <f>IF(OR(Tabela1[[#This Row],[Grau de Risco]]="Médio",Tabela1[[#This Row],[Grau de Risco]]="Baixo"),"Não","Sim")</f>
        <v>Não</v>
      </c>
    </row>
    <row r="818" spans="1:20">
      <c r="A818" s="4" t="s">
        <v>7</v>
      </c>
      <c r="B818" s="10" t="s">
        <v>1809</v>
      </c>
      <c r="C818" s="4" t="s">
        <v>26</v>
      </c>
      <c r="D818" s="38" t="s">
        <v>47</v>
      </c>
      <c r="E818" s="3">
        <v>6</v>
      </c>
      <c r="F818" s="3">
        <v>12</v>
      </c>
      <c r="G818" s="3">
        <v>2024</v>
      </c>
      <c r="H818" s="36" t="s">
        <v>33</v>
      </c>
      <c r="I818" s="7" t="s">
        <v>1074</v>
      </c>
      <c r="J818" s="4" t="s">
        <v>115</v>
      </c>
      <c r="K818" s="3"/>
      <c r="L818" s="3"/>
      <c r="M818" s="4"/>
      <c r="N818" s="4"/>
      <c r="O818" s="4" t="s">
        <v>74</v>
      </c>
      <c r="P818" s="3"/>
      <c r="Q818" s="11">
        <v>10</v>
      </c>
      <c r="R818" s="3" t="s">
        <v>31</v>
      </c>
      <c r="S818" s="10" t="s">
        <v>141</v>
      </c>
      <c r="T818" s="4" t="str">
        <f>IF(OR(Tabela1[[#This Row],[Grau de Risco]]="Médio",Tabela1[[#This Row],[Grau de Risco]]="Baixo"),"Não","Sim")</f>
        <v>Não</v>
      </c>
    </row>
    <row r="819" spans="1:20" hidden="1">
      <c r="A819" s="4" t="s">
        <v>10</v>
      </c>
      <c r="B819" s="10" t="s">
        <v>1797</v>
      </c>
      <c r="C819" s="4" t="s">
        <v>252</v>
      </c>
      <c r="D819" s="38" t="s">
        <v>1393</v>
      </c>
      <c r="E819" s="3">
        <v>26</v>
      </c>
      <c r="F819" s="3">
        <v>11</v>
      </c>
      <c r="G819" s="3">
        <v>2024</v>
      </c>
      <c r="H819" s="4" t="s">
        <v>86</v>
      </c>
      <c r="I819" s="7" t="s">
        <v>1091</v>
      </c>
      <c r="J819" s="4" t="s">
        <v>93</v>
      </c>
      <c r="K819" s="3"/>
      <c r="L819" s="3">
        <v>0</v>
      </c>
      <c r="M819" s="4"/>
      <c r="N819" s="4"/>
      <c r="O819" s="4" t="s">
        <v>45</v>
      </c>
      <c r="P819" s="3" t="s">
        <v>52</v>
      </c>
      <c r="Q819" s="11">
        <v>15</v>
      </c>
      <c r="R819" s="3" t="s">
        <v>52</v>
      </c>
      <c r="S819" s="5" t="s">
        <v>56</v>
      </c>
      <c r="T819" s="4" t="str">
        <f>IF(OR(Tabela1[[#This Row],[Grau de Risco]]="Médio",Tabela1[[#This Row],[Grau de Risco]]="Baixo"),"Não","Sim")</f>
        <v>Não</v>
      </c>
    </row>
    <row r="820" spans="1:20">
      <c r="A820" s="4" t="s">
        <v>9</v>
      </c>
      <c r="B820" s="10" t="s">
        <v>1809</v>
      </c>
      <c r="C820" s="4" t="s">
        <v>81</v>
      </c>
      <c r="D820" s="38" t="s">
        <v>1320</v>
      </c>
      <c r="E820" s="3">
        <v>1</v>
      </c>
      <c r="F820" s="3">
        <v>4</v>
      </c>
      <c r="G820" s="3">
        <v>2024</v>
      </c>
      <c r="H820" s="36" t="s">
        <v>112</v>
      </c>
      <c r="I820" s="7" t="s">
        <v>1099</v>
      </c>
      <c r="J820" s="4" t="s">
        <v>38</v>
      </c>
      <c r="K820" s="3">
        <v>1</v>
      </c>
      <c r="L820" s="3" t="s">
        <v>44</v>
      </c>
      <c r="M820" s="4" t="s">
        <v>30</v>
      </c>
      <c r="N820" s="4" t="s">
        <v>44</v>
      </c>
      <c r="O820" s="4" t="s">
        <v>101</v>
      </c>
      <c r="P820" s="3" t="s">
        <v>31</v>
      </c>
      <c r="Q820" s="11">
        <v>11</v>
      </c>
      <c r="R820" s="3" t="s">
        <v>31</v>
      </c>
      <c r="S820" s="10" t="s">
        <v>63</v>
      </c>
      <c r="T820" s="4" t="str">
        <f>IF(OR(Tabela1[[#This Row],[Grau de Risco]]="Médio",Tabela1[[#This Row],[Grau de Risco]]="Baixo"),"Não","Sim")</f>
        <v>Não</v>
      </c>
    </row>
    <row r="821" spans="1:20" hidden="1">
      <c r="A821" s="4" t="s">
        <v>9</v>
      </c>
      <c r="B821" s="10" t="s">
        <v>1800</v>
      </c>
      <c r="C821" s="4" t="s">
        <v>252</v>
      </c>
      <c r="D821" s="38" t="s">
        <v>1320</v>
      </c>
      <c r="E821" s="3">
        <v>6</v>
      </c>
      <c r="F821" s="3">
        <v>5</v>
      </c>
      <c r="G821" s="3">
        <v>2024</v>
      </c>
      <c r="H821" s="36" t="s">
        <v>112</v>
      </c>
      <c r="I821" s="7" t="s">
        <v>1105</v>
      </c>
      <c r="J821" s="4" t="s">
        <v>35</v>
      </c>
      <c r="K821" s="3">
        <v>15</v>
      </c>
      <c r="L821" s="3">
        <v>15</v>
      </c>
      <c r="M821" s="4" t="s">
        <v>30</v>
      </c>
      <c r="N821" s="4"/>
      <c r="O821" s="4" t="s">
        <v>386</v>
      </c>
      <c r="P821" s="3" t="s">
        <v>31</v>
      </c>
      <c r="Q821" s="11">
        <v>7</v>
      </c>
      <c r="R821" s="3" t="s">
        <v>102</v>
      </c>
      <c r="S821" s="10" t="s">
        <v>63</v>
      </c>
      <c r="T821" s="4" t="str">
        <f>IF(OR(Tabela1[[#This Row],[Grau de Risco]]="Médio",Tabela1[[#This Row],[Grau de Risco]]="Baixo"),"Não","Sim")</f>
        <v>Sim</v>
      </c>
    </row>
    <row r="822" spans="1:20" hidden="1">
      <c r="A822" s="4" t="s">
        <v>2</v>
      </c>
      <c r="B822" s="10" t="s">
        <v>1797</v>
      </c>
      <c r="C822" s="4" t="s">
        <v>252</v>
      </c>
      <c r="D822" s="38" t="s">
        <v>1382</v>
      </c>
      <c r="E822" s="3">
        <v>12</v>
      </c>
      <c r="F822" s="3">
        <v>2</v>
      </c>
      <c r="G822" s="3">
        <v>2025</v>
      </c>
      <c r="H822" s="5" t="s">
        <v>71</v>
      </c>
      <c r="I822" s="7" t="s">
        <v>1155</v>
      </c>
      <c r="J822" s="4" t="s">
        <v>79</v>
      </c>
      <c r="K822" s="3">
        <v>2</v>
      </c>
      <c r="L822" s="3">
        <v>0</v>
      </c>
      <c r="M822" s="4" t="s">
        <v>30</v>
      </c>
      <c r="N822" s="4">
        <v>0</v>
      </c>
      <c r="O822" s="4" t="s">
        <v>45</v>
      </c>
      <c r="P822" s="3" t="s">
        <v>31</v>
      </c>
      <c r="Q822" s="11">
        <v>10</v>
      </c>
      <c r="R822" s="3" t="s">
        <v>31</v>
      </c>
      <c r="S822" s="5" t="s">
        <v>56</v>
      </c>
      <c r="T822" s="4" t="str">
        <f>IF(OR(Tabela1[[#This Row],[Grau de Risco]]="Médio",Tabela1[[#This Row],[Grau de Risco]]="Baixo"),"Não","Sim")</f>
        <v>Não</v>
      </c>
    </row>
    <row r="823" spans="1:20" hidden="1">
      <c r="A823" s="4" t="s">
        <v>7</v>
      </c>
      <c r="B823" s="10" t="s">
        <v>1797</v>
      </c>
      <c r="C823" s="4" t="s">
        <v>41</v>
      </c>
      <c r="D823" s="38" t="s">
        <v>1393</v>
      </c>
      <c r="E823" s="3">
        <v>11</v>
      </c>
      <c r="F823" s="3">
        <v>3</v>
      </c>
      <c r="G823" s="3">
        <v>2025</v>
      </c>
      <c r="H823" s="5" t="s">
        <v>48</v>
      </c>
      <c r="I823" s="7" t="s">
        <v>1673</v>
      </c>
      <c r="J823" s="4" t="s">
        <v>93</v>
      </c>
      <c r="K823" s="3">
        <v>0</v>
      </c>
      <c r="L823" s="3">
        <v>0</v>
      </c>
      <c r="M823" s="4"/>
      <c r="N823" s="4"/>
      <c r="O823" s="4"/>
      <c r="P823" s="3"/>
      <c r="Q823" s="11">
        <v>14</v>
      </c>
      <c r="R823" s="3" t="s">
        <v>52</v>
      </c>
      <c r="S823" s="5" t="s">
        <v>56</v>
      </c>
      <c r="T823" s="4" t="str">
        <f>IF(OR(Tabela1[[#This Row],[Grau de Risco]]="Médio",Tabela1[[#This Row],[Grau de Risco]]="Baixo"),"Não","Sim")</f>
        <v>Não</v>
      </c>
    </row>
    <row r="824" spans="1:20" hidden="1">
      <c r="A824" s="28" t="s">
        <v>7</v>
      </c>
      <c r="B824" s="33" t="s">
        <v>1800</v>
      </c>
      <c r="C824" s="28" t="s">
        <v>125</v>
      </c>
      <c r="D824" s="58" t="s">
        <v>1409</v>
      </c>
      <c r="E824" s="32">
        <v>27</v>
      </c>
      <c r="F824" s="32">
        <v>3</v>
      </c>
      <c r="G824" s="32">
        <v>2025</v>
      </c>
      <c r="H824" s="58" t="s">
        <v>33</v>
      </c>
      <c r="I824" s="29" t="s">
        <v>1207</v>
      </c>
      <c r="J824" s="28" t="s">
        <v>61</v>
      </c>
      <c r="K824" s="32" t="s">
        <v>80</v>
      </c>
      <c r="L824" s="32" t="s">
        <v>80</v>
      </c>
      <c r="M824" s="28" t="s">
        <v>30</v>
      </c>
      <c r="N824" s="28" t="s">
        <v>80</v>
      </c>
      <c r="O824" s="28" t="s">
        <v>4</v>
      </c>
      <c r="P824" s="32" t="s">
        <v>52</v>
      </c>
      <c r="Q824" s="35">
        <v>14</v>
      </c>
      <c r="R824" s="32" t="s">
        <v>52</v>
      </c>
      <c r="S824" s="33" t="s">
        <v>141</v>
      </c>
      <c r="T824" s="4" t="str">
        <f>IF(OR(Tabela1[[#This Row],[Grau de Risco]]="Médio",Tabela1[[#This Row],[Grau de Risco]]="Baixo"),"Não","Sim")</f>
        <v>Não</v>
      </c>
    </row>
    <row r="825" spans="1:20" hidden="1">
      <c r="A825" s="4" t="s">
        <v>9</v>
      </c>
      <c r="B825" s="10" t="s">
        <v>1797</v>
      </c>
      <c r="C825" s="4" t="s">
        <v>252</v>
      </c>
      <c r="D825" s="38" t="s">
        <v>1382</v>
      </c>
      <c r="E825" s="3">
        <v>28</v>
      </c>
      <c r="F825" s="3">
        <v>5</v>
      </c>
      <c r="G825" s="3">
        <v>2025</v>
      </c>
      <c r="H825" s="4" t="s">
        <v>86</v>
      </c>
      <c r="I825" s="7" t="s">
        <v>1272</v>
      </c>
      <c r="J825" s="4" t="s">
        <v>79</v>
      </c>
      <c r="K825" s="3">
        <v>3</v>
      </c>
      <c r="L825" s="3">
        <v>0</v>
      </c>
      <c r="M825" s="4" t="s">
        <v>30</v>
      </c>
      <c r="N825" s="4">
        <v>0</v>
      </c>
      <c r="O825" s="4" t="s">
        <v>101</v>
      </c>
      <c r="P825" s="3" t="s">
        <v>52</v>
      </c>
      <c r="Q825" s="11">
        <v>7</v>
      </c>
      <c r="R825" s="3" t="s">
        <v>102</v>
      </c>
      <c r="S825" s="10" t="s">
        <v>63</v>
      </c>
      <c r="T825" s="4" t="str">
        <f>IF(OR(Tabela1[[#This Row],[Grau de Risco]]="Médio",Tabela1[[#This Row],[Grau de Risco]]="Baixo"),"Não","Sim")</f>
        <v>Sim</v>
      </c>
    </row>
    <row r="826" spans="1:20" hidden="1">
      <c r="A826" s="4" t="s">
        <v>9</v>
      </c>
      <c r="B826" s="10" t="s">
        <v>1797</v>
      </c>
      <c r="C826" s="4" t="s">
        <v>125</v>
      </c>
      <c r="D826" s="38" t="s">
        <v>1320</v>
      </c>
      <c r="E826" s="3">
        <v>9</v>
      </c>
      <c r="F826" s="3">
        <v>6</v>
      </c>
      <c r="G826" s="3">
        <v>2025</v>
      </c>
      <c r="H826" s="36" t="s">
        <v>107</v>
      </c>
      <c r="I826" s="7" t="s">
        <v>1289</v>
      </c>
      <c r="J826" s="4" t="s">
        <v>575</v>
      </c>
      <c r="K826" s="3">
        <v>2</v>
      </c>
      <c r="L826" s="3"/>
      <c r="M826" s="4"/>
      <c r="N826" s="4"/>
      <c r="O826" s="4" t="s">
        <v>101</v>
      </c>
      <c r="P826" s="3" t="s">
        <v>31</v>
      </c>
      <c r="Q826" s="11">
        <v>9</v>
      </c>
      <c r="R826" s="3" t="s">
        <v>31</v>
      </c>
      <c r="S826" s="10" t="s">
        <v>63</v>
      </c>
      <c r="T826" s="4" t="str">
        <f>IF(OR(Tabela1[[#This Row],[Grau de Risco]]="Médio",Tabela1[[#This Row],[Grau de Risco]]="Baixo"),"Não","Sim")</f>
        <v>Não</v>
      </c>
    </row>
    <row r="827" spans="1:20" hidden="1">
      <c r="A827" s="28" t="s">
        <v>7</v>
      </c>
      <c r="B827" s="33" t="s">
        <v>1805</v>
      </c>
      <c r="C827" s="28" t="s">
        <v>252</v>
      </c>
      <c r="D827" s="38" t="s">
        <v>1320</v>
      </c>
      <c r="E827" s="32">
        <v>16</v>
      </c>
      <c r="F827" s="32">
        <v>6</v>
      </c>
      <c r="G827" s="32">
        <v>2025</v>
      </c>
      <c r="H827" s="5" t="s">
        <v>48</v>
      </c>
      <c r="I827" s="29" t="s">
        <v>1305</v>
      </c>
      <c r="J827" s="28" t="s">
        <v>73</v>
      </c>
      <c r="K827" s="32"/>
      <c r="L827" s="32"/>
      <c r="M827" s="28"/>
      <c r="N827" s="28"/>
      <c r="O827" s="28" t="s">
        <v>4</v>
      </c>
      <c r="P827" s="32"/>
      <c r="Q827" s="35">
        <v>15</v>
      </c>
      <c r="R827" s="32" t="s">
        <v>52</v>
      </c>
      <c r="S827" s="33" t="s">
        <v>63</v>
      </c>
      <c r="T827" s="4" t="str">
        <f>IF(OR(Tabela1[[#This Row],[Grau de Risco]]="Médio",Tabela1[[#This Row],[Grau de Risco]]="Baixo"),"Não","Sim")</f>
        <v>Não</v>
      </c>
    </row>
    <row r="828" spans="1:20" hidden="1">
      <c r="A828" s="4" t="s">
        <v>2</v>
      </c>
      <c r="B828" s="10" t="s">
        <v>1797</v>
      </c>
      <c r="C828" s="4" t="s">
        <v>252</v>
      </c>
      <c r="D828" s="38" t="s">
        <v>47</v>
      </c>
      <c r="E828" s="3">
        <v>18</v>
      </c>
      <c r="F828" s="3">
        <v>7</v>
      </c>
      <c r="G828" s="3">
        <v>2025</v>
      </c>
      <c r="H828" s="4" t="s">
        <v>27</v>
      </c>
      <c r="I828" s="7" t="s">
        <v>1358</v>
      </c>
      <c r="J828" s="4" t="s">
        <v>69</v>
      </c>
      <c r="K828" s="3">
        <v>14</v>
      </c>
      <c r="L828" s="3">
        <v>0</v>
      </c>
      <c r="M828" s="4" t="s">
        <v>30</v>
      </c>
      <c r="N828" s="4"/>
      <c r="O828" s="4" t="s">
        <v>117</v>
      </c>
      <c r="P828" s="3" t="s">
        <v>52</v>
      </c>
      <c r="Q828" s="11">
        <v>11</v>
      </c>
      <c r="R828" s="3" t="s">
        <v>31</v>
      </c>
      <c r="S828" s="5" t="s">
        <v>56</v>
      </c>
      <c r="T828" s="4" t="str">
        <f>IF(OR(Tabela1[[#This Row],[Grau de Risco]]="Médio",Tabela1[[#This Row],[Grau de Risco]]="Baixo"),"Não","Sim")</f>
        <v>Não</v>
      </c>
    </row>
    <row r="829" spans="1:20" hidden="1">
      <c r="A829" s="28" t="s">
        <v>7</v>
      </c>
      <c r="B829" s="33" t="s">
        <v>1800</v>
      </c>
      <c r="C829" s="28" t="s">
        <v>125</v>
      </c>
      <c r="D829" s="38" t="s">
        <v>36</v>
      </c>
      <c r="E829" s="32">
        <v>30</v>
      </c>
      <c r="F829" s="32">
        <v>8</v>
      </c>
      <c r="G829" s="32">
        <v>2025</v>
      </c>
      <c r="H829" s="38" t="s">
        <v>27</v>
      </c>
      <c r="I829" s="7" t="s">
        <v>1418</v>
      </c>
      <c r="J829" s="28" t="s">
        <v>84</v>
      </c>
      <c r="K829" s="32" t="s">
        <v>80</v>
      </c>
      <c r="L829" s="32" t="s">
        <v>80</v>
      </c>
      <c r="M829" s="28" t="s">
        <v>30</v>
      </c>
      <c r="N829" s="28" t="s">
        <v>80</v>
      </c>
      <c r="O829" s="4" t="s">
        <v>4</v>
      </c>
      <c r="P829" s="32" t="s">
        <v>44</v>
      </c>
      <c r="Q829" s="35">
        <v>11</v>
      </c>
      <c r="R829" s="32" t="s">
        <v>31</v>
      </c>
      <c r="S829" s="33" t="s">
        <v>63</v>
      </c>
      <c r="T829" s="4" t="str">
        <f>IF(OR(Tabela1[[#This Row],[Grau de Risco]]="Médio",Tabela1[[#This Row],[Grau de Risco]]="Baixo"),"Não","Sim")</f>
        <v>Não</v>
      </c>
    </row>
    <row r="830" spans="1:20" hidden="1">
      <c r="A830" s="28" t="s">
        <v>7</v>
      </c>
      <c r="B830" s="33" t="s">
        <v>1800</v>
      </c>
      <c r="C830" s="28" t="s">
        <v>41</v>
      </c>
      <c r="D830" s="38" t="s">
        <v>47</v>
      </c>
      <c r="E830" s="32">
        <v>17</v>
      </c>
      <c r="F830" s="32">
        <v>9</v>
      </c>
      <c r="G830" s="32">
        <v>2025</v>
      </c>
      <c r="H830" s="38" t="s">
        <v>66</v>
      </c>
      <c r="I830" s="7" t="s">
        <v>1456</v>
      </c>
      <c r="J830" s="28" t="s">
        <v>69</v>
      </c>
      <c r="K830" s="32" t="s">
        <v>80</v>
      </c>
      <c r="L830" s="32" t="s">
        <v>80</v>
      </c>
      <c r="M830" s="28" t="s">
        <v>30</v>
      </c>
      <c r="N830" s="28"/>
      <c r="O830" s="28" t="s">
        <v>4</v>
      </c>
      <c r="P830" s="32" t="s">
        <v>52</v>
      </c>
      <c r="Q830" s="35">
        <v>14</v>
      </c>
      <c r="R830" s="3" t="s">
        <v>52</v>
      </c>
      <c r="S830" s="33" t="s">
        <v>32</v>
      </c>
      <c r="T830" s="4" t="str">
        <f>IF(OR(Tabela1[[#This Row],[Grau de Risco]]="Médio",Tabela1[[#This Row],[Grau de Risco]]="Baixo"),"Não","Sim")</f>
        <v>Não</v>
      </c>
    </row>
    <row r="831" spans="1:20" hidden="1">
      <c r="A831" s="28" t="s">
        <v>7</v>
      </c>
      <c r="B831" s="33" t="s">
        <v>1800</v>
      </c>
      <c r="C831" s="28" t="s">
        <v>41</v>
      </c>
      <c r="D831" s="38" t="s">
        <v>36</v>
      </c>
      <c r="E831" s="32">
        <v>4</v>
      </c>
      <c r="F831" s="32">
        <v>10</v>
      </c>
      <c r="G831" s="32">
        <v>2025</v>
      </c>
      <c r="H831" s="38" t="s">
        <v>71</v>
      </c>
      <c r="I831" s="7" t="s">
        <v>1494</v>
      </c>
      <c r="J831" s="28" t="s">
        <v>69</v>
      </c>
      <c r="K831" s="32" t="s">
        <v>80</v>
      </c>
      <c r="L831" s="32" t="s">
        <v>80</v>
      </c>
      <c r="M831" s="28" t="s">
        <v>30</v>
      </c>
      <c r="N831" s="28" t="s">
        <v>80</v>
      </c>
      <c r="O831" s="4" t="s">
        <v>167</v>
      </c>
      <c r="P831" s="32" t="s">
        <v>44</v>
      </c>
      <c r="Q831" s="35">
        <v>11</v>
      </c>
      <c r="R831" s="32" t="s">
        <v>31</v>
      </c>
      <c r="S831" s="33" t="s">
        <v>56</v>
      </c>
      <c r="T831" s="4" t="str">
        <f>IF(OR(Tabela1[[#This Row],[Grau de Risco]]="Médio",Tabela1[[#This Row],[Grau de Risco]]="Baixo"),"Não","Sim")</f>
        <v>Não</v>
      </c>
    </row>
    <row r="832" spans="1:20" hidden="1">
      <c r="A832" s="28" t="s">
        <v>7</v>
      </c>
      <c r="B832" s="33" t="s">
        <v>1800</v>
      </c>
      <c r="C832" s="28" t="s">
        <v>41</v>
      </c>
      <c r="D832" s="38" t="s">
        <v>1382</v>
      </c>
      <c r="E832" s="32">
        <v>22</v>
      </c>
      <c r="F832" s="32">
        <v>10</v>
      </c>
      <c r="G832" s="32">
        <v>2025</v>
      </c>
      <c r="H832" s="38" t="s">
        <v>59</v>
      </c>
      <c r="I832" s="7" t="s">
        <v>1508</v>
      </c>
      <c r="J832" s="28" t="s">
        <v>50</v>
      </c>
      <c r="K832" s="32" t="s">
        <v>80</v>
      </c>
      <c r="L832" s="32" t="s">
        <v>80</v>
      </c>
      <c r="M832" s="28" t="s">
        <v>30</v>
      </c>
      <c r="N832" s="28" t="s">
        <v>80</v>
      </c>
      <c r="O832" s="4" t="s">
        <v>70</v>
      </c>
      <c r="P832" s="32" t="s">
        <v>44</v>
      </c>
      <c r="Q832" s="35">
        <v>15</v>
      </c>
      <c r="R832" s="3" t="s">
        <v>52</v>
      </c>
      <c r="S832" s="33" t="s">
        <v>56</v>
      </c>
      <c r="T832" s="4" t="str">
        <f>IF(OR(Tabela1[[#This Row],[Grau de Risco]]="Médio",Tabela1[[#This Row],[Grau de Risco]]="Baixo"),"Não","Sim")</f>
        <v>Não</v>
      </c>
    </row>
    <row r="833" spans="1:20" hidden="1">
      <c r="A833" s="38" t="s">
        <v>7</v>
      </c>
      <c r="B833" s="38" t="s">
        <v>1800</v>
      </c>
      <c r="C833" s="38" t="s">
        <v>41</v>
      </c>
      <c r="D833" s="38" t="s">
        <v>47</v>
      </c>
      <c r="E833" s="38">
        <v>21</v>
      </c>
      <c r="F833" s="38">
        <v>11</v>
      </c>
      <c r="G833" s="38">
        <v>2025</v>
      </c>
      <c r="H833" s="38" t="s">
        <v>27</v>
      </c>
      <c r="I833" t="s">
        <v>1541</v>
      </c>
      <c r="J833" s="38" t="s">
        <v>69</v>
      </c>
      <c r="K833" s="38" t="s">
        <v>80</v>
      </c>
      <c r="L833" s="38" t="s">
        <v>80</v>
      </c>
      <c r="M833" s="38" t="s">
        <v>30</v>
      </c>
      <c r="N833" s="38" t="s">
        <v>80</v>
      </c>
      <c r="O833" s="38" t="s">
        <v>45</v>
      </c>
      <c r="P833" s="32" t="s">
        <v>52</v>
      </c>
      <c r="Q833" s="38">
        <v>15</v>
      </c>
      <c r="R833" s="32" t="s">
        <v>52</v>
      </c>
      <c r="S833" s="38" t="s">
        <v>56</v>
      </c>
      <c r="T833" s="4" t="str">
        <f>IF(OR(Tabela1[[#This Row],[Grau de Risco]]="Médio",Tabela1[[#This Row],[Grau de Risco]]="Baixo"),"Não","Sim")</f>
        <v>Não</v>
      </c>
    </row>
    <row r="834" spans="1:20">
      <c r="A834" s="5" t="s">
        <v>2</v>
      </c>
      <c r="B834" s="10" t="s">
        <v>1809</v>
      </c>
      <c r="C834" s="5" t="s">
        <v>26</v>
      </c>
      <c r="D834" s="38" t="s">
        <v>1320</v>
      </c>
      <c r="E834" s="3">
        <v>7</v>
      </c>
      <c r="F834" s="3">
        <v>12</v>
      </c>
      <c r="G834" s="3">
        <v>2020</v>
      </c>
      <c r="H834" s="36" t="s">
        <v>33</v>
      </c>
      <c r="I834" s="7" t="s">
        <v>34</v>
      </c>
      <c r="J834" s="4" t="s">
        <v>35</v>
      </c>
      <c r="K834" s="3">
        <v>1</v>
      </c>
      <c r="L834" s="3">
        <v>0</v>
      </c>
      <c r="M834" s="5" t="s">
        <v>30</v>
      </c>
      <c r="N834" s="4">
        <v>1</v>
      </c>
      <c r="O834" s="4" t="s">
        <v>4</v>
      </c>
      <c r="P834" s="3" t="s">
        <v>31</v>
      </c>
      <c r="Q834" s="3">
        <v>17</v>
      </c>
      <c r="R834" s="2" t="s">
        <v>31</v>
      </c>
      <c r="S834" s="10" t="s">
        <v>32</v>
      </c>
      <c r="T834" s="4" t="str">
        <f>IF(OR(Tabela1[[#This Row],[Grau de Risco]]="Médio",Tabela1[[#This Row],[Grau de Risco]]="Baixo"),"Não","Sim")</f>
        <v>Não</v>
      </c>
    </row>
    <row r="835" spans="1:20">
      <c r="A835" s="5" t="s">
        <v>2</v>
      </c>
      <c r="B835" s="10" t="s">
        <v>1809</v>
      </c>
      <c r="C835" s="5" t="s">
        <v>46</v>
      </c>
      <c r="D835" s="38" t="s">
        <v>1393</v>
      </c>
      <c r="E835" s="2">
        <v>11</v>
      </c>
      <c r="F835" s="2">
        <v>2</v>
      </c>
      <c r="G835" s="2">
        <v>2020</v>
      </c>
      <c r="H835" s="4" t="s">
        <v>27</v>
      </c>
      <c r="I835" s="5" t="s">
        <v>53</v>
      </c>
      <c r="J835" s="5" t="s">
        <v>54</v>
      </c>
      <c r="K835" s="2">
        <v>3</v>
      </c>
      <c r="L835" s="2">
        <v>0</v>
      </c>
      <c r="M835" s="5" t="s">
        <v>30</v>
      </c>
      <c r="N835" s="5">
        <v>0</v>
      </c>
      <c r="O835" s="5" t="s">
        <v>55</v>
      </c>
      <c r="P835" s="2" t="s">
        <v>31</v>
      </c>
      <c r="Q835" s="2">
        <v>13</v>
      </c>
      <c r="R835" s="2" t="s">
        <v>31</v>
      </c>
      <c r="S835" s="5" t="s">
        <v>56</v>
      </c>
      <c r="T835" s="4" t="str">
        <f>IF(OR(Tabela1[[#This Row],[Grau de Risco]]="Médio",Tabela1[[#This Row],[Grau de Risco]]="Baixo"),"Não","Sim")</f>
        <v>Não</v>
      </c>
    </row>
    <row r="836" spans="1:20">
      <c r="A836" s="4" t="s">
        <v>10</v>
      </c>
      <c r="B836" s="10" t="s">
        <v>1809</v>
      </c>
      <c r="C836" s="5" t="s">
        <v>26</v>
      </c>
      <c r="D836" s="38" t="s">
        <v>1382</v>
      </c>
      <c r="E836" s="3">
        <v>2</v>
      </c>
      <c r="F836" s="3">
        <v>12</v>
      </c>
      <c r="G836" s="3">
        <v>2020</v>
      </c>
      <c r="H836" s="36" t="s">
        <v>33</v>
      </c>
      <c r="I836" s="7" t="s">
        <v>75</v>
      </c>
      <c r="J836" s="4" t="s">
        <v>76</v>
      </c>
      <c r="K836" s="3">
        <v>0</v>
      </c>
      <c r="L836" s="3">
        <v>0</v>
      </c>
      <c r="M836" s="5" t="s">
        <v>30</v>
      </c>
      <c r="N836" s="4">
        <v>0</v>
      </c>
      <c r="O836" s="4" t="s">
        <v>77</v>
      </c>
      <c r="P836" s="3" t="s">
        <v>52</v>
      </c>
      <c r="Q836" s="3">
        <v>14</v>
      </c>
      <c r="R836" s="2" t="s">
        <v>31</v>
      </c>
      <c r="S836" s="10" t="s">
        <v>32</v>
      </c>
      <c r="T836" s="4" t="str">
        <f>IF(OR(Tabela1[[#This Row],[Grau de Risco]]="Médio",Tabela1[[#This Row],[Grau de Risco]]="Baixo"),"Não","Sim")</f>
        <v>Não</v>
      </c>
    </row>
    <row r="837" spans="1:20">
      <c r="A837" s="4" t="s">
        <v>7</v>
      </c>
      <c r="B837" s="10" t="s">
        <v>1809</v>
      </c>
      <c r="C837" s="4" t="s">
        <v>133</v>
      </c>
      <c r="D837" s="58" t="s">
        <v>1409</v>
      </c>
      <c r="E837" s="3">
        <v>23</v>
      </c>
      <c r="F837" s="3">
        <v>7</v>
      </c>
      <c r="G837" s="3">
        <v>2020</v>
      </c>
      <c r="H837" s="36" t="s">
        <v>82</v>
      </c>
      <c r="I837" s="7" t="s">
        <v>134</v>
      </c>
      <c r="J837" s="4" t="s">
        <v>135</v>
      </c>
      <c r="K837" s="3" t="s">
        <v>62</v>
      </c>
      <c r="L837" s="3" t="s">
        <v>44</v>
      </c>
      <c r="M837" s="4" t="s">
        <v>30</v>
      </c>
      <c r="N837" s="4"/>
      <c r="O837" s="4" t="s">
        <v>77</v>
      </c>
      <c r="P837" s="3" t="s">
        <v>31</v>
      </c>
      <c r="Q837" s="11">
        <v>9</v>
      </c>
      <c r="R837" s="3" t="str">
        <f>IF(Q837="","",IF(Q837&lt;4,"Crítico",IF(Q837&lt;9,"Alto",IF(Q837&lt;14,"Médio","Baixo"))))</f>
        <v>Médio</v>
      </c>
      <c r="S837" s="10" t="s">
        <v>63</v>
      </c>
      <c r="T837" s="4" t="str">
        <f>IF(OR(Tabela1[[#This Row],[Grau de Risco]]="Médio",Tabela1[[#This Row],[Grau de Risco]]="Baixo"),"Não","Sim")</f>
        <v>Não</v>
      </c>
    </row>
    <row r="838" spans="1:20">
      <c r="A838" s="5" t="s">
        <v>2</v>
      </c>
      <c r="B838" s="10" t="s">
        <v>1809</v>
      </c>
      <c r="C838" s="5" t="s">
        <v>46</v>
      </c>
      <c r="D838" s="58" t="s">
        <v>1409</v>
      </c>
      <c r="E838" s="3">
        <v>9</v>
      </c>
      <c r="F838" s="2">
        <v>9</v>
      </c>
      <c r="G838" s="3">
        <v>2021</v>
      </c>
      <c r="H838" s="34" t="s">
        <v>59</v>
      </c>
      <c r="I838" s="7" t="s">
        <v>153</v>
      </c>
      <c r="J838" s="4" t="s">
        <v>154</v>
      </c>
      <c r="K838" s="3">
        <v>2</v>
      </c>
      <c r="L838" s="3">
        <v>0</v>
      </c>
      <c r="M838" s="5" t="s">
        <v>30</v>
      </c>
      <c r="N838" s="4">
        <v>2</v>
      </c>
      <c r="O838" s="4" t="s">
        <v>45</v>
      </c>
      <c r="P838" s="3" t="s">
        <v>52</v>
      </c>
      <c r="Q838" s="3">
        <v>17</v>
      </c>
      <c r="R838" s="2" t="s">
        <v>31</v>
      </c>
      <c r="S838" s="10" t="s">
        <v>32</v>
      </c>
      <c r="T838" s="4" t="str">
        <f>IF(OR(Tabela1[[#This Row],[Grau de Risco]]="Médio",Tabela1[[#This Row],[Grau de Risco]]="Baixo"),"Não","Sim")</f>
        <v>Não</v>
      </c>
    </row>
    <row r="839" spans="1:20">
      <c r="A839" s="4" t="s">
        <v>2</v>
      </c>
      <c r="B839" s="10" t="s">
        <v>1809</v>
      </c>
      <c r="C839" s="4" t="s">
        <v>89</v>
      </c>
      <c r="D839" s="38" t="s">
        <v>1382</v>
      </c>
      <c r="E839" s="3">
        <v>24</v>
      </c>
      <c r="F839" s="3">
        <v>2</v>
      </c>
      <c r="G839" s="3">
        <v>2021</v>
      </c>
      <c r="H839" s="34" t="s">
        <v>59</v>
      </c>
      <c r="I839" s="7" t="s">
        <v>160</v>
      </c>
      <c r="J839" s="4" t="s">
        <v>61</v>
      </c>
      <c r="K839" s="3">
        <v>4</v>
      </c>
      <c r="L839" s="3">
        <v>0</v>
      </c>
      <c r="M839" s="4" t="s">
        <v>30</v>
      </c>
      <c r="N839" s="4"/>
      <c r="O839" s="4" t="s">
        <v>70</v>
      </c>
      <c r="P839" s="3" t="s">
        <v>31</v>
      </c>
      <c r="Q839" s="11">
        <v>12</v>
      </c>
      <c r="R839" s="3" t="str">
        <f>IF(Q839="","",IF(Q839&lt;4,"Crítico",IF(Q839&lt;9,"Alto",IF(Q839&lt;14,"Médio","Baixo"))))</f>
        <v>Médio</v>
      </c>
      <c r="S839" s="10" t="s">
        <v>63</v>
      </c>
      <c r="T839" s="4" t="str">
        <f>IF(OR(Tabela1[[#This Row],[Grau de Risco]]="Médio",Tabela1[[#This Row],[Grau de Risco]]="Baixo"),"Não","Sim")</f>
        <v>Não</v>
      </c>
    </row>
    <row r="840" spans="1:20">
      <c r="A840" s="4" t="s">
        <v>8</v>
      </c>
      <c r="B840" s="10" t="s">
        <v>1809</v>
      </c>
      <c r="C840" s="4" t="s">
        <v>133</v>
      </c>
      <c r="D840" s="58" t="s">
        <v>1409</v>
      </c>
      <c r="E840" s="3">
        <v>11</v>
      </c>
      <c r="F840" s="3">
        <v>11</v>
      </c>
      <c r="G840" s="3">
        <v>2021</v>
      </c>
      <c r="H840" s="34" t="s">
        <v>59</v>
      </c>
      <c r="I840" s="7" t="s">
        <v>1674</v>
      </c>
      <c r="J840" s="4" t="s">
        <v>111</v>
      </c>
      <c r="K840" s="3" t="s">
        <v>62</v>
      </c>
      <c r="L840" s="3">
        <v>0</v>
      </c>
      <c r="M840" s="4" t="s">
        <v>30</v>
      </c>
      <c r="N840" s="4"/>
      <c r="O840" s="4"/>
      <c r="P840" s="3" t="s">
        <v>31</v>
      </c>
      <c r="Q840" s="11">
        <v>12</v>
      </c>
      <c r="R840" s="3" t="str">
        <f>IF(Q840="","",IF(Q840&lt;4,"Crítico",IF(Q840&lt;9,"Alto",IF(Q840&lt;14,"Médio","Baixo"))))</f>
        <v>Médio</v>
      </c>
      <c r="S840" s="10" t="s">
        <v>63</v>
      </c>
      <c r="T840" s="4" t="str">
        <f>IF(OR(Tabela1[[#This Row],[Grau de Risco]]="Médio",Tabela1[[#This Row],[Grau de Risco]]="Baixo"),"Não","Sim")</f>
        <v>Não</v>
      </c>
    </row>
    <row r="841" spans="1:20" hidden="1">
      <c r="A841" s="5" t="s">
        <v>2</v>
      </c>
      <c r="B841" s="4" t="s">
        <v>1805</v>
      </c>
      <c r="C841" s="4" t="s">
        <v>41</v>
      </c>
      <c r="D841" s="5" t="s">
        <v>36</v>
      </c>
      <c r="E841" s="3">
        <v>7</v>
      </c>
      <c r="F841" s="2">
        <v>8</v>
      </c>
      <c r="G841" s="3">
        <v>2021</v>
      </c>
      <c r="H841" s="5" t="s">
        <v>48</v>
      </c>
      <c r="I841" s="7" t="s">
        <v>194</v>
      </c>
      <c r="J841" s="4" t="s">
        <v>29</v>
      </c>
      <c r="K841" s="3">
        <v>14</v>
      </c>
      <c r="L841" s="3">
        <v>0</v>
      </c>
      <c r="M841" s="5" t="s">
        <v>30</v>
      </c>
      <c r="N841" s="4">
        <v>14</v>
      </c>
      <c r="O841" s="4" t="s">
        <v>99</v>
      </c>
      <c r="P841" s="3" t="s">
        <v>31</v>
      </c>
      <c r="Q841" s="3">
        <v>17</v>
      </c>
      <c r="R841" s="2" t="s">
        <v>31</v>
      </c>
      <c r="S841" s="10" t="s">
        <v>32</v>
      </c>
      <c r="T841" s="4" t="str">
        <f>IF(OR(Tabela1[[#This Row],[Grau de Risco]]="Médio",Tabela1[[#This Row],[Grau de Risco]]="Baixo"),"Não","Sim")</f>
        <v>Não</v>
      </c>
    </row>
    <row r="842" spans="1:20">
      <c r="A842" s="4" t="s">
        <v>2</v>
      </c>
      <c r="B842" s="10" t="s">
        <v>1809</v>
      </c>
      <c r="C842" s="4" t="s">
        <v>26</v>
      </c>
      <c r="D842" s="5" t="s">
        <v>148</v>
      </c>
      <c r="E842" s="3">
        <v>24</v>
      </c>
      <c r="F842" s="3">
        <v>10</v>
      </c>
      <c r="G842" s="3">
        <v>2021</v>
      </c>
      <c r="H842" s="34" t="s">
        <v>59</v>
      </c>
      <c r="I842" s="7" t="s">
        <v>201</v>
      </c>
      <c r="J842" s="4" t="s">
        <v>79</v>
      </c>
      <c r="K842" s="3">
        <v>33</v>
      </c>
      <c r="L842" s="3">
        <v>0</v>
      </c>
      <c r="M842" s="4" t="s">
        <v>30</v>
      </c>
      <c r="N842" s="4">
        <v>0</v>
      </c>
      <c r="O842" s="4" t="s">
        <v>39</v>
      </c>
      <c r="P842" s="3" t="s">
        <v>102</v>
      </c>
      <c r="Q842" s="11">
        <v>4</v>
      </c>
      <c r="R842" s="3" t="s">
        <v>102</v>
      </c>
      <c r="S842" s="5" t="s">
        <v>40</v>
      </c>
      <c r="T842" s="4" t="str">
        <f>IF(OR(Tabela1[[#This Row],[Grau de Risco]]="Médio",Tabela1[[#This Row],[Grau de Risco]]="Baixo"),"Não","Sim")</f>
        <v>Sim</v>
      </c>
    </row>
    <row r="843" spans="1:20">
      <c r="A843" s="4" t="s">
        <v>2</v>
      </c>
      <c r="B843" s="10" t="s">
        <v>1809</v>
      </c>
      <c r="C843" s="4" t="s">
        <v>97</v>
      </c>
      <c r="D843" s="38" t="s">
        <v>1320</v>
      </c>
      <c r="E843" s="3">
        <v>11</v>
      </c>
      <c r="F843" s="3">
        <v>10</v>
      </c>
      <c r="G843" s="3">
        <v>2021</v>
      </c>
      <c r="H843" s="34" t="s">
        <v>59</v>
      </c>
      <c r="I843" s="7" t="s">
        <v>234</v>
      </c>
      <c r="J843" s="4" t="s">
        <v>115</v>
      </c>
      <c r="K843" s="3">
        <v>90</v>
      </c>
      <c r="L843" s="3">
        <v>0</v>
      </c>
      <c r="M843" s="4" t="s">
        <v>30</v>
      </c>
      <c r="N843" s="4"/>
      <c r="O843" s="4" t="s">
        <v>55</v>
      </c>
      <c r="P843" s="3" t="s">
        <v>102</v>
      </c>
      <c r="Q843" s="11">
        <v>9</v>
      </c>
      <c r="R843" s="3" t="str">
        <f>IF(Q843="","",IF(Q843&lt;4,"Crítico",IF(Q843&lt;9,"Alto",IF(Q843&lt;14,"Médio","Baixo"))))</f>
        <v>Médio</v>
      </c>
      <c r="S843" s="10" t="s">
        <v>63</v>
      </c>
      <c r="T843" s="4" t="str">
        <f>IF(OR(Tabela1[[#This Row],[Grau de Risco]]="Médio",Tabela1[[#This Row],[Grau de Risco]]="Baixo"),"Não","Sim")</f>
        <v>Não</v>
      </c>
    </row>
    <row r="844" spans="1:20" hidden="1">
      <c r="A844" s="5" t="s">
        <v>2</v>
      </c>
      <c r="B844" s="6" t="s">
        <v>1805</v>
      </c>
      <c r="C844" s="5" t="s">
        <v>26</v>
      </c>
      <c r="D844" s="38" t="s">
        <v>47</v>
      </c>
      <c r="E844" s="2">
        <v>1</v>
      </c>
      <c r="F844" s="2">
        <v>7</v>
      </c>
      <c r="G844" s="2">
        <v>2022</v>
      </c>
      <c r="H844" s="36" t="s">
        <v>107</v>
      </c>
      <c r="I844" s="5" t="s">
        <v>274</v>
      </c>
      <c r="J844" s="5" t="s">
        <v>54</v>
      </c>
      <c r="K844" s="2">
        <v>10</v>
      </c>
      <c r="L844" s="2">
        <v>0</v>
      </c>
      <c r="M844" s="5" t="s">
        <v>30</v>
      </c>
      <c r="N844" s="5">
        <v>0</v>
      </c>
      <c r="O844" s="5" t="s">
        <v>55</v>
      </c>
      <c r="P844" s="2" t="s">
        <v>31</v>
      </c>
      <c r="Q844" s="2">
        <v>12</v>
      </c>
      <c r="R844" s="2" t="s">
        <v>31</v>
      </c>
      <c r="S844" s="5" t="s">
        <v>56</v>
      </c>
      <c r="T844" s="4" t="str">
        <f>IF(OR(Tabela1[[#This Row],[Grau de Risco]]="Médio",Tabela1[[#This Row],[Grau de Risco]]="Baixo"),"Não","Sim")</f>
        <v>Não</v>
      </c>
    </row>
    <row r="845" spans="1:20" hidden="1">
      <c r="A845" s="5" t="s">
        <v>2</v>
      </c>
      <c r="B845" s="6" t="s">
        <v>1805</v>
      </c>
      <c r="C845" s="5" t="s">
        <v>81</v>
      </c>
      <c r="D845" s="58" t="s">
        <v>1409</v>
      </c>
      <c r="E845" s="2">
        <v>23</v>
      </c>
      <c r="F845" s="2">
        <v>6</v>
      </c>
      <c r="G845" s="2">
        <v>2022</v>
      </c>
      <c r="H845" s="36" t="s">
        <v>82</v>
      </c>
      <c r="I845" s="5" t="s">
        <v>1675</v>
      </c>
      <c r="J845" s="5" t="s">
        <v>54</v>
      </c>
      <c r="K845" s="2">
        <v>0</v>
      </c>
      <c r="L845" s="2">
        <v>0</v>
      </c>
      <c r="M845" s="5" t="s">
        <v>30</v>
      </c>
      <c r="Q845" s="2">
        <v>14</v>
      </c>
      <c r="R845" s="2" t="s">
        <v>52</v>
      </c>
      <c r="S845" s="10" t="s">
        <v>32</v>
      </c>
      <c r="T845" s="4" t="str">
        <f>IF(OR(Tabela1[[#This Row],[Grau de Risco]]="Médio",Tabela1[[#This Row],[Grau de Risco]]="Baixo"),"Não","Sim")</f>
        <v>Não</v>
      </c>
    </row>
    <row r="846" spans="1:20">
      <c r="A846" s="4" t="s">
        <v>9</v>
      </c>
      <c r="B846" s="10" t="s">
        <v>1809</v>
      </c>
      <c r="C846" s="4" t="s">
        <v>133</v>
      </c>
      <c r="D846" s="38" t="s">
        <v>1393</v>
      </c>
      <c r="E846" s="3">
        <v>29</v>
      </c>
      <c r="F846" s="3">
        <v>3</v>
      </c>
      <c r="G846" s="3">
        <v>2022</v>
      </c>
      <c r="H846" s="21" t="s">
        <v>332</v>
      </c>
      <c r="I846" s="7" t="s">
        <v>333</v>
      </c>
      <c r="J846" s="4" t="s">
        <v>192</v>
      </c>
      <c r="K846" s="3">
        <v>10</v>
      </c>
      <c r="L846" s="3">
        <v>0</v>
      </c>
      <c r="M846" s="4" t="s">
        <v>30</v>
      </c>
      <c r="N846" s="4"/>
      <c r="O846" s="4" t="s">
        <v>55</v>
      </c>
      <c r="P846" s="3" t="s">
        <v>52</v>
      </c>
      <c r="Q846" s="11">
        <v>20</v>
      </c>
      <c r="R846" s="3" t="str">
        <f>IF(Q846="","",IF(Q846&lt;4,"Crítico",IF(Q846&lt;9,"Alto",IF(Q846&lt;14,"Médio","Baixo"))))</f>
        <v>Baixo</v>
      </c>
      <c r="S846" s="5" t="s">
        <v>56</v>
      </c>
      <c r="T846" s="4" t="str">
        <f>IF(OR(Tabela1[[#This Row],[Grau de Risco]]="Médio",Tabela1[[#This Row],[Grau de Risco]]="Baixo"),"Não","Sim")</f>
        <v>Não</v>
      </c>
    </row>
    <row r="847" spans="1:20" hidden="1">
      <c r="A847" s="4" t="s">
        <v>2</v>
      </c>
      <c r="B847" s="10" t="s">
        <v>1793</v>
      </c>
      <c r="C847" s="4" t="s">
        <v>133</v>
      </c>
      <c r="D847" s="38" t="s">
        <v>1393</v>
      </c>
      <c r="E847" s="3">
        <v>15</v>
      </c>
      <c r="F847" s="3">
        <v>2</v>
      </c>
      <c r="G847" s="3">
        <v>2022</v>
      </c>
      <c r="H847" s="36" t="s">
        <v>66</v>
      </c>
      <c r="I847" s="7" t="s">
        <v>341</v>
      </c>
      <c r="J847" s="4" t="s">
        <v>111</v>
      </c>
      <c r="K847" s="3">
        <v>4</v>
      </c>
      <c r="L847" s="3">
        <v>0</v>
      </c>
      <c r="M847" s="4" t="s">
        <v>30</v>
      </c>
      <c r="N847" s="4"/>
      <c r="O847" s="4" t="s">
        <v>55</v>
      </c>
      <c r="P847" s="3" t="s">
        <v>52</v>
      </c>
      <c r="Q847" s="11">
        <v>20</v>
      </c>
      <c r="R847" s="3" t="str">
        <f>IF(Q847="","",IF(Q847&lt;4,"Crítico",IF(Q847&lt;9,"Alto",IF(Q847&lt;14,"Médio","Baixo"))))</f>
        <v>Baixo</v>
      </c>
      <c r="S847" s="5" t="s">
        <v>56</v>
      </c>
      <c r="T847" s="4" t="str">
        <f>IF(OR(Tabela1[[#This Row],[Grau de Risco]]="Médio",Tabela1[[#This Row],[Grau de Risco]]="Baixo"),"Não","Sim")</f>
        <v>Não</v>
      </c>
    </row>
    <row r="848" spans="1:20" hidden="1">
      <c r="A848" s="4" t="s">
        <v>2</v>
      </c>
      <c r="B848" s="10" t="s">
        <v>1793</v>
      </c>
      <c r="C848" s="4" t="s">
        <v>133</v>
      </c>
      <c r="D848" s="38" t="s">
        <v>1320</v>
      </c>
      <c r="E848" s="3">
        <v>14</v>
      </c>
      <c r="F848" s="3">
        <v>3</v>
      </c>
      <c r="G848" s="3">
        <v>2022</v>
      </c>
      <c r="H848" s="36" t="s">
        <v>66</v>
      </c>
      <c r="I848" s="7" t="s">
        <v>343</v>
      </c>
      <c r="J848" s="4" t="s">
        <v>111</v>
      </c>
      <c r="K848" s="3">
        <v>15</v>
      </c>
      <c r="L848" s="3">
        <v>0</v>
      </c>
      <c r="M848" s="4" t="s">
        <v>30</v>
      </c>
      <c r="N848" s="4"/>
      <c r="O848" s="4" t="s">
        <v>4</v>
      </c>
      <c r="P848" s="3" t="s">
        <v>31</v>
      </c>
      <c r="Q848" s="11">
        <v>20</v>
      </c>
      <c r="R848" s="3" t="str">
        <f>IF(Q848="","",IF(Q848&lt;4,"Crítico",IF(Q848&lt;9,"Alto",IF(Q848&lt;14,"Médio","Baixo"))))</f>
        <v>Baixo</v>
      </c>
      <c r="S848" s="5" t="s">
        <v>56</v>
      </c>
      <c r="T848" s="4" t="str">
        <f>IF(OR(Tabela1[[#This Row],[Grau de Risco]]="Médio",Tabela1[[#This Row],[Grau de Risco]]="Baixo"),"Não","Sim")</f>
        <v>Não</v>
      </c>
    </row>
    <row r="849" spans="1:20" hidden="1">
      <c r="A849" s="4" t="s">
        <v>8</v>
      </c>
      <c r="B849" s="4" t="s">
        <v>1805</v>
      </c>
      <c r="C849" s="5" t="s">
        <v>26</v>
      </c>
      <c r="D849" s="5" t="s">
        <v>36</v>
      </c>
      <c r="E849" s="3">
        <v>30</v>
      </c>
      <c r="F849" s="2">
        <v>4</v>
      </c>
      <c r="G849" s="3">
        <v>2022</v>
      </c>
      <c r="H849" s="5" t="s">
        <v>48</v>
      </c>
      <c r="I849" s="7" t="s">
        <v>361</v>
      </c>
      <c r="J849" s="4" t="s">
        <v>29</v>
      </c>
      <c r="K849" s="3">
        <v>0</v>
      </c>
      <c r="L849" s="3">
        <v>0</v>
      </c>
      <c r="M849" s="5" t="s">
        <v>30</v>
      </c>
      <c r="N849" s="4">
        <v>0</v>
      </c>
      <c r="O849" s="4" t="s">
        <v>85</v>
      </c>
      <c r="P849" s="3" t="s">
        <v>52</v>
      </c>
      <c r="Q849" s="3">
        <v>18</v>
      </c>
      <c r="R849" s="2" t="s">
        <v>52</v>
      </c>
      <c r="S849" s="10" t="s">
        <v>32</v>
      </c>
      <c r="T849" s="4" t="str">
        <f>IF(OR(Tabela1[[#This Row],[Grau de Risco]]="Médio",Tabela1[[#This Row],[Grau de Risco]]="Baixo"),"Não","Sim")</f>
        <v>Não</v>
      </c>
    </row>
    <row r="850" spans="1:20" hidden="1">
      <c r="A850" s="4" t="s">
        <v>2</v>
      </c>
      <c r="B850" s="10" t="s">
        <v>1800</v>
      </c>
      <c r="C850" s="4" t="s">
        <v>81</v>
      </c>
      <c r="D850" s="38" t="s">
        <v>1382</v>
      </c>
      <c r="E850" s="3">
        <v>10</v>
      </c>
      <c r="F850" s="3">
        <v>5</v>
      </c>
      <c r="G850" s="3">
        <v>2023</v>
      </c>
      <c r="H850" s="36" t="s">
        <v>107</v>
      </c>
      <c r="I850" s="7" t="s">
        <v>406</v>
      </c>
      <c r="J850" s="4" t="s">
        <v>35</v>
      </c>
      <c r="K850" s="3">
        <v>9</v>
      </c>
      <c r="L850" s="3">
        <v>0</v>
      </c>
      <c r="M850" s="4" t="s">
        <v>30</v>
      </c>
      <c r="N850" s="4">
        <v>0</v>
      </c>
      <c r="O850" s="4" t="s">
        <v>301</v>
      </c>
      <c r="P850" s="3" t="s">
        <v>31</v>
      </c>
      <c r="Q850" s="11">
        <v>4</v>
      </c>
      <c r="R850" s="3" t="s">
        <v>102</v>
      </c>
      <c r="S850" s="10" t="s">
        <v>63</v>
      </c>
      <c r="T850" s="4" t="str">
        <f>IF(OR(Tabela1[[#This Row],[Grau de Risco]]="Médio",Tabela1[[#This Row],[Grau de Risco]]="Baixo"),"Não","Sim")</f>
        <v>Sim</v>
      </c>
    </row>
    <row r="851" spans="1:20">
      <c r="A851" s="4" t="s">
        <v>8</v>
      </c>
      <c r="B851" s="10" t="s">
        <v>1809</v>
      </c>
      <c r="C851" s="4" t="s">
        <v>26</v>
      </c>
      <c r="D851" s="38" t="s">
        <v>1382</v>
      </c>
      <c r="E851" s="3">
        <v>8</v>
      </c>
      <c r="F851" s="3">
        <v>2</v>
      </c>
      <c r="G851" s="3">
        <v>2023</v>
      </c>
      <c r="H851" s="4" t="s">
        <v>27</v>
      </c>
      <c r="I851" s="7" t="s">
        <v>423</v>
      </c>
      <c r="J851" s="4" t="s">
        <v>38</v>
      </c>
      <c r="K851" s="3">
        <v>0</v>
      </c>
      <c r="L851" s="3">
        <v>0</v>
      </c>
      <c r="M851" s="4" t="s">
        <v>30</v>
      </c>
      <c r="N851" s="4">
        <v>0</v>
      </c>
      <c r="O851" s="4" t="s">
        <v>51</v>
      </c>
      <c r="P851" s="3" t="s">
        <v>31</v>
      </c>
      <c r="Q851" s="11">
        <v>13</v>
      </c>
      <c r="R851" s="2" t="s">
        <v>31</v>
      </c>
      <c r="S851" s="5" t="s">
        <v>56</v>
      </c>
      <c r="T851" s="4" t="str">
        <f>IF(OR(Tabela1[[#This Row],[Grau de Risco]]="Médio",Tabela1[[#This Row],[Grau de Risco]]="Baixo"),"Não","Sim")</f>
        <v>Não</v>
      </c>
    </row>
    <row r="852" spans="1:20" hidden="1">
      <c r="A852" s="4" t="s">
        <v>9</v>
      </c>
      <c r="B852" s="10" t="s">
        <v>1805</v>
      </c>
      <c r="C852" s="4" t="s">
        <v>252</v>
      </c>
      <c r="D852" s="38" t="s">
        <v>1393</v>
      </c>
      <c r="E852" s="3">
        <v>10</v>
      </c>
      <c r="F852" s="3">
        <v>10</v>
      </c>
      <c r="G852" s="3">
        <v>2023</v>
      </c>
      <c r="H852" s="5" t="s">
        <v>48</v>
      </c>
      <c r="I852" s="7" t="s">
        <v>447</v>
      </c>
      <c r="J852" s="4" t="s">
        <v>73</v>
      </c>
      <c r="K852" s="3">
        <v>2</v>
      </c>
      <c r="L852" s="3">
        <v>0</v>
      </c>
      <c r="M852" s="4" t="s">
        <v>30</v>
      </c>
      <c r="N852" s="4">
        <v>0</v>
      </c>
      <c r="O852" s="4" t="s">
        <v>101</v>
      </c>
      <c r="P852" s="3" t="s">
        <v>31</v>
      </c>
      <c r="Q852" s="11">
        <v>8</v>
      </c>
      <c r="R852" s="3" t="str">
        <f>IF(Q852="","",IF(Q852&lt;4,"Crítico",IF(Q852&lt;9,"Alto",IF(Q852&lt;14,"Médio","Baixo"))))</f>
        <v>Alto</v>
      </c>
      <c r="S852" s="10" t="s">
        <v>63</v>
      </c>
      <c r="T852" s="4" t="str">
        <f>IF(OR(Tabela1[[#This Row],[Grau de Risco]]="Médio",Tabela1[[#This Row],[Grau de Risco]]="Baixo"),"Não","Sim")</f>
        <v>Sim</v>
      </c>
    </row>
    <row r="853" spans="1:20" hidden="1">
      <c r="A853" s="4" t="s">
        <v>9</v>
      </c>
      <c r="B853" s="10" t="s">
        <v>1805</v>
      </c>
      <c r="C853" s="4" t="s">
        <v>26</v>
      </c>
      <c r="D853" s="38" t="s">
        <v>1320</v>
      </c>
      <c r="E853" s="3">
        <v>10</v>
      </c>
      <c r="F853" s="3">
        <v>12</v>
      </c>
      <c r="G853" s="3">
        <v>2023</v>
      </c>
      <c r="H853" s="36" t="s">
        <v>375</v>
      </c>
      <c r="I853" s="7" t="s">
        <v>483</v>
      </c>
      <c r="J853" s="4" t="s">
        <v>150</v>
      </c>
      <c r="K853" s="3">
        <v>4</v>
      </c>
      <c r="L853" s="3">
        <v>0</v>
      </c>
      <c r="M853" s="4" t="s">
        <v>30</v>
      </c>
      <c r="N853" s="4">
        <v>0</v>
      </c>
      <c r="O853" s="4" t="s">
        <v>77</v>
      </c>
      <c r="P853" s="3" t="s">
        <v>31</v>
      </c>
      <c r="Q853" s="11">
        <v>11</v>
      </c>
      <c r="R853" s="3" t="s">
        <v>31</v>
      </c>
      <c r="S853" s="10" t="s">
        <v>63</v>
      </c>
      <c r="T853" s="4" t="str">
        <f>IF(OR(Tabela1[[#This Row],[Grau de Risco]]="Médio",Tabela1[[#This Row],[Grau de Risco]]="Baixo"),"Não","Sim")</f>
        <v>Não</v>
      </c>
    </row>
    <row r="854" spans="1:20">
      <c r="A854" s="4" t="s">
        <v>9</v>
      </c>
      <c r="B854" s="10" t="s">
        <v>1809</v>
      </c>
      <c r="C854" s="4" t="s">
        <v>41</v>
      </c>
      <c r="D854" s="38" t="s">
        <v>1382</v>
      </c>
      <c r="E854" s="3">
        <v>25</v>
      </c>
      <c r="F854" s="3">
        <v>1</v>
      </c>
      <c r="G854" s="3">
        <v>2023</v>
      </c>
      <c r="H854" s="36" t="s">
        <v>375</v>
      </c>
      <c r="I854" s="7" t="s">
        <v>491</v>
      </c>
      <c r="J854" s="4" t="s">
        <v>192</v>
      </c>
      <c r="K854" s="3">
        <v>10</v>
      </c>
      <c r="L854" s="3">
        <v>0</v>
      </c>
      <c r="M854" s="4" t="s">
        <v>30</v>
      </c>
      <c r="N854" s="4"/>
      <c r="O854" s="4" t="s">
        <v>74</v>
      </c>
      <c r="P854" s="3" t="s">
        <v>31</v>
      </c>
      <c r="Q854" s="11">
        <v>11</v>
      </c>
      <c r="R854" s="3" t="str">
        <f>IF(Q854="","",IF(Q854&lt;4,"Crítico",IF(Q854&lt;9,"Alto",IF(Q854&lt;14,"Médio","Baixo"))))</f>
        <v>Médio</v>
      </c>
      <c r="S854" s="10" t="s">
        <v>63</v>
      </c>
      <c r="T854" s="4" t="str">
        <f>IF(OR(Tabela1[[#This Row],[Grau de Risco]]="Médio",Tabela1[[#This Row],[Grau de Risco]]="Baixo"),"Não","Sim")</f>
        <v>Não</v>
      </c>
    </row>
    <row r="855" spans="1:20" hidden="1">
      <c r="A855" s="4" t="s">
        <v>2</v>
      </c>
      <c r="B855" s="10" t="s">
        <v>1805</v>
      </c>
      <c r="C855" s="4" t="s">
        <v>133</v>
      </c>
      <c r="D855" s="38" t="s">
        <v>1382</v>
      </c>
      <c r="E855" s="3">
        <v>6</v>
      </c>
      <c r="F855" s="3">
        <v>9</v>
      </c>
      <c r="G855" s="3">
        <v>2023</v>
      </c>
      <c r="H855" s="36" t="s">
        <v>375</v>
      </c>
      <c r="I855" s="7" t="s">
        <v>523</v>
      </c>
      <c r="J855" s="4" t="s">
        <v>61</v>
      </c>
      <c r="K855" s="3">
        <v>13</v>
      </c>
      <c r="L855" s="3">
        <v>0</v>
      </c>
      <c r="M855" s="4" t="s">
        <v>30</v>
      </c>
      <c r="N855" s="4">
        <v>0</v>
      </c>
      <c r="O855" s="4" t="s">
        <v>248</v>
      </c>
      <c r="P855" s="3" t="s">
        <v>31</v>
      </c>
      <c r="Q855" s="11">
        <v>4</v>
      </c>
      <c r="R855" s="3" t="str">
        <f>IF(Q855="","",IF(Q855&lt;4,"Crítico",IF(Q855&lt;9,"Alto",IF(Q855&lt;14,"Médio","Baixo"))))</f>
        <v>Alto</v>
      </c>
      <c r="S855" s="5" t="s">
        <v>40</v>
      </c>
      <c r="T855" s="4" t="str">
        <f>IF(OR(Tabela1[[#This Row],[Grau de Risco]]="Médio",Tabela1[[#This Row],[Grau de Risco]]="Baixo"),"Não","Sim")</f>
        <v>Sim</v>
      </c>
    </row>
    <row r="856" spans="1:20" hidden="1">
      <c r="A856" s="4" t="s">
        <v>8</v>
      </c>
      <c r="B856" s="10" t="s">
        <v>1797</v>
      </c>
      <c r="C856" s="4" t="s">
        <v>252</v>
      </c>
      <c r="D856" s="38" t="s">
        <v>47</v>
      </c>
      <c r="E856" s="3">
        <v>2</v>
      </c>
      <c r="F856" s="3">
        <v>8</v>
      </c>
      <c r="G856" s="3">
        <v>2024</v>
      </c>
      <c r="H856" s="5" t="s">
        <v>71</v>
      </c>
      <c r="I856" s="7" t="s">
        <v>1676</v>
      </c>
      <c r="J856" s="4" t="s">
        <v>93</v>
      </c>
      <c r="K856" s="3"/>
      <c r="L856" s="3"/>
      <c r="M856" s="4" t="s">
        <v>30</v>
      </c>
      <c r="N856" s="4">
        <v>0</v>
      </c>
      <c r="O856" s="4"/>
      <c r="P856" s="3" t="s">
        <v>52</v>
      </c>
      <c r="Q856" s="11">
        <v>15</v>
      </c>
      <c r="R856" s="3" t="s">
        <v>52</v>
      </c>
      <c r="S856" s="10" t="s">
        <v>63</v>
      </c>
      <c r="T856" s="4" t="str">
        <f>IF(OR(Tabela1[[#This Row],[Grau de Risco]]="Médio",Tabela1[[#This Row],[Grau de Risco]]="Baixo"),"Não","Sim")</f>
        <v>Não</v>
      </c>
    </row>
    <row r="857" spans="1:20">
      <c r="A857" s="47" t="s">
        <v>6</v>
      </c>
      <c r="B857" s="10" t="s">
        <v>1809</v>
      </c>
      <c r="C857" s="4" t="s">
        <v>252</v>
      </c>
      <c r="D857" s="58" t="s">
        <v>1409</v>
      </c>
      <c r="E857" s="3">
        <v>14</v>
      </c>
      <c r="F857" s="3">
        <v>11</v>
      </c>
      <c r="G857" s="3">
        <v>2024</v>
      </c>
      <c r="H857" s="36" t="s">
        <v>82</v>
      </c>
      <c r="I857" s="7" t="s">
        <v>726</v>
      </c>
      <c r="J857" s="4" t="s">
        <v>93</v>
      </c>
      <c r="K857" s="3"/>
      <c r="L857" s="3"/>
      <c r="M857" s="4"/>
      <c r="N857" s="4"/>
      <c r="O857" s="4"/>
      <c r="P857" s="3" t="s">
        <v>52</v>
      </c>
      <c r="Q857" s="11">
        <v>10</v>
      </c>
      <c r="R857" s="3" t="s">
        <v>31</v>
      </c>
      <c r="S857" s="5" t="s">
        <v>56</v>
      </c>
      <c r="T857" s="4" t="str">
        <f>IF(OR(Tabela1[[#This Row],[Grau de Risco]]="Médio",Tabela1[[#This Row],[Grau de Risco]]="Baixo"),"Não","Sim")</f>
        <v>Não</v>
      </c>
    </row>
    <row r="858" spans="1:20" hidden="1">
      <c r="A858" s="4" t="s">
        <v>8</v>
      </c>
      <c r="B858" s="10" t="s">
        <v>1797</v>
      </c>
      <c r="C858" s="4" t="s">
        <v>81</v>
      </c>
      <c r="D858" s="38" t="s">
        <v>1320</v>
      </c>
      <c r="E858" s="3">
        <v>15</v>
      </c>
      <c r="F858" s="3">
        <v>1</v>
      </c>
      <c r="G858" s="3">
        <v>2024</v>
      </c>
      <c r="H858" s="36" t="s">
        <v>107</v>
      </c>
      <c r="I858" s="7" t="s">
        <v>757</v>
      </c>
      <c r="J858" s="4" t="s">
        <v>169</v>
      </c>
      <c r="K858" s="3">
        <v>0</v>
      </c>
      <c r="L858" s="3" t="s">
        <v>30</v>
      </c>
      <c r="M858" s="4" t="s">
        <v>30</v>
      </c>
      <c r="N858" s="4" t="s">
        <v>44</v>
      </c>
      <c r="O858" s="4" t="s">
        <v>51</v>
      </c>
      <c r="P858" s="3" t="s">
        <v>52</v>
      </c>
      <c r="Q858" s="11">
        <v>11</v>
      </c>
      <c r="R858" s="3" t="s">
        <v>31</v>
      </c>
      <c r="S858" s="5" t="s">
        <v>56</v>
      </c>
      <c r="T858" s="4" t="str">
        <f>IF(OR(Tabela1[[#This Row],[Grau de Risco]]="Médio",Tabela1[[#This Row],[Grau de Risco]]="Baixo"),"Não","Sim")</f>
        <v>Não</v>
      </c>
    </row>
    <row r="859" spans="1:20">
      <c r="A859" s="4" t="s">
        <v>7</v>
      </c>
      <c r="B859" s="10" t="s">
        <v>1809</v>
      </c>
      <c r="C859" s="4" t="s">
        <v>125</v>
      </c>
      <c r="D859" s="38" t="s">
        <v>1320</v>
      </c>
      <c r="E859" s="3">
        <v>15</v>
      </c>
      <c r="F859" s="3">
        <v>7</v>
      </c>
      <c r="G859" s="3">
        <v>2024</v>
      </c>
      <c r="H859" s="36" t="s">
        <v>107</v>
      </c>
      <c r="I859" s="7" t="s">
        <v>774</v>
      </c>
      <c r="J859" s="4" t="s">
        <v>61</v>
      </c>
      <c r="K859" s="3" t="s">
        <v>62</v>
      </c>
      <c r="L859" s="3"/>
      <c r="M859" s="4"/>
      <c r="N859" s="4"/>
      <c r="O859" s="4" t="s">
        <v>85</v>
      </c>
      <c r="P859" s="3"/>
      <c r="Q859" s="11">
        <v>15</v>
      </c>
      <c r="R859" s="3" t="s">
        <v>52</v>
      </c>
      <c r="S859" s="5" t="s">
        <v>40</v>
      </c>
      <c r="T859" s="4" t="str">
        <f>IF(OR(Tabela1[[#This Row],[Grau de Risco]]="Médio",Tabela1[[#This Row],[Grau de Risco]]="Baixo"),"Não","Sim")</f>
        <v>Não</v>
      </c>
    </row>
    <row r="860" spans="1:20">
      <c r="A860" s="4" t="s">
        <v>2</v>
      </c>
      <c r="B860" s="10" t="s">
        <v>1809</v>
      </c>
      <c r="C860" s="4" t="s">
        <v>81</v>
      </c>
      <c r="D860" s="38" t="s">
        <v>1382</v>
      </c>
      <c r="E860" s="3">
        <v>6</v>
      </c>
      <c r="F860" s="3">
        <v>3</v>
      </c>
      <c r="G860" s="3">
        <v>2024</v>
      </c>
      <c r="H860" s="36" t="s">
        <v>112</v>
      </c>
      <c r="I860" s="7" t="s">
        <v>780</v>
      </c>
      <c r="J860" s="4" t="s">
        <v>229</v>
      </c>
      <c r="K860" s="3">
        <v>5</v>
      </c>
      <c r="L860" s="3">
        <v>0</v>
      </c>
      <c r="M860" s="4" t="s">
        <v>30</v>
      </c>
      <c r="N860" s="4">
        <v>0</v>
      </c>
      <c r="O860" s="4" t="s">
        <v>167</v>
      </c>
      <c r="P860" s="3" t="s">
        <v>31</v>
      </c>
      <c r="Q860" s="11">
        <v>11</v>
      </c>
      <c r="R860" s="3" t="s">
        <v>31</v>
      </c>
      <c r="S860" s="10" t="s">
        <v>63</v>
      </c>
      <c r="T860" s="4" t="str">
        <f>IF(OR(Tabela1[[#This Row],[Grau de Risco]]="Médio",Tabela1[[#This Row],[Grau de Risco]]="Baixo"),"Não","Sim")</f>
        <v>Não</v>
      </c>
    </row>
    <row r="861" spans="1:20" hidden="1">
      <c r="A861" s="4" t="s">
        <v>2</v>
      </c>
      <c r="B861" s="10" t="s">
        <v>1800</v>
      </c>
      <c r="C861" s="4" t="s">
        <v>41</v>
      </c>
      <c r="D861" s="38" t="s">
        <v>47</v>
      </c>
      <c r="E861" s="3">
        <v>23</v>
      </c>
      <c r="F861" s="3">
        <v>2</v>
      </c>
      <c r="G861" s="3">
        <v>2024</v>
      </c>
      <c r="H861" s="4" t="s">
        <v>27</v>
      </c>
      <c r="I861" s="7" t="s">
        <v>797</v>
      </c>
      <c r="J861" s="4" t="s">
        <v>35</v>
      </c>
      <c r="K861" s="3">
        <v>1</v>
      </c>
      <c r="L861" s="3">
        <v>0</v>
      </c>
      <c r="M861" s="4" t="s">
        <v>30</v>
      </c>
      <c r="N861" s="4"/>
      <c r="O861" s="4" t="s">
        <v>129</v>
      </c>
      <c r="P861" s="3" t="s">
        <v>52</v>
      </c>
      <c r="Q861" s="11">
        <v>15</v>
      </c>
      <c r="R861" s="3" t="s">
        <v>52</v>
      </c>
      <c r="S861" s="5" t="s">
        <v>56</v>
      </c>
      <c r="T861" s="4" t="str">
        <f>IF(OR(Tabela1[[#This Row],[Grau de Risco]]="Médio",Tabela1[[#This Row],[Grau de Risco]]="Baixo"),"Não","Sim")</f>
        <v>Não</v>
      </c>
    </row>
    <row r="862" spans="1:20" hidden="1">
      <c r="A862" s="4" t="s">
        <v>2</v>
      </c>
      <c r="B862" s="10" t="s">
        <v>1797</v>
      </c>
      <c r="C862" s="4" t="s">
        <v>81</v>
      </c>
      <c r="D862" s="38" t="s">
        <v>1320</v>
      </c>
      <c r="E862" s="3">
        <v>5</v>
      </c>
      <c r="F862" s="3">
        <v>2</v>
      </c>
      <c r="G862" s="3">
        <v>2024</v>
      </c>
      <c r="H862" s="36" t="s">
        <v>33</v>
      </c>
      <c r="I862" s="7" t="s">
        <v>826</v>
      </c>
      <c r="J862" s="4" t="s">
        <v>93</v>
      </c>
      <c r="K862" s="3">
        <v>4</v>
      </c>
      <c r="L862" s="3">
        <v>0</v>
      </c>
      <c r="M862" s="4" t="s">
        <v>30</v>
      </c>
      <c r="N862" s="4">
        <v>0</v>
      </c>
      <c r="O862" s="4" t="s">
        <v>386</v>
      </c>
      <c r="P862" s="3" t="s">
        <v>31</v>
      </c>
      <c r="Q862" s="11">
        <v>11</v>
      </c>
      <c r="R862" s="3" t="s">
        <v>31</v>
      </c>
      <c r="S862" s="10" t="s">
        <v>63</v>
      </c>
      <c r="T862" s="4" t="str">
        <f>IF(OR(Tabela1[[#This Row],[Grau de Risco]]="Médio",Tabela1[[#This Row],[Grau de Risco]]="Baixo"),"Não","Sim")</f>
        <v>Não</v>
      </c>
    </row>
    <row r="863" spans="1:20">
      <c r="A863" s="4" t="s">
        <v>8</v>
      </c>
      <c r="B863" s="10" t="s">
        <v>1809</v>
      </c>
      <c r="C863" s="4" t="s">
        <v>252</v>
      </c>
      <c r="D863" s="38" t="s">
        <v>1320</v>
      </c>
      <c r="E863" s="3">
        <v>24</v>
      </c>
      <c r="F863" s="3">
        <v>6</v>
      </c>
      <c r="G863" s="3">
        <v>2024</v>
      </c>
      <c r="H863" s="5" t="s">
        <v>71</v>
      </c>
      <c r="I863" s="7" t="s">
        <v>839</v>
      </c>
      <c r="J863" s="4" t="s">
        <v>76</v>
      </c>
      <c r="K863" s="3" t="s">
        <v>44</v>
      </c>
      <c r="L863" s="3" t="s">
        <v>44</v>
      </c>
      <c r="M863" s="4"/>
      <c r="N863" s="4" t="s">
        <v>44</v>
      </c>
      <c r="O863" s="4" t="s">
        <v>45</v>
      </c>
      <c r="P863" s="3" t="s">
        <v>31</v>
      </c>
      <c r="Q863" s="11">
        <v>5</v>
      </c>
      <c r="R863" s="3" t="s">
        <v>102</v>
      </c>
      <c r="S863" s="10" t="s">
        <v>141</v>
      </c>
      <c r="T863" s="4" t="str">
        <f>IF(OR(Tabela1[[#This Row],[Grau de Risco]]="Médio",Tabela1[[#This Row],[Grau de Risco]]="Baixo"),"Não","Sim")</f>
        <v>Sim</v>
      </c>
    </row>
    <row r="864" spans="1:20" hidden="1">
      <c r="A864" s="4" t="s">
        <v>8</v>
      </c>
      <c r="B864" s="10" t="s">
        <v>1805</v>
      </c>
      <c r="C864" s="4" t="s">
        <v>252</v>
      </c>
      <c r="D864" s="38" t="s">
        <v>1320</v>
      </c>
      <c r="E864" s="3">
        <v>15</v>
      </c>
      <c r="F864" s="3">
        <v>7</v>
      </c>
      <c r="G864" s="3">
        <v>2024</v>
      </c>
      <c r="H864" s="5" t="s">
        <v>256</v>
      </c>
      <c r="I864" s="7" t="s">
        <v>907</v>
      </c>
      <c r="J864" s="4" t="s">
        <v>79</v>
      </c>
      <c r="K864" s="3" t="s">
        <v>44</v>
      </c>
      <c r="L864" s="3" t="s">
        <v>44</v>
      </c>
      <c r="M864" s="4"/>
      <c r="N864" s="4" t="s">
        <v>44</v>
      </c>
      <c r="O864" s="4" t="s">
        <v>70</v>
      </c>
      <c r="P864" s="3" t="s">
        <v>52</v>
      </c>
      <c r="Q864" s="11">
        <v>11</v>
      </c>
      <c r="R864" s="3" t="s">
        <v>31</v>
      </c>
      <c r="S864" s="5" t="s">
        <v>56</v>
      </c>
      <c r="T864" s="4" t="str">
        <f>IF(OR(Tabela1[[#This Row],[Grau de Risco]]="Médio",Tabela1[[#This Row],[Grau de Risco]]="Baixo"),"Não","Sim")</f>
        <v>Não</v>
      </c>
    </row>
    <row r="865" spans="1:20" hidden="1">
      <c r="A865" s="28" t="s">
        <v>2</v>
      </c>
      <c r="B865" s="33" t="s">
        <v>1800</v>
      </c>
      <c r="C865" s="28" t="s">
        <v>252</v>
      </c>
      <c r="D865" s="38" t="s">
        <v>47</v>
      </c>
      <c r="E865" s="32">
        <v>12</v>
      </c>
      <c r="F865" s="32">
        <v>7</v>
      </c>
      <c r="G865" s="32">
        <v>2024</v>
      </c>
      <c r="H865" s="34" t="s">
        <v>59</v>
      </c>
      <c r="I865" s="29" t="s">
        <v>1030</v>
      </c>
      <c r="J865" s="28" t="s">
        <v>54</v>
      </c>
      <c r="K865" s="32">
        <v>30</v>
      </c>
      <c r="L865" s="32" t="s">
        <v>80</v>
      </c>
      <c r="M865" s="28" t="s">
        <v>30</v>
      </c>
      <c r="N865" s="28" t="s">
        <v>80</v>
      </c>
      <c r="O865" s="28" t="s">
        <v>45</v>
      </c>
      <c r="P865" s="32" t="s">
        <v>31</v>
      </c>
      <c r="Q865" s="35">
        <v>10</v>
      </c>
      <c r="R865" s="32" t="s">
        <v>31</v>
      </c>
      <c r="S865" s="33" t="s">
        <v>178</v>
      </c>
      <c r="T865" s="4" t="str">
        <f>IF(OR(Tabela1[[#This Row],[Grau de Risco]]="Médio",Tabela1[[#This Row],[Grau de Risco]]="Baixo"),"Não","Sim")</f>
        <v>Não</v>
      </c>
    </row>
    <row r="866" spans="1:20">
      <c r="A866" s="4" t="s">
        <v>2</v>
      </c>
      <c r="B866" s="10" t="s">
        <v>1809</v>
      </c>
      <c r="C866" s="4" t="s">
        <v>81</v>
      </c>
      <c r="D866" s="38" t="s">
        <v>47</v>
      </c>
      <c r="E866" s="3">
        <v>28</v>
      </c>
      <c r="F866" s="3">
        <v>6</v>
      </c>
      <c r="G866" s="3">
        <v>2024</v>
      </c>
      <c r="H866" s="5" t="s">
        <v>71</v>
      </c>
      <c r="I866" s="7" t="s">
        <v>1055</v>
      </c>
      <c r="J866" s="4" t="s">
        <v>61</v>
      </c>
      <c r="K866" s="3">
        <v>15</v>
      </c>
      <c r="L866" s="3">
        <v>0</v>
      </c>
      <c r="M866" s="4" t="s">
        <v>30</v>
      </c>
      <c r="N866" s="4">
        <v>0</v>
      </c>
      <c r="O866" s="4" t="s">
        <v>159</v>
      </c>
      <c r="P866" s="3" t="s">
        <v>31</v>
      </c>
      <c r="Q866" s="11">
        <v>11</v>
      </c>
      <c r="R866" s="3" t="s">
        <v>31</v>
      </c>
      <c r="S866" s="10" t="s">
        <v>4</v>
      </c>
      <c r="T866" s="4" t="str">
        <f>IF(OR(Tabela1[[#This Row],[Grau de Risco]]="Médio",Tabela1[[#This Row],[Grau de Risco]]="Baixo"),"Não","Sim")</f>
        <v>Não</v>
      </c>
    </row>
    <row r="867" spans="1:20">
      <c r="A867" s="4" t="s">
        <v>7</v>
      </c>
      <c r="B867" s="10" t="s">
        <v>1809</v>
      </c>
      <c r="C867" s="4" t="s">
        <v>41</v>
      </c>
      <c r="D867" s="38" t="s">
        <v>1382</v>
      </c>
      <c r="E867" s="3">
        <v>21</v>
      </c>
      <c r="F867" s="3">
        <v>8</v>
      </c>
      <c r="G867" s="3">
        <v>2024</v>
      </c>
      <c r="H867" s="4" t="s">
        <v>27</v>
      </c>
      <c r="I867" s="7" t="s">
        <v>1060</v>
      </c>
      <c r="J867" s="4" t="s">
        <v>61</v>
      </c>
      <c r="K867" s="3" t="s">
        <v>62</v>
      </c>
      <c r="L867" s="3"/>
      <c r="M867" s="4"/>
      <c r="N867" s="4"/>
      <c r="O867" s="4" t="s">
        <v>85</v>
      </c>
      <c r="P867" s="3"/>
      <c r="Q867" s="11">
        <v>13</v>
      </c>
      <c r="R867" s="3" t="s">
        <v>31</v>
      </c>
      <c r="S867" s="5" t="s">
        <v>40</v>
      </c>
      <c r="T867" s="4" t="str">
        <f>IF(OR(Tabela1[[#This Row],[Grau de Risco]]="Médio",Tabela1[[#This Row],[Grau de Risco]]="Baixo"),"Não","Sim")</f>
        <v>Não</v>
      </c>
    </row>
    <row r="868" spans="1:20" hidden="1">
      <c r="A868" s="5" t="s">
        <v>7</v>
      </c>
      <c r="B868" s="10" t="s">
        <v>1800</v>
      </c>
      <c r="C868" s="4" t="s">
        <v>252</v>
      </c>
      <c r="D868" s="5" t="s">
        <v>148</v>
      </c>
      <c r="E868" s="3">
        <v>16</v>
      </c>
      <c r="F868" s="3">
        <v>6</v>
      </c>
      <c r="G868" s="3">
        <v>2024</v>
      </c>
      <c r="H868" s="5" t="s">
        <v>71</v>
      </c>
      <c r="I868" s="7" t="s">
        <v>1061</v>
      </c>
      <c r="J868" s="4" t="s">
        <v>61</v>
      </c>
      <c r="K868" s="3" t="s">
        <v>44</v>
      </c>
      <c r="L868" s="3" t="s">
        <v>80</v>
      </c>
      <c r="M868" s="4" t="s">
        <v>30</v>
      </c>
      <c r="N868" s="4" t="s">
        <v>80</v>
      </c>
      <c r="O868" s="4" t="s">
        <v>4</v>
      </c>
      <c r="P868" s="3"/>
      <c r="Q868" s="11">
        <v>11</v>
      </c>
      <c r="R868" s="3" t="s">
        <v>31</v>
      </c>
      <c r="S868" s="10" t="s">
        <v>178</v>
      </c>
      <c r="T868" s="4" t="str">
        <f>IF(OR(Tabela1[[#This Row],[Grau de Risco]]="Médio",Tabela1[[#This Row],[Grau de Risco]]="Baixo"),"Não","Sim")</f>
        <v>Não</v>
      </c>
    </row>
    <row r="869" spans="1:20" hidden="1">
      <c r="A869" s="4" t="s">
        <v>8</v>
      </c>
      <c r="B869" s="10" t="s">
        <v>1800</v>
      </c>
      <c r="C869" s="4" t="s">
        <v>81</v>
      </c>
      <c r="D869" s="38" t="s">
        <v>1382</v>
      </c>
      <c r="E869" s="3">
        <v>1</v>
      </c>
      <c r="F869" s="3">
        <v>5</v>
      </c>
      <c r="G869" s="3">
        <v>2024</v>
      </c>
      <c r="H869" s="34" t="s">
        <v>59</v>
      </c>
      <c r="I869" s="7" t="s">
        <v>1102</v>
      </c>
      <c r="J869" s="4" t="s">
        <v>61</v>
      </c>
      <c r="K869" s="3">
        <v>0</v>
      </c>
      <c r="L869" s="3" t="s">
        <v>80</v>
      </c>
      <c r="M869" s="4" t="s">
        <v>30</v>
      </c>
      <c r="N869" s="4" t="s">
        <v>80</v>
      </c>
      <c r="O869" s="4" t="s">
        <v>85</v>
      </c>
      <c r="P869" s="3" t="s">
        <v>31</v>
      </c>
      <c r="Q869" s="11">
        <v>7</v>
      </c>
      <c r="R869" s="3" t="s">
        <v>102</v>
      </c>
      <c r="S869" s="5" t="s">
        <v>40</v>
      </c>
      <c r="T869" s="4" t="str">
        <f>IF(OR(Tabela1[[#This Row],[Grau de Risco]]="Médio",Tabela1[[#This Row],[Grau de Risco]]="Baixo"),"Não","Sim")</f>
        <v>Sim</v>
      </c>
    </row>
    <row r="870" spans="1:20" hidden="1">
      <c r="A870" s="28" t="s">
        <v>7</v>
      </c>
      <c r="B870" s="33" t="s">
        <v>1800</v>
      </c>
      <c r="C870" s="4" t="s">
        <v>41</v>
      </c>
      <c r="D870" s="38" t="s">
        <v>148</v>
      </c>
      <c r="E870" s="32">
        <v>12</v>
      </c>
      <c r="F870" s="32">
        <v>1</v>
      </c>
      <c r="G870" s="32">
        <v>2025</v>
      </c>
      <c r="H870" s="38" t="s">
        <v>59</v>
      </c>
      <c r="I870" s="29" t="s">
        <v>1115</v>
      </c>
      <c r="J870" s="28" t="s">
        <v>38</v>
      </c>
      <c r="K870" s="32" t="s">
        <v>80</v>
      </c>
      <c r="L870" s="32" t="s">
        <v>80</v>
      </c>
      <c r="M870" s="28" t="s">
        <v>30</v>
      </c>
      <c r="N870" s="28" t="s">
        <v>80</v>
      </c>
      <c r="O870" s="28" t="s">
        <v>77</v>
      </c>
      <c r="P870" s="32"/>
      <c r="Q870" s="35">
        <v>10</v>
      </c>
      <c r="R870" s="32" t="s">
        <v>31</v>
      </c>
      <c r="S870" s="33" t="s">
        <v>63</v>
      </c>
      <c r="T870" s="4" t="str">
        <f>IF(OR(Tabela1[[#This Row],[Grau de Risco]]="Médio",Tabela1[[#This Row],[Grau de Risco]]="Baixo"),"Não","Sim")</f>
        <v>Não</v>
      </c>
    </row>
    <row r="871" spans="1:20">
      <c r="A871" s="4" t="s">
        <v>1110</v>
      </c>
      <c r="B871" s="10" t="s">
        <v>1809</v>
      </c>
      <c r="C871" s="4" t="s">
        <v>26</v>
      </c>
      <c r="D871" s="38" t="s">
        <v>1393</v>
      </c>
      <c r="E871" s="3">
        <v>14</v>
      </c>
      <c r="F871" s="3">
        <v>1</v>
      </c>
      <c r="G871" s="3">
        <v>2025</v>
      </c>
      <c r="H871" s="36" t="s">
        <v>33</v>
      </c>
      <c r="I871" s="7" t="s">
        <v>1677</v>
      </c>
      <c r="J871" s="4" t="s">
        <v>35</v>
      </c>
      <c r="K871" s="3" t="s">
        <v>44</v>
      </c>
      <c r="L871" s="3" t="s">
        <v>44</v>
      </c>
      <c r="M871" s="4"/>
      <c r="N871" s="4" t="s">
        <v>44</v>
      </c>
      <c r="O871" s="4"/>
      <c r="P871" s="3"/>
      <c r="Q871" s="11">
        <v>14</v>
      </c>
      <c r="R871" s="3" t="s">
        <v>52</v>
      </c>
      <c r="S871" s="5" t="s">
        <v>56</v>
      </c>
      <c r="T871" s="4" t="str">
        <f>IF(OR(Tabela1[[#This Row],[Grau de Risco]]="Médio",Tabela1[[#This Row],[Grau de Risco]]="Baixo"),"Não","Sim")</f>
        <v>Não</v>
      </c>
    </row>
    <row r="872" spans="1:20" hidden="1">
      <c r="A872" s="28" t="s">
        <v>7</v>
      </c>
      <c r="B872" s="56" t="s">
        <v>1793</v>
      </c>
      <c r="C872" s="28" t="s">
        <v>81</v>
      </c>
      <c r="D872" s="58" t="s">
        <v>1409</v>
      </c>
      <c r="E872" s="32">
        <v>23</v>
      </c>
      <c r="F872" s="32">
        <v>1</v>
      </c>
      <c r="G872" s="32">
        <v>2025</v>
      </c>
      <c r="H872" s="36" t="s">
        <v>107</v>
      </c>
      <c r="I872" s="29" t="s">
        <v>1128</v>
      </c>
      <c r="J872" s="28" t="s">
        <v>111</v>
      </c>
      <c r="K872" s="32"/>
      <c r="L872" s="32"/>
      <c r="M872" s="28"/>
      <c r="N872" s="28"/>
      <c r="O872" s="28" t="s">
        <v>77</v>
      </c>
      <c r="P872" s="32"/>
      <c r="Q872" s="35">
        <v>5</v>
      </c>
      <c r="R872" s="32" t="s">
        <v>102</v>
      </c>
      <c r="S872" s="33" t="s">
        <v>63</v>
      </c>
      <c r="T872" s="4" t="str">
        <f>IF(OR(Tabela1[[#This Row],[Grau de Risco]]="Médio",Tabela1[[#This Row],[Grau de Risco]]="Baixo"),"Não","Sim")</f>
        <v>Sim</v>
      </c>
    </row>
    <row r="873" spans="1:20">
      <c r="A873" s="4" t="s">
        <v>7</v>
      </c>
      <c r="B873" s="10" t="s">
        <v>1809</v>
      </c>
      <c r="C873" s="28" t="s">
        <v>252</v>
      </c>
      <c r="D873" s="58" t="s">
        <v>1409</v>
      </c>
      <c r="E873" s="32">
        <v>30</v>
      </c>
      <c r="F873" s="32">
        <v>1</v>
      </c>
      <c r="G873" s="32">
        <v>2025</v>
      </c>
      <c r="H873" s="5" t="s">
        <v>48</v>
      </c>
      <c r="I873" s="29" t="s">
        <v>1139</v>
      </c>
      <c r="J873" s="28" t="s">
        <v>38</v>
      </c>
      <c r="K873" s="32" t="s">
        <v>1581</v>
      </c>
      <c r="L873" s="32" t="s">
        <v>44</v>
      </c>
      <c r="M873" s="28" t="s">
        <v>30</v>
      </c>
      <c r="N873" s="28" t="s">
        <v>44</v>
      </c>
      <c r="O873" s="28"/>
      <c r="P873" s="32"/>
      <c r="Q873" s="35">
        <v>11</v>
      </c>
      <c r="R873" s="32" t="s">
        <v>31</v>
      </c>
      <c r="S873" s="10" t="s">
        <v>56</v>
      </c>
      <c r="T873" s="4" t="str">
        <f>IF(OR(Tabela1[[#This Row],[Grau de Risco]]="Médio",Tabela1[[#This Row],[Grau de Risco]]="Baixo"),"Não","Sim")</f>
        <v>Não</v>
      </c>
    </row>
    <row r="874" spans="1:20">
      <c r="A874" s="28" t="s">
        <v>6</v>
      </c>
      <c r="B874" s="10" t="s">
        <v>1809</v>
      </c>
      <c r="C874" s="28" t="s">
        <v>41</v>
      </c>
      <c r="D874" s="5" t="s">
        <v>36</v>
      </c>
      <c r="E874" s="32">
        <v>22</v>
      </c>
      <c r="F874" s="32">
        <v>3</v>
      </c>
      <c r="G874" s="32">
        <v>2025</v>
      </c>
      <c r="H874" s="36" t="s">
        <v>107</v>
      </c>
      <c r="I874" s="29" t="s">
        <v>1678</v>
      </c>
      <c r="J874" s="28" t="s">
        <v>54</v>
      </c>
      <c r="K874" s="32" t="s">
        <v>1581</v>
      </c>
      <c r="L874" s="32" t="s">
        <v>44</v>
      </c>
      <c r="M874" s="28" t="s">
        <v>30</v>
      </c>
      <c r="N874" s="28" t="s">
        <v>44</v>
      </c>
      <c r="O874" s="28"/>
      <c r="P874" s="32"/>
      <c r="Q874" s="35">
        <v>4</v>
      </c>
      <c r="R874" s="32" t="s">
        <v>102</v>
      </c>
      <c r="S874" s="10" t="s">
        <v>56</v>
      </c>
      <c r="T874" s="4" t="str">
        <f>IF(OR(Tabela1[[#This Row],[Grau de Risco]]="Médio",Tabela1[[#This Row],[Grau de Risco]]="Baixo"),"Não","Sim")</f>
        <v>Sim</v>
      </c>
    </row>
    <row r="875" spans="1:20" hidden="1">
      <c r="A875" s="28" t="s">
        <v>8</v>
      </c>
      <c r="B875" s="33" t="s">
        <v>1797</v>
      </c>
      <c r="C875" s="28" t="s">
        <v>81</v>
      </c>
      <c r="D875" s="38" t="s">
        <v>1382</v>
      </c>
      <c r="E875" s="32">
        <v>14</v>
      </c>
      <c r="F875" s="32">
        <v>5</v>
      </c>
      <c r="G875" s="32">
        <v>2025</v>
      </c>
      <c r="H875" s="5" t="s">
        <v>48</v>
      </c>
      <c r="I875" s="29" t="s">
        <v>1679</v>
      </c>
      <c r="J875" s="28" t="s">
        <v>54</v>
      </c>
      <c r="K875" s="32" t="s">
        <v>44</v>
      </c>
      <c r="L875" s="32" t="s">
        <v>44</v>
      </c>
      <c r="M875" s="28" t="s">
        <v>30</v>
      </c>
      <c r="N875" s="28" t="s">
        <v>44</v>
      </c>
      <c r="O875" s="28"/>
      <c r="P875" s="32" t="s">
        <v>31</v>
      </c>
      <c r="Q875" s="35">
        <v>10</v>
      </c>
      <c r="R875" s="32" t="s">
        <v>31</v>
      </c>
      <c r="S875" s="57" t="s">
        <v>1261</v>
      </c>
      <c r="T875" s="4" t="str">
        <f>IF(OR(Tabela1[[#This Row],[Grau de Risco]]="Médio",Tabela1[[#This Row],[Grau de Risco]]="Baixo"),"Não","Sim")</f>
        <v>Não</v>
      </c>
    </row>
    <row r="876" spans="1:20" hidden="1">
      <c r="A876" s="4" t="s">
        <v>7</v>
      </c>
      <c r="B876" s="10" t="s">
        <v>1797</v>
      </c>
      <c r="C876" s="4" t="s">
        <v>125</v>
      </c>
      <c r="D876" s="38" t="s">
        <v>1382</v>
      </c>
      <c r="E876" s="3">
        <v>11</v>
      </c>
      <c r="F876" s="3">
        <v>6</v>
      </c>
      <c r="G876" s="3">
        <v>2025</v>
      </c>
      <c r="H876" s="36" t="s">
        <v>112</v>
      </c>
      <c r="I876" s="7" t="s">
        <v>1680</v>
      </c>
      <c r="J876" s="4" t="s">
        <v>79</v>
      </c>
      <c r="K876" s="3">
        <v>0</v>
      </c>
      <c r="L876" s="3">
        <v>0</v>
      </c>
      <c r="M876" s="4" t="s">
        <v>30</v>
      </c>
      <c r="N876" s="4">
        <v>0</v>
      </c>
      <c r="O876" s="4"/>
      <c r="P876" s="3" t="s">
        <v>31</v>
      </c>
      <c r="Q876" s="11">
        <v>13</v>
      </c>
      <c r="R876" s="3" t="s">
        <v>31</v>
      </c>
      <c r="S876" s="10" t="s">
        <v>63</v>
      </c>
      <c r="T876" s="4" t="str">
        <f>IF(OR(Tabela1[[#This Row],[Grau de Risco]]="Médio",Tabela1[[#This Row],[Grau de Risco]]="Baixo"),"Não","Sim")</f>
        <v>Não</v>
      </c>
    </row>
    <row r="877" spans="1:20" hidden="1">
      <c r="A877" s="28" t="s">
        <v>10</v>
      </c>
      <c r="B877" s="33" t="s">
        <v>1797</v>
      </c>
      <c r="C877" s="28" t="s">
        <v>252</v>
      </c>
      <c r="D877" s="38" t="s">
        <v>47</v>
      </c>
      <c r="E877" s="32">
        <v>13</v>
      </c>
      <c r="F877" s="32">
        <v>6</v>
      </c>
      <c r="G877" s="32">
        <v>2025</v>
      </c>
      <c r="H877" s="36" t="s">
        <v>375</v>
      </c>
      <c r="I877" s="29" t="s">
        <v>1300</v>
      </c>
      <c r="J877" s="28" t="s">
        <v>38</v>
      </c>
      <c r="K877" s="32"/>
      <c r="L877" s="32" t="s">
        <v>44</v>
      </c>
      <c r="M877" s="28" t="s">
        <v>30</v>
      </c>
      <c r="N877" s="28" t="s">
        <v>44</v>
      </c>
      <c r="O877" s="28"/>
      <c r="P877" s="32" t="s">
        <v>31</v>
      </c>
      <c r="Q877" s="35">
        <v>10</v>
      </c>
      <c r="R877" s="32" t="s">
        <v>31</v>
      </c>
      <c r="S877" s="33" t="s">
        <v>63</v>
      </c>
      <c r="T877" s="4" t="str">
        <f>IF(OR(Tabela1[[#This Row],[Grau de Risco]]="Médio",Tabela1[[#This Row],[Grau de Risco]]="Baixo"),"Não","Sim")</f>
        <v>Não</v>
      </c>
    </row>
    <row r="878" spans="1:20" hidden="1">
      <c r="A878" s="28" t="s">
        <v>7</v>
      </c>
      <c r="B878" s="33" t="s">
        <v>1797</v>
      </c>
      <c r="C878" s="28" t="s">
        <v>41</v>
      </c>
      <c r="D878" s="38" t="s">
        <v>47</v>
      </c>
      <c r="E878" s="32">
        <v>20</v>
      </c>
      <c r="F878" s="32">
        <v>6</v>
      </c>
      <c r="G878" s="32">
        <v>2025</v>
      </c>
      <c r="H878" s="34" t="s">
        <v>59</v>
      </c>
      <c r="I878" s="29" t="s">
        <v>1326</v>
      </c>
      <c r="J878" s="28" t="s">
        <v>111</v>
      </c>
      <c r="K878" s="32"/>
      <c r="L878" s="32"/>
      <c r="M878" s="28"/>
      <c r="N878" s="28"/>
      <c r="O878" s="28" t="s">
        <v>74</v>
      </c>
      <c r="P878" s="32" t="s">
        <v>31</v>
      </c>
      <c r="Q878" s="35">
        <v>11</v>
      </c>
      <c r="R878" s="32" t="s">
        <v>31</v>
      </c>
      <c r="S878" s="10" t="s">
        <v>4</v>
      </c>
      <c r="T878" s="4" t="str">
        <f>IF(OR(Tabela1[[#This Row],[Grau de Risco]]="Médio",Tabela1[[#This Row],[Grau de Risco]]="Baixo"),"Não","Sim")</f>
        <v>Não</v>
      </c>
    </row>
    <row r="879" spans="1:20" hidden="1">
      <c r="A879" s="28" t="s">
        <v>10</v>
      </c>
      <c r="B879" s="33" t="s">
        <v>1797</v>
      </c>
      <c r="C879" s="28" t="s">
        <v>125</v>
      </c>
      <c r="D879" s="5" t="s">
        <v>36</v>
      </c>
      <c r="E879" s="32">
        <v>5</v>
      </c>
      <c r="F879" s="32">
        <v>7</v>
      </c>
      <c r="G879" s="32">
        <v>2025</v>
      </c>
      <c r="H879" s="60" t="s">
        <v>109</v>
      </c>
      <c r="I879" s="29" t="s">
        <v>1336</v>
      </c>
      <c r="J879" s="28" t="s">
        <v>61</v>
      </c>
      <c r="K879" s="32"/>
      <c r="L879" s="32"/>
      <c r="M879" s="28"/>
      <c r="N879" s="28"/>
      <c r="O879" s="28" t="s">
        <v>77</v>
      </c>
      <c r="P879" s="32" t="s">
        <v>31</v>
      </c>
      <c r="Q879" s="35">
        <v>7</v>
      </c>
      <c r="R879" s="32" t="s">
        <v>102</v>
      </c>
      <c r="S879" s="33" t="s">
        <v>63</v>
      </c>
      <c r="T879" s="4" t="str">
        <f>IF(OR(Tabela1[[#This Row],[Grau de Risco]]="Médio",Tabela1[[#This Row],[Grau de Risco]]="Baixo"),"Não","Sim")</f>
        <v>Sim</v>
      </c>
    </row>
    <row r="880" spans="1:20">
      <c r="A880" s="28" t="s">
        <v>10</v>
      </c>
      <c r="B880" s="10" t="s">
        <v>1809</v>
      </c>
      <c r="C880" s="28" t="s">
        <v>26</v>
      </c>
      <c r="D880" s="36" t="s">
        <v>148</v>
      </c>
      <c r="E880" s="32">
        <v>13</v>
      </c>
      <c r="F880" s="32">
        <v>7</v>
      </c>
      <c r="G880" s="32">
        <v>2025</v>
      </c>
      <c r="H880" s="36" t="s">
        <v>375</v>
      </c>
      <c r="I880" s="29" t="s">
        <v>1352</v>
      </c>
      <c r="J880" s="28" t="s">
        <v>38</v>
      </c>
      <c r="K880" s="32"/>
      <c r="L880" s="32"/>
      <c r="M880" s="28"/>
      <c r="N880" s="28"/>
      <c r="O880" s="28" t="s">
        <v>1339</v>
      </c>
      <c r="P880" s="32" t="s">
        <v>31</v>
      </c>
      <c r="Q880" s="35">
        <v>10</v>
      </c>
      <c r="R880" s="32" t="s">
        <v>31</v>
      </c>
      <c r="S880" s="33" t="s">
        <v>63</v>
      </c>
      <c r="T880" s="4" t="str">
        <f>IF(OR(Tabela1[[#This Row],[Grau de Risco]]="Médio",Tabela1[[#This Row],[Grau de Risco]]="Baixo"),"Não","Sim")</f>
        <v>Não</v>
      </c>
    </row>
    <row r="881" spans="1:20">
      <c r="A881" s="28" t="s">
        <v>7</v>
      </c>
      <c r="B881" s="10" t="s">
        <v>1809</v>
      </c>
      <c r="C881" s="28" t="s">
        <v>81</v>
      </c>
      <c r="D881" s="36" t="s">
        <v>36</v>
      </c>
      <c r="E881" s="32">
        <v>9</v>
      </c>
      <c r="F881" s="32">
        <v>8</v>
      </c>
      <c r="G881" s="32">
        <v>2025</v>
      </c>
      <c r="H881" s="36" t="s">
        <v>33</v>
      </c>
      <c r="I881" s="7" t="s">
        <v>1389</v>
      </c>
      <c r="J881" s="28" t="s">
        <v>38</v>
      </c>
      <c r="K881" s="32" t="s">
        <v>1581</v>
      </c>
      <c r="L881" s="32" t="s">
        <v>44</v>
      </c>
      <c r="M881" s="28" t="s">
        <v>30</v>
      </c>
      <c r="N881" s="28" t="s">
        <v>44</v>
      </c>
      <c r="O881" s="28" t="s">
        <v>44</v>
      </c>
      <c r="P881" s="32"/>
      <c r="Q881" s="35">
        <v>2</v>
      </c>
      <c r="R881" s="3" t="str">
        <f>IF(Q881="","",IF(Q881&lt;4,"Crítico",IF(Q881&lt;9,"Alto",IF(Q881&lt;14,"Médio","Baixo"))))</f>
        <v>Crítico</v>
      </c>
      <c r="S881" s="33" t="s">
        <v>63</v>
      </c>
      <c r="T881" s="4" t="str">
        <f>IF(OR(Tabela1[[#This Row],[Grau de Risco]]="Médio",Tabela1[[#This Row],[Grau de Risco]]="Baixo"),"Não","Sim")</f>
        <v>Sim</v>
      </c>
    </row>
    <row r="882" spans="1:20">
      <c r="A882" s="28" t="s">
        <v>8</v>
      </c>
      <c r="B882" s="10" t="s">
        <v>1809</v>
      </c>
      <c r="C882" s="28" t="s">
        <v>26</v>
      </c>
      <c r="D882" s="36" t="s">
        <v>1393</v>
      </c>
      <c r="E882" s="32">
        <v>23</v>
      </c>
      <c r="F882" s="32">
        <v>9</v>
      </c>
      <c r="G882" s="32">
        <v>2025</v>
      </c>
      <c r="H882" s="36" t="s">
        <v>59</v>
      </c>
      <c r="I882" s="29" t="s">
        <v>1424</v>
      </c>
      <c r="J882" s="28" t="s">
        <v>54</v>
      </c>
      <c r="K882" s="32" t="s">
        <v>1581</v>
      </c>
      <c r="L882" s="32" t="s">
        <v>44</v>
      </c>
      <c r="M882" s="28" t="s">
        <v>30</v>
      </c>
      <c r="N882" s="28" t="s">
        <v>44</v>
      </c>
      <c r="O882" s="28"/>
      <c r="P882" s="32" t="s">
        <v>52</v>
      </c>
      <c r="Q882" s="35">
        <v>11</v>
      </c>
      <c r="R882" s="32" t="s">
        <v>31</v>
      </c>
      <c r="S882" s="33" t="s">
        <v>56</v>
      </c>
      <c r="T882" s="4" t="str">
        <f>IF(OR(Tabela1[[#This Row],[Grau de Risco]]="Médio",Tabela1[[#This Row],[Grau de Risco]]="Baixo"),"Não","Sim")</f>
        <v>Não</v>
      </c>
    </row>
    <row r="883" spans="1:20" hidden="1">
      <c r="A883" s="28" t="s">
        <v>8</v>
      </c>
      <c r="B883" s="33" t="s">
        <v>1797</v>
      </c>
      <c r="C883" s="28" t="s">
        <v>81</v>
      </c>
      <c r="D883" s="28" t="s">
        <v>47</v>
      </c>
      <c r="E883" s="32">
        <v>5</v>
      </c>
      <c r="F883" s="32">
        <v>9</v>
      </c>
      <c r="G883" s="32">
        <v>2025</v>
      </c>
      <c r="H883" s="34" t="s">
        <v>33</v>
      </c>
      <c r="I883" s="7" t="s">
        <v>1443</v>
      </c>
      <c r="J883" s="28" t="s">
        <v>154</v>
      </c>
      <c r="K883" s="3">
        <v>0</v>
      </c>
      <c r="L883" s="3">
        <v>0</v>
      </c>
      <c r="M883" s="4" t="s">
        <v>25</v>
      </c>
      <c r="N883" s="4">
        <v>0</v>
      </c>
      <c r="O883" s="28" t="s">
        <v>1444</v>
      </c>
      <c r="P883" s="32" t="s">
        <v>52</v>
      </c>
      <c r="Q883" s="35">
        <v>16</v>
      </c>
      <c r="R883" s="3" t="s">
        <v>52</v>
      </c>
      <c r="S883" s="33" t="s">
        <v>4</v>
      </c>
      <c r="T883" s="4" t="str">
        <f>IF(OR(Tabela1[[#This Row],[Grau de Risco]]="Médio",Tabela1[[#This Row],[Grau de Risco]]="Baixo"),"Não","Sim")</f>
        <v>Não</v>
      </c>
    </row>
    <row r="884" spans="1:20">
      <c r="A884" s="28" t="s">
        <v>8</v>
      </c>
      <c r="B884" s="10" t="s">
        <v>1809</v>
      </c>
      <c r="C884" s="28" t="s">
        <v>26</v>
      </c>
      <c r="D884" s="28" t="s">
        <v>1382</v>
      </c>
      <c r="E884" s="32">
        <v>3</v>
      </c>
      <c r="F884" s="32">
        <v>9</v>
      </c>
      <c r="G884" s="32">
        <v>2025</v>
      </c>
      <c r="H884" s="34" t="s">
        <v>71</v>
      </c>
      <c r="I884" s="7" t="s">
        <v>1844</v>
      </c>
      <c r="J884" s="28" t="s">
        <v>50</v>
      </c>
      <c r="K884" s="3">
        <v>0</v>
      </c>
      <c r="L884" s="3">
        <v>0</v>
      </c>
      <c r="M884" s="4" t="s">
        <v>25</v>
      </c>
      <c r="N884" s="4">
        <v>2</v>
      </c>
      <c r="O884" s="28"/>
      <c r="P884" s="32" t="s">
        <v>52</v>
      </c>
      <c r="Q884" s="35">
        <v>14</v>
      </c>
      <c r="R884" s="3" t="s">
        <v>52</v>
      </c>
      <c r="S884" s="33" t="s">
        <v>56</v>
      </c>
      <c r="T884" s="4" t="str">
        <f>IF(OR(Tabela1[[#This Row],[Grau de Risco]]="Médio",Tabela1[[#This Row],[Grau de Risco]]="Baixo"),"Não","Sim")</f>
        <v>Não</v>
      </c>
    </row>
    <row r="885" spans="1:20">
      <c r="A885" s="28" t="s">
        <v>7</v>
      </c>
      <c r="B885" s="10" t="s">
        <v>1809</v>
      </c>
      <c r="C885" s="28" t="s">
        <v>26</v>
      </c>
      <c r="D885" s="28" t="s">
        <v>1393</v>
      </c>
      <c r="E885" s="32">
        <v>23</v>
      </c>
      <c r="F885" s="32">
        <v>9</v>
      </c>
      <c r="G885" s="32">
        <v>2025</v>
      </c>
      <c r="H885" s="34" t="s">
        <v>27</v>
      </c>
      <c r="I885" s="7" t="s">
        <v>1681</v>
      </c>
      <c r="J885" s="28" t="s">
        <v>93</v>
      </c>
      <c r="K885" s="3">
        <v>0</v>
      </c>
      <c r="L885" s="3">
        <v>0</v>
      </c>
      <c r="M885" s="4" t="s">
        <v>30</v>
      </c>
      <c r="N885" s="4">
        <v>0</v>
      </c>
      <c r="O885" s="28"/>
      <c r="P885" s="32"/>
      <c r="Q885" s="35">
        <v>11</v>
      </c>
      <c r="R885" s="32" t="s">
        <v>31</v>
      </c>
      <c r="S885" s="33" t="s">
        <v>56</v>
      </c>
      <c r="T885" s="4" t="str">
        <f>IF(OR(Tabela1[[#This Row],[Grau de Risco]]="Médio",Tabela1[[#This Row],[Grau de Risco]]="Baixo"),"Não","Sim")</f>
        <v>Não</v>
      </c>
    </row>
    <row r="886" spans="1:20" hidden="1">
      <c r="A886" s="28" t="s">
        <v>7</v>
      </c>
      <c r="B886" s="33" t="s">
        <v>1800</v>
      </c>
      <c r="C886" s="28" t="s">
        <v>41</v>
      </c>
      <c r="D886" s="38" t="s">
        <v>1382</v>
      </c>
      <c r="E886" s="32">
        <v>3</v>
      </c>
      <c r="F886" s="32">
        <v>9</v>
      </c>
      <c r="G886" s="32">
        <v>2025</v>
      </c>
      <c r="H886" s="38" t="s">
        <v>27</v>
      </c>
      <c r="I886" s="7" t="s">
        <v>1455</v>
      </c>
      <c r="J886" s="28" t="s">
        <v>61</v>
      </c>
      <c r="K886" s="32" t="s">
        <v>80</v>
      </c>
      <c r="L886" s="32" t="s">
        <v>80</v>
      </c>
      <c r="M886" s="28" t="s">
        <v>30</v>
      </c>
      <c r="N886" s="28" t="s">
        <v>80</v>
      </c>
      <c r="O886" s="28" t="s">
        <v>77</v>
      </c>
      <c r="P886" s="32" t="s">
        <v>44</v>
      </c>
      <c r="Q886" s="35">
        <v>11</v>
      </c>
      <c r="R886" s="32" t="s">
        <v>31</v>
      </c>
      <c r="S886" s="33" t="s">
        <v>63</v>
      </c>
      <c r="T886" s="4" t="str">
        <f>IF(OR(Tabela1[[#This Row],[Grau de Risco]]="Médio",Tabela1[[#This Row],[Grau de Risco]]="Baixo"),"Não","Sim")</f>
        <v>Não</v>
      </c>
    </row>
    <row r="887" spans="1:20" hidden="1">
      <c r="A887" s="28" t="s">
        <v>7</v>
      </c>
      <c r="B887" s="33" t="s">
        <v>1800</v>
      </c>
      <c r="C887" s="28" t="s">
        <v>41</v>
      </c>
      <c r="D887" s="38" t="s">
        <v>47</v>
      </c>
      <c r="E887" s="32">
        <v>24</v>
      </c>
      <c r="F887" s="32">
        <v>10</v>
      </c>
      <c r="G887" s="32">
        <v>2025</v>
      </c>
      <c r="H887" s="38" t="s">
        <v>59</v>
      </c>
      <c r="I887" s="7" t="s">
        <v>1509</v>
      </c>
      <c r="J887" s="28" t="s">
        <v>69</v>
      </c>
      <c r="K887" s="32" t="s">
        <v>80</v>
      </c>
      <c r="L887" s="32" t="s">
        <v>80</v>
      </c>
      <c r="M887" s="28" t="s">
        <v>30</v>
      </c>
      <c r="N887" s="28" t="s">
        <v>80</v>
      </c>
      <c r="O887" s="4" t="s">
        <v>167</v>
      </c>
      <c r="P887" s="32" t="s">
        <v>44</v>
      </c>
      <c r="Q887" s="35">
        <v>15</v>
      </c>
      <c r="R887" s="3" t="s">
        <v>52</v>
      </c>
      <c r="S887" s="33" t="s">
        <v>63</v>
      </c>
      <c r="T887" s="4" t="str">
        <f>IF(OR(Tabela1[[#This Row],[Grau de Risco]]="Médio",Tabela1[[#This Row],[Grau de Risco]]="Baixo"),"Não","Sim")</f>
        <v>Não</v>
      </c>
    </row>
    <row r="888" spans="1:20" hidden="1">
      <c r="A888" s="38" t="s">
        <v>7</v>
      </c>
      <c r="B888" s="38" t="s">
        <v>1800</v>
      </c>
      <c r="C888" s="38" t="s">
        <v>41</v>
      </c>
      <c r="D888" s="38" t="s">
        <v>1320</v>
      </c>
      <c r="E888" s="38">
        <v>3</v>
      </c>
      <c r="F888" s="38">
        <v>11</v>
      </c>
      <c r="G888" s="38">
        <v>2025</v>
      </c>
      <c r="H888" s="38" t="s">
        <v>71</v>
      </c>
      <c r="I888" t="s">
        <v>1535</v>
      </c>
      <c r="J888" s="38" t="s">
        <v>69</v>
      </c>
      <c r="K888" s="38" t="s">
        <v>80</v>
      </c>
      <c r="L888" s="38" t="s">
        <v>80</v>
      </c>
      <c r="M888" s="38" t="s">
        <v>30</v>
      </c>
      <c r="N888" s="38" t="s">
        <v>80</v>
      </c>
      <c r="O888" s="42" t="s">
        <v>51</v>
      </c>
      <c r="P888" s="32" t="s">
        <v>52</v>
      </c>
      <c r="Q888" s="38">
        <v>15</v>
      </c>
      <c r="R888" s="32" t="s">
        <v>52</v>
      </c>
      <c r="S888" s="38" t="s">
        <v>56</v>
      </c>
      <c r="T888" s="4" t="str">
        <f>IF(OR(Tabela1[[#This Row],[Grau de Risco]]="Médio",Tabela1[[#This Row],[Grau de Risco]]="Baixo"),"Não","Sim")</f>
        <v>Não</v>
      </c>
    </row>
    <row r="889" spans="1:20">
      <c r="A889" s="28" t="s">
        <v>8</v>
      </c>
      <c r="B889" s="10" t="s">
        <v>1809</v>
      </c>
      <c r="C889" s="32" t="s">
        <v>26</v>
      </c>
      <c r="D889" s="32" t="s">
        <v>1393</v>
      </c>
      <c r="E889" s="32">
        <v>25</v>
      </c>
      <c r="F889" s="32">
        <v>11</v>
      </c>
      <c r="G889" s="32">
        <v>2025</v>
      </c>
      <c r="H889" s="32" t="s">
        <v>33</v>
      </c>
      <c r="I889" s="29" t="s">
        <v>1682</v>
      </c>
      <c r="J889" s="32" t="s">
        <v>575</v>
      </c>
      <c r="K889" s="32">
        <v>0</v>
      </c>
      <c r="L889" s="32">
        <v>0</v>
      </c>
      <c r="M889" s="3" t="s">
        <v>30</v>
      </c>
      <c r="N889" s="3">
        <v>0</v>
      </c>
      <c r="O889" s="32"/>
      <c r="P889" s="32" t="s">
        <v>52</v>
      </c>
      <c r="Q889" s="32">
        <v>4</v>
      </c>
      <c r="R889" s="3" t="s">
        <v>102</v>
      </c>
      <c r="S889" s="28" t="s">
        <v>63</v>
      </c>
      <c r="T889" s="4" t="str">
        <f>IF(OR(Tabela1[[#This Row],[Grau de Risco]]="Médio",Tabela1[[#This Row],[Grau de Risco]]="Baixo"),"Não","Sim")</f>
        <v>Sim</v>
      </c>
    </row>
    <row r="890" spans="1:20" hidden="1">
      <c r="A890" s="28" t="s">
        <v>7</v>
      </c>
      <c r="B890" s="28" t="s">
        <v>1805</v>
      </c>
      <c r="C890" s="32" t="s">
        <v>41</v>
      </c>
      <c r="D890" s="32" t="s">
        <v>1409</v>
      </c>
      <c r="E890" s="32">
        <v>13</v>
      </c>
      <c r="F890" s="32">
        <v>11</v>
      </c>
      <c r="G890" s="32">
        <v>2025</v>
      </c>
      <c r="H890" s="32" t="s">
        <v>71</v>
      </c>
      <c r="I890" s="76" t="s">
        <v>1552</v>
      </c>
      <c r="J890" s="32" t="s">
        <v>73</v>
      </c>
      <c r="K890" s="32"/>
      <c r="L890" s="32"/>
      <c r="M890" s="32"/>
      <c r="N890" s="32"/>
      <c r="O890" s="32" t="s">
        <v>4</v>
      </c>
      <c r="P890" s="32"/>
      <c r="Q890" s="32">
        <v>11</v>
      </c>
      <c r="R890" s="32" t="s">
        <v>31</v>
      </c>
      <c r="S890" s="28" t="s">
        <v>1546</v>
      </c>
      <c r="T890" s="4" t="str">
        <f>IF(OR(Tabela1[[#This Row],[Grau de Risco]]="Médio",Tabela1[[#This Row],[Grau de Risco]]="Baixo"),"Não","Sim")</f>
        <v>Não</v>
      </c>
    </row>
    <row r="891" spans="1:20" hidden="1">
      <c r="A891" s="28" t="s">
        <v>7</v>
      </c>
      <c r="B891" s="28" t="s">
        <v>1797</v>
      </c>
      <c r="C891" s="32" t="s">
        <v>81</v>
      </c>
      <c r="D891" s="32" t="s">
        <v>47</v>
      </c>
      <c r="E891" s="32">
        <v>28</v>
      </c>
      <c r="F891" s="32">
        <v>11</v>
      </c>
      <c r="G891" s="32">
        <v>2025</v>
      </c>
      <c r="H891" s="32" t="s">
        <v>107</v>
      </c>
      <c r="I891" s="76" t="s">
        <v>1556</v>
      </c>
      <c r="J891" s="32" t="s">
        <v>111</v>
      </c>
      <c r="K891" s="32"/>
      <c r="L891" s="32"/>
      <c r="M891" s="32"/>
      <c r="N891" s="32"/>
      <c r="O891" s="32" t="s">
        <v>45</v>
      </c>
      <c r="P891" s="32"/>
      <c r="Q891" s="32">
        <v>11</v>
      </c>
      <c r="R891" s="32" t="s">
        <v>31</v>
      </c>
      <c r="S891" s="4" t="s">
        <v>56</v>
      </c>
      <c r="T891" s="4" t="str">
        <f>IF(OR(Tabela1[[#This Row],[Grau de Risco]]="Médio",Tabela1[[#This Row],[Grau de Risco]]="Baixo"),"Não","Sim")</f>
        <v>Não</v>
      </c>
    </row>
    <row r="892" spans="1:20">
      <c r="A892" s="5" t="s">
        <v>2</v>
      </c>
      <c r="B892" s="10" t="s">
        <v>1809</v>
      </c>
      <c r="C892" s="5" t="s">
        <v>26</v>
      </c>
      <c r="D892" s="5" t="s">
        <v>36</v>
      </c>
      <c r="E892" s="2">
        <v>7</v>
      </c>
      <c r="F892" s="2">
        <v>3</v>
      </c>
      <c r="G892" s="2">
        <v>2020</v>
      </c>
      <c r="H892" s="4" t="s">
        <v>27</v>
      </c>
      <c r="I892" s="5" t="s">
        <v>37</v>
      </c>
      <c r="J892" s="5" t="s">
        <v>38</v>
      </c>
      <c r="K892" s="2">
        <v>6</v>
      </c>
      <c r="L892" s="2">
        <v>0</v>
      </c>
      <c r="M892" s="5" t="s">
        <v>30</v>
      </c>
      <c r="N892" s="5">
        <v>0</v>
      </c>
      <c r="O892" s="5" t="s">
        <v>39</v>
      </c>
      <c r="P892" s="2" t="s">
        <v>31</v>
      </c>
      <c r="Q892" s="2">
        <v>13</v>
      </c>
      <c r="R892" s="2" t="s">
        <v>31</v>
      </c>
      <c r="S892" s="5" t="s">
        <v>40</v>
      </c>
      <c r="T892" s="4" t="str">
        <f>IF(OR(Tabela1[[#This Row],[Grau de Risco]]="Médio",Tabela1[[#This Row],[Grau de Risco]]="Baixo"),"Não","Sim")</f>
        <v>Não</v>
      </c>
    </row>
    <row r="893" spans="1:20">
      <c r="A893" s="4" t="s">
        <v>8</v>
      </c>
      <c r="B893" s="10" t="s">
        <v>1809</v>
      </c>
      <c r="C893" s="5" t="s">
        <v>26</v>
      </c>
      <c r="D893" s="38" t="s">
        <v>1320</v>
      </c>
      <c r="E893" s="3">
        <v>5</v>
      </c>
      <c r="F893" s="3">
        <v>10</v>
      </c>
      <c r="G893" s="3">
        <v>2020</v>
      </c>
      <c r="H893" s="36" t="s">
        <v>107</v>
      </c>
      <c r="I893" s="7" t="s">
        <v>136</v>
      </c>
      <c r="J893" s="4" t="s">
        <v>43</v>
      </c>
      <c r="K893" s="3">
        <v>0</v>
      </c>
      <c r="L893" s="3">
        <v>0</v>
      </c>
      <c r="M893" s="5" t="s">
        <v>30</v>
      </c>
      <c r="N893" s="4">
        <v>0</v>
      </c>
      <c r="O893" s="4" t="s">
        <v>77</v>
      </c>
      <c r="P893" s="3" t="s">
        <v>52</v>
      </c>
      <c r="Q893" s="3">
        <v>24</v>
      </c>
      <c r="R893" s="2" t="s">
        <v>52</v>
      </c>
      <c r="S893" s="10" t="s">
        <v>32</v>
      </c>
      <c r="T893" s="4" t="str">
        <f>IF(OR(Tabela1[[#This Row],[Grau de Risco]]="Médio",Tabela1[[#This Row],[Grau de Risco]]="Baixo"),"Não","Sim")</f>
        <v>Não</v>
      </c>
    </row>
    <row r="894" spans="1:20">
      <c r="A894" s="5" t="s">
        <v>2</v>
      </c>
      <c r="B894" s="10" t="s">
        <v>1809</v>
      </c>
      <c r="C894" s="5" t="s">
        <v>26</v>
      </c>
      <c r="D894" s="38" t="s">
        <v>1320</v>
      </c>
      <c r="E894" s="2">
        <v>11</v>
      </c>
      <c r="F894" s="2">
        <v>1</v>
      </c>
      <c r="G894" s="2">
        <v>2021</v>
      </c>
      <c r="H894" s="36" t="s">
        <v>82</v>
      </c>
      <c r="I894" s="5" t="s">
        <v>145</v>
      </c>
      <c r="J894" s="5" t="s">
        <v>84</v>
      </c>
      <c r="K894" s="2">
        <v>3</v>
      </c>
      <c r="L894" s="2">
        <v>0</v>
      </c>
      <c r="M894" s="5" t="s">
        <v>30</v>
      </c>
      <c r="N894" s="5">
        <v>0</v>
      </c>
      <c r="O894" s="5" t="s">
        <v>85</v>
      </c>
      <c r="P894" s="2" t="s">
        <v>31</v>
      </c>
      <c r="Q894" s="2">
        <v>13</v>
      </c>
      <c r="R894" s="2" t="s">
        <v>31</v>
      </c>
      <c r="S894" s="5" t="s">
        <v>40</v>
      </c>
      <c r="T894" s="4" t="str">
        <f>IF(OR(Tabela1[[#This Row],[Grau de Risco]]="Médio",Tabela1[[#This Row],[Grau de Risco]]="Baixo"),"Não","Sim")</f>
        <v>Não</v>
      </c>
    </row>
    <row r="895" spans="1:20">
      <c r="A895" s="5" t="s">
        <v>2</v>
      </c>
      <c r="B895" s="10" t="s">
        <v>1809</v>
      </c>
      <c r="C895" s="5" t="s">
        <v>26</v>
      </c>
      <c r="D895" s="38" t="s">
        <v>1393</v>
      </c>
      <c r="E895" s="3">
        <v>19</v>
      </c>
      <c r="F895" s="2">
        <v>10</v>
      </c>
      <c r="G895" s="3">
        <v>2021</v>
      </c>
      <c r="H895" s="36" t="s">
        <v>66</v>
      </c>
      <c r="I895" s="7" t="s">
        <v>155</v>
      </c>
      <c r="J895" s="4" t="s">
        <v>154</v>
      </c>
      <c r="K895" s="3">
        <v>3</v>
      </c>
      <c r="L895" s="3">
        <v>0</v>
      </c>
      <c r="M895" s="5" t="s">
        <v>30</v>
      </c>
      <c r="N895" s="4">
        <v>3</v>
      </c>
      <c r="O895" s="4" t="s">
        <v>99</v>
      </c>
      <c r="P895" s="3" t="s">
        <v>52</v>
      </c>
      <c r="Q895" s="3">
        <v>20</v>
      </c>
      <c r="R895" s="2" t="s">
        <v>52</v>
      </c>
      <c r="S895" s="10" t="s">
        <v>32</v>
      </c>
      <c r="T895" s="4" t="str">
        <f>IF(OR(Tabela1[[#This Row],[Grau de Risco]]="Médio",Tabela1[[#This Row],[Grau de Risco]]="Baixo"),"Não","Sim")</f>
        <v>Não</v>
      </c>
    </row>
    <row r="896" spans="1:20" hidden="1">
      <c r="A896" s="4" t="s">
        <v>8</v>
      </c>
      <c r="B896" s="4" t="s">
        <v>1805</v>
      </c>
      <c r="C896" s="5" t="s">
        <v>26</v>
      </c>
      <c r="D896" s="38" t="s">
        <v>47</v>
      </c>
      <c r="E896" s="3">
        <v>25</v>
      </c>
      <c r="F896" s="3">
        <v>6</v>
      </c>
      <c r="G896" s="3">
        <v>2021</v>
      </c>
      <c r="H896" s="4" t="s">
        <v>171</v>
      </c>
      <c r="I896" s="7" t="s">
        <v>172</v>
      </c>
      <c r="J896" s="4" t="s">
        <v>35</v>
      </c>
      <c r="K896" s="3">
        <v>0</v>
      </c>
      <c r="L896" s="3">
        <v>0</v>
      </c>
      <c r="M896" s="5" t="s">
        <v>30</v>
      </c>
      <c r="N896" s="4">
        <v>0</v>
      </c>
      <c r="O896" s="4" t="s">
        <v>85</v>
      </c>
      <c r="P896" s="3" t="s">
        <v>52</v>
      </c>
      <c r="Q896" s="3">
        <v>22</v>
      </c>
      <c r="R896" s="2" t="s">
        <v>52</v>
      </c>
      <c r="S896" s="10" t="s">
        <v>32</v>
      </c>
      <c r="T896" s="4" t="str">
        <f>IF(OR(Tabela1[[#This Row],[Grau de Risco]]="Médio",Tabela1[[#This Row],[Grau de Risco]]="Baixo"),"Não","Sim")</f>
        <v>Não</v>
      </c>
    </row>
    <row r="897" spans="1:20" hidden="1">
      <c r="A897" s="5" t="s">
        <v>175</v>
      </c>
      <c r="B897" s="6" t="s">
        <v>1805</v>
      </c>
      <c r="C897" s="5" t="s">
        <v>26</v>
      </c>
      <c r="D897" s="38" t="s">
        <v>1393</v>
      </c>
      <c r="E897" s="2">
        <v>4</v>
      </c>
      <c r="F897" s="2">
        <v>10</v>
      </c>
      <c r="G897" s="2">
        <v>2021</v>
      </c>
      <c r="H897" s="36" t="s">
        <v>66</v>
      </c>
      <c r="I897" s="5" t="s">
        <v>176</v>
      </c>
      <c r="J897" s="5" t="s">
        <v>54</v>
      </c>
      <c r="K897" s="2">
        <v>0</v>
      </c>
      <c r="L897" s="2">
        <v>0</v>
      </c>
      <c r="M897" s="5" t="s">
        <v>30</v>
      </c>
      <c r="N897" s="5">
        <v>0</v>
      </c>
      <c r="O897" s="5" t="s">
        <v>4</v>
      </c>
      <c r="P897" s="2" t="s">
        <v>31</v>
      </c>
      <c r="Q897" s="2">
        <v>13</v>
      </c>
      <c r="R897" s="2" t="s">
        <v>31</v>
      </c>
      <c r="S897" s="5" t="s">
        <v>63</v>
      </c>
      <c r="T897" s="4" t="str">
        <f>IF(OR(Tabela1[[#This Row],[Grau de Risco]]="Médio",Tabela1[[#This Row],[Grau de Risco]]="Baixo"),"Não","Sim")</f>
        <v>Não</v>
      </c>
    </row>
    <row r="898" spans="1:20">
      <c r="A898" s="4" t="s">
        <v>8</v>
      </c>
      <c r="B898" s="10" t="s">
        <v>1809</v>
      </c>
      <c r="C898" s="5" t="s">
        <v>26</v>
      </c>
      <c r="D898" s="38" t="s">
        <v>1382</v>
      </c>
      <c r="E898" s="3">
        <v>27</v>
      </c>
      <c r="F898" s="2">
        <v>10</v>
      </c>
      <c r="G898" s="3">
        <v>2021</v>
      </c>
      <c r="H898" s="5" t="s">
        <v>48</v>
      </c>
      <c r="I898" s="7" t="s">
        <v>199</v>
      </c>
      <c r="J898" s="4" t="s">
        <v>76</v>
      </c>
      <c r="K898" s="3">
        <v>0</v>
      </c>
      <c r="L898" s="3">
        <v>0</v>
      </c>
      <c r="M898" s="5" t="s">
        <v>30</v>
      </c>
      <c r="N898" s="4">
        <v>0</v>
      </c>
      <c r="O898" s="4" t="s">
        <v>55</v>
      </c>
      <c r="P898" s="3" t="s">
        <v>52</v>
      </c>
      <c r="Q898" s="3">
        <v>24</v>
      </c>
      <c r="R898" s="2" t="s">
        <v>52</v>
      </c>
      <c r="S898" s="10" t="s">
        <v>32</v>
      </c>
      <c r="T898" s="4" t="str">
        <f>IF(OR(Tabela1[[#This Row],[Grau de Risco]]="Médio",Tabela1[[#This Row],[Grau de Risco]]="Baixo"),"Não","Sim")</f>
        <v>Não</v>
      </c>
    </row>
    <row r="899" spans="1:20">
      <c r="A899" s="4" t="s">
        <v>10</v>
      </c>
      <c r="B899" s="10" t="s">
        <v>1809</v>
      </c>
      <c r="C899" s="4" t="s">
        <v>133</v>
      </c>
      <c r="D899" s="38" t="s">
        <v>47</v>
      </c>
      <c r="E899" s="3">
        <v>19</v>
      </c>
      <c r="F899" s="3">
        <v>11</v>
      </c>
      <c r="G899" s="3">
        <v>2021</v>
      </c>
      <c r="H899" s="21" t="s">
        <v>209</v>
      </c>
      <c r="I899" s="7" t="s">
        <v>210</v>
      </c>
      <c r="J899" s="4" t="s">
        <v>111</v>
      </c>
      <c r="K899" s="3">
        <v>0</v>
      </c>
      <c r="L899" s="3">
        <v>0</v>
      </c>
      <c r="M899" s="4" t="s">
        <v>30</v>
      </c>
      <c r="N899" s="4"/>
      <c r="O899" s="4" t="s">
        <v>74</v>
      </c>
      <c r="P899" s="3" t="s">
        <v>31</v>
      </c>
      <c r="Q899" s="11">
        <v>9</v>
      </c>
      <c r="R899" s="3" t="str">
        <f>IF(Q899="","",IF(Q899&lt;4,"Crítico",IF(Q899&lt;9,"Alto",IF(Q899&lt;14,"Médio","Baixo"))))</f>
        <v>Médio</v>
      </c>
      <c r="S899" s="10" t="s">
        <v>63</v>
      </c>
      <c r="T899" s="4" t="str">
        <f>IF(OR(Tabela1[[#This Row],[Grau de Risco]]="Médio",Tabela1[[#This Row],[Grau de Risco]]="Baixo"),"Não","Sim")</f>
        <v>Não</v>
      </c>
    </row>
    <row r="900" spans="1:20">
      <c r="A900" s="5" t="s">
        <v>2</v>
      </c>
      <c r="B900" s="10" t="s">
        <v>1809</v>
      </c>
      <c r="C900" s="4" t="s">
        <v>41</v>
      </c>
      <c r="D900" s="5" t="s">
        <v>36</v>
      </c>
      <c r="E900" s="3">
        <v>30</v>
      </c>
      <c r="F900" s="3">
        <v>1</v>
      </c>
      <c r="G900" s="3">
        <v>2021</v>
      </c>
      <c r="H900" s="36" t="s">
        <v>82</v>
      </c>
      <c r="I900" s="7" t="s">
        <v>236</v>
      </c>
      <c r="J900" s="4" t="s">
        <v>76</v>
      </c>
      <c r="K900" s="3">
        <v>10</v>
      </c>
      <c r="L900" s="3">
        <v>0</v>
      </c>
      <c r="M900" s="5" t="s">
        <v>30</v>
      </c>
      <c r="N900" s="4">
        <v>10</v>
      </c>
      <c r="O900" s="4" t="s">
        <v>85</v>
      </c>
      <c r="P900" s="3" t="s">
        <v>31</v>
      </c>
      <c r="Q900" s="3">
        <v>9</v>
      </c>
      <c r="R900" s="2" t="s">
        <v>31</v>
      </c>
      <c r="S900" s="10" t="s">
        <v>32</v>
      </c>
      <c r="T900" s="4" t="str">
        <f>IF(OR(Tabela1[[#This Row],[Grau de Risco]]="Médio",Tabela1[[#This Row],[Grau de Risco]]="Baixo"),"Não","Sim")</f>
        <v>Não</v>
      </c>
    </row>
    <row r="901" spans="1:20">
      <c r="A901" s="5" t="s">
        <v>2</v>
      </c>
      <c r="B901" s="10" t="s">
        <v>1809</v>
      </c>
      <c r="C901" s="5" t="s">
        <v>26</v>
      </c>
      <c r="D901" s="38" t="s">
        <v>1320</v>
      </c>
      <c r="E901" s="3">
        <v>5</v>
      </c>
      <c r="F901" s="2">
        <v>12</v>
      </c>
      <c r="G901" s="3">
        <v>2022</v>
      </c>
      <c r="H901" s="36" t="s">
        <v>107</v>
      </c>
      <c r="I901" s="7" t="s">
        <v>314</v>
      </c>
      <c r="J901" s="4" t="s">
        <v>69</v>
      </c>
      <c r="K901" s="3">
        <v>14</v>
      </c>
      <c r="L901" s="3">
        <v>0</v>
      </c>
      <c r="M901" s="5" t="s">
        <v>30</v>
      </c>
      <c r="N901" s="4">
        <v>14</v>
      </c>
      <c r="O901" s="4" t="s">
        <v>301</v>
      </c>
      <c r="P901" s="3" t="s">
        <v>31</v>
      </c>
      <c r="Q901" s="3">
        <v>13</v>
      </c>
      <c r="R901" s="2" t="s">
        <v>31</v>
      </c>
      <c r="S901" s="10" t="s">
        <v>32</v>
      </c>
      <c r="T901" s="4" t="str">
        <f>IF(OR(Tabela1[[#This Row],[Grau de Risco]]="Médio",Tabela1[[#This Row],[Grau de Risco]]="Baixo"),"Não","Sim")</f>
        <v>Não</v>
      </c>
    </row>
    <row r="902" spans="1:20" hidden="1">
      <c r="A902" s="4" t="s">
        <v>2</v>
      </c>
      <c r="B902" s="10" t="s">
        <v>1793</v>
      </c>
      <c r="C902" s="4"/>
      <c r="D902" s="38" t="s">
        <v>1382</v>
      </c>
      <c r="E902" s="3">
        <v>6</v>
      </c>
      <c r="F902" s="3">
        <v>7</v>
      </c>
      <c r="G902" s="3">
        <v>2022</v>
      </c>
      <c r="H902" s="36" t="s">
        <v>66</v>
      </c>
      <c r="I902" s="7" t="s">
        <v>326</v>
      </c>
      <c r="J902" s="4" t="s">
        <v>61</v>
      </c>
      <c r="K902" s="3">
        <v>1</v>
      </c>
      <c r="L902" s="3">
        <v>0</v>
      </c>
      <c r="M902" s="4" t="s">
        <v>30</v>
      </c>
      <c r="N902" s="4"/>
      <c r="O902" s="4" t="s">
        <v>45</v>
      </c>
      <c r="P902" s="3" t="s">
        <v>52</v>
      </c>
      <c r="Q902" s="11">
        <v>18</v>
      </c>
      <c r="R902" s="3" t="str">
        <f>IF(Q902="","",IF(Q902&lt;4,"Crítico",IF(Q902&lt;9,"Alto",IF(Q902&lt;14,"Médio","Baixo"))))</f>
        <v>Baixo</v>
      </c>
      <c r="S902" s="10" t="s">
        <v>63</v>
      </c>
      <c r="T902" s="4" t="str">
        <f>IF(OR(Tabela1[[#This Row],[Grau de Risco]]="Médio",Tabela1[[#This Row],[Grau de Risco]]="Baixo"),"Não","Sim")</f>
        <v>Não</v>
      </c>
    </row>
    <row r="903" spans="1:20">
      <c r="A903" s="4" t="s">
        <v>8</v>
      </c>
      <c r="B903" s="10" t="s">
        <v>1809</v>
      </c>
      <c r="C903" s="4" t="s">
        <v>26</v>
      </c>
      <c r="D903" s="38" t="s">
        <v>1382</v>
      </c>
      <c r="E903" s="3">
        <v>6</v>
      </c>
      <c r="F903" s="3">
        <v>4</v>
      </c>
      <c r="G903" s="3">
        <v>2022</v>
      </c>
      <c r="H903" s="5" t="s">
        <v>71</v>
      </c>
      <c r="I903" s="7" t="s">
        <v>335</v>
      </c>
      <c r="J903" s="4" t="s">
        <v>79</v>
      </c>
      <c r="K903" s="3" t="s">
        <v>62</v>
      </c>
      <c r="L903" s="3">
        <v>0</v>
      </c>
      <c r="M903" s="4" t="s">
        <v>30</v>
      </c>
      <c r="N903" s="4">
        <v>0</v>
      </c>
      <c r="O903" s="4" t="s">
        <v>129</v>
      </c>
      <c r="P903" s="3" t="s">
        <v>52</v>
      </c>
      <c r="Q903" s="11">
        <v>18</v>
      </c>
      <c r="R903" s="3" t="s">
        <v>52</v>
      </c>
      <c r="S903" s="5" t="s">
        <v>56</v>
      </c>
      <c r="T903" s="4" t="str">
        <f>IF(OR(Tabela1[[#This Row],[Grau de Risco]]="Médio",Tabela1[[#This Row],[Grau de Risco]]="Baixo"),"Não","Sim")</f>
        <v>Não</v>
      </c>
    </row>
    <row r="904" spans="1:20">
      <c r="A904" s="4" t="s">
        <v>2</v>
      </c>
      <c r="B904" s="10" t="s">
        <v>1809</v>
      </c>
      <c r="C904" s="4" t="s">
        <v>26</v>
      </c>
      <c r="D904" s="38" t="s">
        <v>47</v>
      </c>
      <c r="E904" s="3">
        <v>21</v>
      </c>
      <c r="F904" s="3">
        <v>10</v>
      </c>
      <c r="G904" s="3">
        <v>2022</v>
      </c>
      <c r="H904" s="36" t="s">
        <v>33</v>
      </c>
      <c r="I904" s="7" t="s">
        <v>340</v>
      </c>
      <c r="J904" s="4" t="s">
        <v>150</v>
      </c>
      <c r="K904" s="3">
        <v>5</v>
      </c>
      <c r="L904" s="3">
        <v>0</v>
      </c>
      <c r="M904" s="4" t="s">
        <v>30</v>
      </c>
      <c r="N904" s="4">
        <v>0</v>
      </c>
      <c r="O904" s="4" t="s">
        <v>129</v>
      </c>
      <c r="P904" s="3" t="s">
        <v>52</v>
      </c>
      <c r="Q904" s="11">
        <v>14</v>
      </c>
      <c r="R904" s="3" t="s">
        <v>52</v>
      </c>
      <c r="S904" s="5" t="s">
        <v>56</v>
      </c>
      <c r="T904" s="4" t="str">
        <f>IF(OR(Tabela1[[#This Row],[Grau de Risco]]="Médio",Tabela1[[#This Row],[Grau de Risco]]="Baixo"),"Não","Sim")</f>
        <v>Não</v>
      </c>
    </row>
    <row r="905" spans="1:20" hidden="1">
      <c r="A905" s="4" t="s">
        <v>8</v>
      </c>
      <c r="B905" s="10" t="s">
        <v>1793</v>
      </c>
      <c r="C905" s="4" t="s">
        <v>133</v>
      </c>
      <c r="D905" s="38" t="s">
        <v>1393</v>
      </c>
      <c r="E905" s="3">
        <v>16</v>
      </c>
      <c r="F905" s="3">
        <v>8</v>
      </c>
      <c r="G905" s="3">
        <v>2022</v>
      </c>
      <c r="H905" s="36" t="s">
        <v>112</v>
      </c>
      <c r="I905" s="7" t="s">
        <v>1794</v>
      </c>
      <c r="J905" s="4" t="s">
        <v>111</v>
      </c>
      <c r="K905" s="3">
        <v>0</v>
      </c>
      <c r="L905" s="3">
        <v>0</v>
      </c>
      <c r="M905" s="4" t="s">
        <v>30</v>
      </c>
      <c r="N905" s="4"/>
      <c r="O905" s="4" t="s">
        <v>55</v>
      </c>
      <c r="P905" s="3" t="s">
        <v>52</v>
      </c>
      <c r="Q905" s="11">
        <v>18</v>
      </c>
      <c r="R905" s="3" t="str">
        <f>IF(Q905="","",IF(Q905&lt;4,"Crítico",IF(Q905&lt;9,"Alto",IF(Q905&lt;14,"Médio","Baixo"))))</f>
        <v>Baixo</v>
      </c>
      <c r="S905" s="10" t="s">
        <v>63</v>
      </c>
      <c r="T905" s="4" t="str">
        <f>IF(OR(Tabela1[[#This Row],[Grau de Risco]]="Médio",Tabela1[[#This Row],[Grau de Risco]]="Baixo"),"Não","Sim")</f>
        <v>Não</v>
      </c>
    </row>
    <row r="906" spans="1:20">
      <c r="A906" s="4" t="s">
        <v>9</v>
      </c>
      <c r="B906" s="10" t="s">
        <v>1809</v>
      </c>
      <c r="C906" s="5" t="s">
        <v>26</v>
      </c>
      <c r="D906" s="38" t="s">
        <v>1382</v>
      </c>
      <c r="E906" s="3">
        <v>30</v>
      </c>
      <c r="F906" s="2">
        <v>3</v>
      </c>
      <c r="G906" s="3">
        <v>2022</v>
      </c>
      <c r="H906" s="4" t="s">
        <v>86</v>
      </c>
      <c r="I906" s="7" t="s">
        <v>355</v>
      </c>
      <c r="J906" s="4" t="s">
        <v>35</v>
      </c>
      <c r="K906" s="3">
        <v>2</v>
      </c>
      <c r="L906" s="3">
        <v>0</v>
      </c>
      <c r="M906" s="5" t="s">
        <v>30</v>
      </c>
      <c r="N906" s="4">
        <v>2</v>
      </c>
      <c r="O906" s="4" t="s">
        <v>77</v>
      </c>
      <c r="P906" s="3" t="s">
        <v>52</v>
      </c>
      <c r="Q906" s="3">
        <v>13</v>
      </c>
      <c r="R906" s="2" t="s">
        <v>31</v>
      </c>
      <c r="S906" s="10" t="s">
        <v>32</v>
      </c>
      <c r="T906" s="4" t="str">
        <f>IF(OR(Tabela1[[#This Row],[Grau de Risco]]="Médio",Tabela1[[#This Row],[Grau de Risco]]="Baixo"),"Não","Sim")</f>
        <v>Não</v>
      </c>
    </row>
    <row r="907" spans="1:20" hidden="1">
      <c r="A907" s="4" t="s">
        <v>2</v>
      </c>
      <c r="B907" s="10" t="s">
        <v>1793</v>
      </c>
      <c r="C907" s="4" t="s">
        <v>89</v>
      </c>
      <c r="D907" s="38" t="s">
        <v>1393</v>
      </c>
      <c r="E907" s="3">
        <v>3</v>
      </c>
      <c r="F907" s="3">
        <v>5</v>
      </c>
      <c r="G907" s="3">
        <v>2022</v>
      </c>
      <c r="H907" s="36" t="s">
        <v>33</v>
      </c>
      <c r="I907" s="7" t="s">
        <v>394</v>
      </c>
      <c r="J907" s="4" t="s">
        <v>61</v>
      </c>
      <c r="K907" s="3">
        <v>10</v>
      </c>
      <c r="L907" s="3">
        <v>0</v>
      </c>
      <c r="M907" s="4" t="s">
        <v>30</v>
      </c>
      <c r="N907" s="4"/>
      <c r="O907" s="4" t="s">
        <v>55</v>
      </c>
      <c r="P907" s="3" t="s">
        <v>52</v>
      </c>
      <c r="Q907" s="11">
        <v>23</v>
      </c>
      <c r="R907" s="3" t="str">
        <f>IF(Q907="","",IF(Q907&lt;4,"Crítico",IF(Q907&lt;9,"Alto",IF(Q907&lt;14,"Médio","Baixo"))))</f>
        <v>Baixo</v>
      </c>
      <c r="S907" s="5" t="s">
        <v>56</v>
      </c>
      <c r="T907" s="4" t="str">
        <f>IF(OR(Tabela1[[#This Row],[Grau de Risco]]="Médio",Tabela1[[#This Row],[Grau de Risco]]="Baixo"),"Não","Sim")</f>
        <v>Não</v>
      </c>
    </row>
    <row r="908" spans="1:20" hidden="1">
      <c r="A908" s="5" t="s">
        <v>2</v>
      </c>
      <c r="B908" s="6" t="s">
        <v>1793</v>
      </c>
      <c r="C908" s="4" t="s">
        <v>252</v>
      </c>
      <c r="D908" s="38" t="s">
        <v>1393</v>
      </c>
      <c r="E908" s="1">
        <v>20</v>
      </c>
      <c r="F908" s="1">
        <v>6</v>
      </c>
      <c r="G908" s="1">
        <v>2023</v>
      </c>
      <c r="H908" s="36" t="s">
        <v>33</v>
      </c>
      <c r="I908" s="103" t="s">
        <v>415</v>
      </c>
      <c r="J908" s="6" t="s">
        <v>69</v>
      </c>
      <c r="K908" s="1">
        <v>2</v>
      </c>
      <c r="L908" s="1">
        <v>0</v>
      </c>
      <c r="M908" s="5" t="s">
        <v>30</v>
      </c>
      <c r="N908" s="6">
        <v>2</v>
      </c>
      <c r="O908" s="6" t="s">
        <v>99</v>
      </c>
      <c r="P908" s="1" t="s">
        <v>31</v>
      </c>
      <c r="Q908" s="1">
        <v>10</v>
      </c>
      <c r="R908" s="2" t="s">
        <v>31</v>
      </c>
      <c r="S908" s="10" t="s">
        <v>32</v>
      </c>
      <c r="T908" s="4" t="str">
        <f>IF(OR(Tabela1[[#This Row],[Grau de Risco]]="Médio",Tabela1[[#This Row],[Grau de Risco]]="Baixo"),"Não","Sim")</f>
        <v>Não</v>
      </c>
    </row>
    <row r="909" spans="1:20" hidden="1">
      <c r="A909" s="5" t="s">
        <v>7</v>
      </c>
      <c r="B909" s="10" t="s">
        <v>1793</v>
      </c>
      <c r="C909" s="4" t="s">
        <v>41</v>
      </c>
      <c r="D909" s="38" t="s">
        <v>1382</v>
      </c>
      <c r="E909" s="3">
        <v>29</v>
      </c>
      <c r="F909" s="3">
        <v>11</v>
      </c>
      <c r="G909" s="3">
        <v>2023</v>
      </c>
      <c r="H909" s="21" t="s">
        <v>463</v>
      </c>
      <c r="I909" s="7" t="s">
        <v>1683</v>
      </c>
      <c r="J909" s="4" t="s">
        <v>69</v>
      </c>
      <c r="K909" s="3" t="s">
        <v>44</v>
      </c>
      <c r="L909" s="3" t="s">
        <v>44</v>
      </c>
      <c r="M909" s="4" t="s">
        <v>30</v>
      </c>
      <c r="N909" s="4" t="s">
        <v>44</v>
      </c>
      <c r="O909" s="4"/>
      <c r="P909" s="3" t="s">
        <v>52</v>
      </c>
      <c r="Q909" s="3">
        <v>14</v>
      </c>
      <c r="R909" s="11" t="s">
        <v>52</v>
      </c>
      <c r="S909" s="10" t="s">
        <v>32</v>
      </c>
      <c r="T909" s="4" t="str">
        <f>IF(OR(Tabela1[[#This Row],[Grau de Risco]]="Médio",Tabela1[[#This Row],[Grau de Risco]]="Baixo"),"Não","Sim")</f>
        <v>Não</v>
      </c>
    </row>
    <row r="910" spans="1:20">
      <c r="A910" s="4" t="s">
        <v>8</v>
      </c>
      <c r="B910" s="10" t="s">
        <v>1809</v>
      </c>
      <c r="C910" s="5" t="s">
        <v>26</v>
      </c>
      <c r="D910" s="38" t="s">
        <v>1320</v>
      </c>
      <c r="E910" s="3">
        <v>12</v>
      </c>
      <c r="F910" s="3">
        <v>6</v>
      </c>
      <c r="G910" s="3">
        <v>2023</v>
      </c>
      <c r="H910" s="36" t="s">
        <v>82</v>
      </c>
      <c r="I910" s="7" t="s">
        <v>481</v>
      </c>
      <c r="J910" s="4" t="s">
        <v>35</v>
      </c>
      <c r="K910" s="3">
        <v>0</v>
      </c>
      <c r="L910" s="3">
        <v>0</v>
      </c>
      <c r="M910" s="5" t="s">
        <v>30</v>
      </c>
      <c r="N910" s="4">
        <v>0</v>
      </c>
      <c r="O910" s="4" t="s">
        <v>74</v>
      </c>
      <c r="P910" s="3" t="s">
        <v>52</v>
      </c>
      <c r="Q910" s="3">
        <v>15</v>
      </c>
      <c r="R910" s="3" t="s">
        <v>52</v>
      </c>
      <c r="S910" s="10" t="s">
        <v>32</v>
      </c>
      <c r="T910" s="4" t="str">
        <f>IF(OR(Tabela1[[#This Row],[Grau de Risco]]="Médio",Tabela1[[#This Row],[Grau de Risco]]="Baixo"),"Não","Sim")</f>
        <v>Não</v>
      </c>
    </row>
    <row r="911" spans="1:20" hidden="1">
      <c r="A911" s="4" t="s">
        <v>7</v>
      </c>
      <c r="B911" s="10" t="s">
        <v>1805</v>
      </c>
      <c r="C911" s="4" t="s">
        <v>26</v>
      </c>
      <c r="D911" s="38" t="s">
        <v>47</v>
      </c>
      <c r="E911" s="3">
        <v>15</v>
      </c>
      <c r="F911" s="3">
        <v>9</v>
      </c>
      <c r="G911" s="3">
        <v>2023</v>
      </c>
      <c r="H911" s="36" t="s">
        <v>33</v>
      </c>
      <c r="I911" s="7" t="s">
        <v>482</v>
      </c>
      <c r="J911" s="4" t="s">
        <v>150</v>
      </c>
      <c r="K911" s="3" t="s">
        <v>62</v>
      </c>
      <c r="L911" s="3">
        <v>0</v>
      </c>
      <c r="M911" s="4" t="s">
        <v>30</v>
      </c>
      <c r="N911" s="4">
        <v>0</v>
      </c>
      <c r="O911" s="4" t="s">
        <v>325</v>
      </c>
      <c r="P911" s="3" t="s">
        <v>52</v>
      </c>
      <c r="Q911" s="11">
        <v>8</v>
      </c>
      <c r="R911" s="3" t="s">
        <v>102</v>
      </c>
      <c r="S911" s="10" t="s">
        <v>180</v>
      </c>
      <c r="T911" s="4" t="str">
        <f>IF(OR(Tabela1[[#This Row],[Grau de Risco]]="Médio",Tabela1[[#This Row],[Grau de Risco]]="Baixo"),"Não","Sim")</f>
        <v>Sim</v>
      </c>
    </row>
    <row r="912" spans="1:20">
      <c r="A912" s="4" t="s">
        <v>7</v>
      </c>
      <c r="B912" s="10" t="s">
        <v>1809</v>
      </c>
      <c r="C912" s="4" t="s">
        <v>89</v>
      </c>
      <c r="D912" s="38" t="s">
        <v>1393</v>
      </c>
      <c r="E912" s="3">
        <v>8</v>
      </c>
      <c r="F912" s="3">
        <v>8</v>
      </c>
      <c r="G912" s="3">
        <v>2023</v>
      </c>
      <c r="H912" s="36" t="s">
        <v>112</v>
      </c>
      <c r="I912" s="7" t="s">
        <v>518</v>
      </c>
      <c r="J912" s="4" t="s">
        <v>61</v>
      </c>
      <c r="K912" s="3" t="s">
        <v>62</v>
      </c>
      <c r="L912" s="3"/>
      <c r="M912" s="4"/>
      <c r="N912" s="4"/>
      <c r="O912" s="4" t="s">
        <v>45</v>
      </c>
      <c r="P912" s="3" t="s">
        <v>52</v>
      </c>
      <c r="Q912" s="11">
        <v>11</v>
      </c>
      <c r="R912" s="3" t="str">
        <f>IF(Q912="","",IF(Q912&lt;4,"Crítico",IF(Q912&lt;9,"Alto",IF(Q912&lt;14,"Médio","Baixo"))))</f>
        <v>Médio</v>
      </c>
      <c r="S912" s="5" t="s">
        <v>56</v>
      </c>
      <c r="T912" s="4" t="str">
        <f>IF(OR(Tabela1[[#This Row],[Grau de Risco]]="Médio",Tabela1[[#This Row],[Grau de Risco]]="Baixo"),"Não","Sim")</f>
        <v>Não</v>
      </c>
    </row>
    <row r="913" spans="1:20" hidden="1">
      <c r="A913" s="4" t="s">
        <v>9</v>
      </c>
      <c r="B913" s="6" t="s">
        <v>1793</v>
      </c>
      <c r="C913" s="5" t="s">
        <v>26</v>
      </c>
      <c r="D913" s="38" t="s">
        <v>47</v>
      </c>
      <c r="E913" s="3">
        <v>21</v>
      </c>
      <c r="F913" s="3">
        <v>7</v>
      </c>
      <c r="G913" s="3">
        <v>2023</v>
      </c>
      <c r="H913" s="36" t="s">
        <v>66</v>
      </c>
      <c r="I913" s="7" t="s">
        <v>579</v>
      </c>
      <c r="J913" s="4" t="s">
        <v>35</v>
      </c>
      <c r="K913" s="3">
        <v>10</v>
      </c>
      <c r="L913" s="3">
        <v>0</v>
      </c>
      <c r="M913" s="4" t="s">
        <v>30</v>
      </c>
      <c r="N913" s="4">
        <v>0</v>
      </c>
      <c r="O913" s="4" t="s">
        <v>101</v>
      </c>
      <c r="P913" s="3" t="s">
        <v>31</v>
      </c>
      <c r="Q913" s="11">
        <v>13</v>
      </c>
      <c r="R913" s="2" t="s">
        <v>31</v>
      </c>
      <c r="S913" s="10" t="s">
        <v>32</v>
      </c>
      <c r="T913" s="4" t="str">
        <f>IF(OR(Tabela1[[#This Row],[Grau de Risco]]="Médio",Tabela1[[#This Row],[Grau de Risco]]="Baixo"),"Não","Sim")</f>
        <v>Não</v>
      </c>
    </row>
    <row r="914" spans="1:20" hidden="1">
      <c r="A914" s="5" t="s">
        <v>7</v>
      </c>
      <c r="B914" s="10" t="s">
        <v>1805</v>
      </c>
      <c r="C914" s="5" t="s">
        <v>26</v>
      </c>
      <c r="D914" s="58" t="s">
        <v>1409</v>
      </c>
      <c r="E914" s="3">
        <v>7</v>
      </c>
      <c r="F914" s="3">
        <v>12</v>
      </c>
      <c r="G914" s="3">
        <v>2023</v>
      </c>
      <c r="H914" s="36" t="s">
        <v>112</v>
      </c>
      <c r="I914" s="7" t="s">
        <v>654</v>
      </c>
      <c r="J914" s="5" t="s">
        <v>38</v>
      </c>
      <c r="K914" s="3" t="s">
        <v>44</v>
      </c>
      <c r="L914" s="3"/>
      <c r="M914" s="4"/>
      <c r="N914" s="4"/>
      <c r="O914" s="4" t="s">
        <v>77</v>
      </c>
      <c r="P914" s="3"/>
      <c r="Q914" s="3">
        <v>13</v>
      </c>
      <c r="R914" s="11" t="s">
        <v>31</v>
      </c>
      <c r="S914" s="10" t="s">
        <v>63</v>
      </c>
      <c r="T914" s="4" t="str">
        <f>IF(OR(Tabela1[[#This Row],[Grau de Risco]]="Médio",Tabela1[[#This Row],[Grau de Risco]]="Baixo"),"Não","Sim")</f>
        <v>Não</v>
      </c>
    </row>
    <row r="915" spans="1:20" hidden="1">
      <c r="A915" s="4" t="s">
        <v>10</v>
      </c>
      <c r="B915" s="10" t="s">
        <v>1793</v>
      </c>
      <c r="C915" s="4" t="s">
        <v>133</v>
      </c>
      <c r="D915" s="38" t="s">
        <v>1382</v>
      </c>
      <c r="E915" s="3">
        <v>22</v>
      </c>
      <c r="F915" s="3">
        <v>3</v>
      </c>
      <c r="G915" s="3">
        <v>2023</v>
      </c>
      <c r="H915" s="36" t="s">
        <v>66</v>
      </c>
      <c r="I915" s="7" t="s">
        <v>680</v>
      </c>
      <c r="J915" s="4" t="s">
        <v>115</v>
      </c>
      <c r="K915" s="3">
        <v>0</v>
      </c>
      <c r="L915" s="3">
        <v>0</v>
      </c>
      <c r="M915" s="4" t="s">
        <v>30</v>
      </c>
      <c r="N915" s="4"/>
      <c r="O915" s="4" t="s">
        <v>101</v>
      </c>
      <c r="P915" s="3" t="s">
        <v>52</v>
      </c>
      <c r="Q915" s="11">
        <v>5</v>
      </c>
      <c r="R915" s="3" t="str">
        <f>IF(Q915="","",IF(Q915&lt;4,"Crítico",IF(Q915&lt;9,"Alto",IF(Q915&lt;14,"Médio","Baixo"))))</f>
        <v>Alto</v>
      </c>
      <c r="S915" s="10" t="s">
        <v>63</v>
      </c>
      <c r="T915" s="4" t="str">
        <f>IF(OR(Tabela1[[#This Row],[Grau de Risco]]="Médio",Tabela1[[#This Row],[Grau de Risco]]="Baixo"),"Não","Sim")</f>
        <v>Sim</v>
      </c>
    </row>
    <row r="916" spans="1:20">
      <c r="A916" s="4" t="s">
        <v>7</v>
      </c>
      <c r="B916" s="10" t="s">
        <v>1809</v>
      </c>
      <c r="C916" s="4" t="s">
        <v>252</v>
      </c>
      <c r="D916" s="4" t="s">
        <v>148</v>
      </c>
      <c r="E916" s="3">
        <v>19</v>
      </c>
      <c r="F916" s="3">
        <v>11</v>
      </c>
      <c r="G916" s="3">
        <v>2023</v>
      </c>
      <c r="H916" s="36" t="s">
        <v>107</v>
      </c>
      <c r="I916" s="7" t="s">
        <v>684</v>
      </c>
      <c r="J916" s="4" t="s">
        <v>115</v>
      </c>
      <c r="K916" s="3" t="s">
        <v>62</v>
      </c>
      <c r="L916" s="3">
        <v>0</v>
      </c>
      <c r="M916" s="4" t="s">
        <v>30</v>
      </c>
      <c r="N916" s="4">
        <v>0</v>
      </c>
      <c r="O916" s="4" t="s">
        <v>85</v>
      </c>
      <c r="P916" s="3" t="s">
        <v>52</v>
      </c>
      <c r="Q916" s="11">
        <v>11</v>
      </c>
      <c r="R916" s="3" t="str">
        <f>IF(Q916="","",IF(Q916&lt;4,"Crítico",IF(Q916&lt;9,"Alto",IF(Q916&lt;14,"Médio","Baixo"))))</f>
        <v>Médio</v>
      </c>
      <c r="S916" s="5" t="s">
        <v>40</v>
      </c>
      <c r="T916" s="4" t="str">
        <f>IF(OR(Tabela1[[#This Row],[Grau de Risco]]="Médio",Tabela1[[#This Row],[Grau de Risco]]="Baixo"),"Não","Sim")</f>
        <v>Não</v>
      </c>
    </row>
    <row r="917" spans="1:20" hidden="1">
      <c r="A917" s="4" t="s">
        <v>2</v>
      </c>
      <c r="B917" s="10" t="s">
        <v>1805</v>
      </c>
      <c r="C917" s="4" t="s">
        <v>41</v>
      </c>
      <c r="D917" s="5" t="s">
        <v>1382</v>
      </c>
      <c r="E917" s="3">
        <v>14</v>
      </c>
      <c r="F917" s="3">
        <v>9</v>
      </c>
      <c r="G917" s="3">
        <v>2023</v>
      </c>
      <c r="H917" s="36" t="s">
        <v>107</v>
      </c>
      <c r="I917" s="7" t="s">
        <v>691</v>
      </c>
      <c r="J917" s="4" t="s">
        <v>93</v>
      </c>
      <c r="K917" s="3">
        <v>14</v>
      </c>
      <c r="L917" s="3">
        <v>0</v>
      </c>
      <c r="M917" s="4" t="s">
        <v>30</v>
      </c>
      <c r="N917" s="4">
        <v>0</v>
      </c>
      <c r="O917" s="4" t="s">
        <v>4</v>
      </c>
      <c r="P917" s="3" t="s">
        <v>31</v>
      </c>
      <c r="Q917" s="11">
        <v>7</v>
      </c>
      <c r="R917" s="3" t="s">
        <v>102</v>
      </c>
      <c r="S917" s="10" t="s">
        <v>32</v>
      </c>
      <c r="T917" s="4" t="str">
        <f>IF(OR(Tabela1[[#This Row],[Grau de Risco]]="Médio",Tabela1[[#This Row],[Grau de Risco]]="Baixo"),"Não","Sim")</f>
        <v>Sim</v>
      </c>
    </row>
    <row r="918" spans="1:20" hidden="1">
      <c r="A918" s="4" t="s">
        <v>8</v>
      </c>
      <c r="B918" s="10" t="s">
        <v>1800</v>
      </c>
      <c r="C918" s="5" t="s">
        <v>26</v>
      </c>
      <c r="D918" s="58" t="s">
        <v>1409</v>
      </c>
      <c r="E918" s="3">
        <v>12</v>
      </c>
      <c r="F918" s="3">
        <v>1</v>
      </c>
      <c r="G918" s="3">
        <v>2023</v>
      </c>
      <c r="H918" s="5" t="s">
        <v>48</v>
      </c>
      <c r="I918" s="7" t="s">
        <v>698</v>
      </c>
      <c r="J918" s="4" t="s">
        <v>69</v>
      </c>
      <c r="K918" s="3">
        <v>0</v>
      </c>
      <c r="L918" s="3">
        <v>0</v>
      </c>
      <c r="M918" s="4" t="s">
        <v>30</v>
      </c>
      <c r="N918" s="4">
        <v>0</v>
      </c>
      <c r="O918" s="4" t="s">
        <v>699</v>
      </c>
      <c r="P918" s="3" t="s">
        <v>52</v>
      </c>
      <c r="Q918" s="11">
        <v>15</v>
      </c>
      <c r="R918" s="3" t="s">
        <v>52</v>
      </c>
      <c r="S918" s="10" t="s">
        <v>32</v>
      </c>
      <c r="T918" s="4" t="str">
        <f>IF(OR(Tabela1[[#This Row],[Grau de Risco]]="Médio",Tabela1[[#This Row],[Grau de Risco]]="Baixo"),"Não","Sim")</f>
        <v>Não</v>
      </c>
    </row>
    <row r="919" spans="1:20" hidden="1">
      <c r="A919" s="4" t="s">
        <v>8</v>
      </c>
      <c r="B919" s="10" t="s">
        <v>1797</v>
      </c>
      <c r="C919" s="4" t="s">
        <v>252</v>
      </c>
      <c r="D919" s="58" t="s">
        <v>1409</v>
      </c>
      <c r="E919" s="3">
        <v>8</v>
      </c>
      <c r="F919" s="3">
        <v>2</v>
      </c>
      <c r="G919" s="3">
        <v>2024</v>
      </c>
      <c r="H919" s="36" t="s">
        <v>107</v>
      </c>
      <c r="I919" s="7" t="s">
        <v>713</v>
      </c>
      <c r="J919" s="4" t="s">
        <v>93</v>
      </c>
      <c r="K919" s="3">
        <v>0</v>
      </c>
      <c r="L919" s="3">
        <v>0</v>
      </c>
      <c r="M919" s="4" t="s">
        <v>30</v>
      </c>
      <c r="N919" s="4">
        <v>0</v>
      </c>
      <c r="O919" s="4" t="s">
        <v>88</v>
      </c>
      <c r="P919" s="3" t="s">
        <v>52</v>
      </c>
      <c r="Q919" s="11">
        <v>11</v>
      </c>
      <c r="R919" s="3" t="s">
        <v>31</v>
      </c>
      <c r="S919" s="5" t="s">
        <v>56</v>
      </c>
      <c r="T919" s="4" t="str">
        <f>IF(OR(Tabela1[[#This Row],[Grau de Risco]]="Médio",Tabela1[[#This Row],[Grau de Risco]]="Baixo"),"Não","Sim")</f>
        <v>Não</v>
      </c>
    </row>
    <row r="920" spans="1:20" hidden="1">
      <c r="A920" s="4" t="s">
        <v>8</v>
      </c>
      <c r="B920" s="10" t="s">
        <v>1805</v>
      </c>
      <c r="C920" s="4" t="s">
        <v>89</v>
      </c>
      <c r="D920" s="38" t="s">
        <v>1393</v>
      </c>
      <c r="E920" s="3">
        <v>3</v>
      </c>
      <c r="F920" s="3">
        <v>9</v>
      </c>
      <c r="G920" s="3">
        <v>2024</v>
      </c>
      <c r="H920" s="36" t="s">
        <v>82</v>
      </c>
      <c r="I920" s="7" t="s">
        <v>718</v>
      </c>
      <c r="J920" s="4" t="s">
        <v>69</v>
      </c>
      <c r="K920" s="3" t="s">
        <v>44</v>
      </c>
      <c r="L920" s="3" t="s">
        <v>44</v>
      </c>
      <c r="M920" s="4" t="s">
        <v>30</v>
      </c>
      <c r="N920" s="4" t="s">
        <v>44</v>
      </c>
      <c r="O920" s="4" t="s">
        <v>117</v>
      </c>
      <c r="P920" s="3" t="s">
        <v>52</v>
      </c>
      <c r="Q920" s="11">
        <v>14</v>
      </c>
      <c r="R920" s="3" t="s">
        <v>52</v>
      </c>
      <c r="S920" s="5" t="s">
        <v>56</v>
      </c>
      <c r="T920" s="4" t="str">
        <f>IF(OR(Tabela1[[#This Row],[Grau de Risco]]="Médio",Tabela1[[#This Row],[Grau de Risco]]="Baixo"),"Não","Sim")</f>
        <v>Não</v>
      </c>
    </row>
    <row r="921" spans="1:20" hidden="1">
      <c r="A921" s="47" t="s">
        <v>6</v>
      </c>
      <c r="B921" s="10" t="s">
        <v>1797</v>
      </c>
      <c r="C921" s="4" t="s">
        <v>81</v>
      </c>
      <c r="D921" s="38" t="s">
        <v>47</v>
      </c>
      <c r="E921" s="3">
        <v>20</v>
      </c>
      <c r="F921" s="3">
        <v>9</v>
      </c>
      <c r="G921" s="3">
        <v>2024</v>
      </c>
      <c r="H921" s="36" t="s">
        <v>112</v>
      </c>
      <c r="I921" s="7" t="s">
        <v>1684</v>
      </c>
      <c r="J921" s="4" t="s">
        <v>154</v>
      </c>
      <c r="K921" s="3" t="s">
        <v>44</v>
      </c>
      <c r="L921" s="3" t="s">
        <v>44</v>
      </c>
      <c r="M921" s="4"/>
      <c r="N921" s="4"/>
      <c r="O921" s="4"/>
      <c r="P921" s="3" t="s">
        <v>52</v>
      </c>
      <c r="Q921" s="11">
        <v>15</v>
      </c>
      <c r="R921" s="3" t="s">
        <v>52</v>
      </c>
      <c r="S921" s="5" t="s">
        <v>56</v>
      </c>
      <c r="T921" s="4" t="str">
        <f>IF(OR(Tabela1[[#This Row],[Grau de Risco]]="Médio",Tabela1[[#This Row],[Grau de Risco]]="Baixo"),"Não","Sim")</f>
        <v>Não</v>
      </c>
    </row>
    <row r="922" spans="1:20">
      <c r="A922" s="4" t="s">
        <v>7</v>
      </c>
      <c r="B922" s="10" t="s">
        <v>1809</v>
      </c>
      <c r="C922" s="4"/>
      <c r="D922" s="58" t="s">
        <v>1409</v>
      </c>
      <c r="E922" s="3">
        <v>21</v>
      </c>
      <c r="F922" s="3">
        <v>11</v>
      </c>
      <c r="G922" s="3">
        <v>2024</v>
      </c>
      <c r="H922" s="36" t="s">
        <v>33</v>
      </c>
      <c r="I922" s="7" t="s">
        <v>785</v>
      </c>
      <c r="J922" s="4" t="s">
        <v>61</v>
      </c>
      <c r="K922" s="3"/>
      <c r="L922" s="3"/>
      <c r="M922" s="4"/>
      <c r="N922" s="4"/>
      <c r="O922" s="4" t="s">
        <v>4</v>
      </c>
      <c r="P922" s="3"/>
      <c r="Q922" s="11">
        <v>11</v>
      </c>
      <c r="R922" s="3" t="s">
        <v>31</v>
      </c>
      <c r="S922" s="10" t="s">
        <v>4</v>
      </c>
      <c r="T922" s="4" t="str">
        <f>IF(OR(Tabela1[[#This Row],[Grau de Risco]]="Médio",Tabela1[[#This Row],[Grau de Risco]]="Baixo"),"Não","Sim")</f>
        <v>Não</v>
      </c>
    </row>
    <row r="923" spans="1:20" hidden="1">
      <c r="A923" s="4" t="s">
        <v>2</v>
      </c>
      <c r="B923" s="10" t="s">
        <v>1805</v>
      </c>
      <c r="C923" s="4" t="s">
        <v>41</v>
      </c>
      <c r="D923" s="38" t="s">
        <v>1320</v>
      </c>
      <c r="E923" s="3">
        <v>2</v>
      </c>
      <c r="F923" s="3">
        <v>12</v>
      </c>
      <c r="G923" s="3">
        <v>2024</v>
      </c>
      <c r="H923" s="4" t="s">
        <v>27</v>
      </c>
      <c r="I923" s="7" t="s">
        <v>832</v>
      </c>
      <c r="J923" s="4" t="s">
        <v>29</v>
      </c>
      <c r="K923" s="3">
        <v>4</v>
      </c>
      <c r="L923" s="3">
        <v>0</v>
      </c>
      <c r="M923" s="4" t="s">
        <v>30</v>
      </c>
      <c r="N923" s="4"/>
      <c r="O923" s="4" t="s">
        <v>117</v>
      </c>
      <c r="P923" s="3" t="s">
        <v>31</v>
      </c>
      <c r="Q923" s="11">
        <v>11</v>
      </c>
      <c r="R923" s="3" t="s">
        <v>31</v>
      </c>
      <c r="S923" s="5" t="s">
        <v>56</v>
      </c>
      <c r="T923" s="4" t="str">
        <f>IF(OR(Tabela1[[#This Row],[Grau de Risco]]="Médio",Tabela1[[#This Row],[Grau de Risco]]="Baixo"),"Não","Sim")</f>
        <v>Não</v>
      </c>
    </row>
    <row r="924" spans="1:20">
      <c r="A924" s="5" t="s">
        <v>7</v>
      </c>
      <c r="B924" s="10" t="s">
        <v>1809</v>
      </c>
      <c r="C924" s="4" t="s">
        <v>26</v>
      </c>
      <c r="D924" s="58" t="s">
        <v>1409</v>
      </c>
      <c r="E924" s="3">
        <v>25</v>
      </c>
      <c r="F924" s="3">
        <v>3</v>
      </c>
      <c r="G924" s="3">
        <v>2024</v>
      </c>
      <c r="H924" s="5" t="s">
        <v>463</v>
      </c>
      <c r="I924" s="7" t="s">
        <v>847</v>
      </c>
      <c r="J924" s="4" t="s">
        <v>84</v>
      </c>
      <c r="K924" s="3" t="s">
        <v>44</v>
      </c>
      <c r="L924" s="3" t="s">
        <v>30</v>
      </c>
      <c r="M924" s="4" t="s">
        <v>30</v>
      </c>
      <c r="N924" s="4" t="s">
        <v>44</v>
      </c>
      <c r="O924" s="4"/>
      <c r="P924" s="3"/>
      <c r="Q924" s="11">
        <v>11</v>
      </c>
      <c r="R924" s="3" t="s">
        <v>31</v>
      </c>
      <c r="S924" s="5" t="s">
        <v>56</v>
      </c>
      <c r="T924" s="4" t="str">
        <f>IF(OR(Tabela1[[#This Row],[Grau de Risco]]="Médio",Tabela1[[#This Row],[Grau de Risco]]="Baixo"),"Não","Sim")</f>
        <v>Não</v>
      </c>
    </row>
    <row r="925" spans="1:20">
      <c r="A925" s="4" t="s">
        <v>2</v>
      </c>
      <c r="B925" s="10" t="s">
        <v>1809</v>
      </c>
      <c r="C925" s="4" t="s">
        <v>26</v>
      </c>
      <c r="D925" s="38" t="s">
        <v>1320</v>
      </c>
      <c r="E925" s="3">
        <v>21</v>
      </c>
      <c r="F925" s="3">
        <v>10</v>
      </c>
      <c r="G925" s="3">
        <v>2024</v>
      </c>
      <c r="H925" s="5" t="s">
        <v>71</v>
      </c>
      <c r="I925" s="7" t="s">
        <v>852</v>
      </c>
      <c r="J925" s="4" t="s">
        <v>111</v>
      </c>
      <c r="K925" s="3">
        <v>71</v>
      </c>
      <c r="L925" s="3" t="s">
        <v>30</v>
      </c>
      <c r="M925" s="4" t="s">
        <v>30</v>
      </c>
      <c r="N925" s="4">
        <v>0</v>
      </c>
      <c r="O925" s="4" t="s">
        <v>85</v>
      </c>
      <c r="P925" s="3" t="s">
        <v>102</v>
      </c>
      <c r="Q925" s="11">
        <v>7</v>
      </c>
      <c r="R925" s="3" t="s">
        <v>102</v>
      </c>
      <c r="S925" s="5" t="s">
        <v>40</v>
      </c>
      <c r="T925" s="4" t="str">
        <f>IF(OR(Tabela1[[#This Row],[Grau de Risco]]="Médio",Tabela1[[#This Row],[Grau de Risco]]="Baixo"),"Não","Sim")</f>
        <v>Sim</v>
      </c>
    </row>
    <row r="926" spans="1:20" hidden="1">
      <c r="A926" s="4" t="s">
        <v>2</v>
      </c>
      <c r="B926" s="10" t="s">
        <v>1805</v>
      </c>
      <c r="C926" s="4" t="s">
        <v>125</v>
      </c>
      <c r="D926" s="38" t="s">
        <v>1382</v>
      </c>
      <c r="E926" s="3">
        <v>31</v>
      </c>
      <c r="F926" s="3">
        <v>7</v>
      </c>
      <c r="G926" s="3">
        <v>2024</v>
      </c>
      <c r="H926" s="36" t="s">
        <v>107</v>
      </c>
      <c r="I926" s="7" t="s">
        <v>859</v>
      </c>
      <c r="J926" s="4" t="s">
        <v>61</v>
      </c>
      <c r="K926" s="3">
        <v>3</v>
      </c>
      <c r="L926" s="3">
        <v>0</v>
      </c>
      <c r="M926" s="4" t="s">
        <v>30</v>
      </c>
      <c r="N926" s="4">
        <v>0</v>
      </c>
      <c r="O926" s="4" t="s">
        <v>55</v>
      </c>
      <c r="P926" s="3" t="s">
        <v>31</v>
      </c>
      <c r="Q926" s="11">
        <v>11</v>
      </c>
      <c r="R926" s="3" t="s">
        <v>31</v>
      </c>
      <c r="S926" s="10" t="s">
        <v>144</v>
      </c>
      <c r="T926" s="4" t="str">
        <f>IF(OR(Tabela1[[#This Row],[Grau de Risco]]="Médio",Tabela1[[#This Row],[Grau de Risco]]="Baixo"),"Não","Sim")</f>
        <v>Não</v>
      </c>
    </row>
    <row r="927" spans="1:20" hidden="1">
      <c r="A927" s="4" t="s">
        <v>2</v>
      </c>
      <c r="B927" s="10" t="s">
        <v>1797</v>
      </c>
      <c r="C927" s="4" t="s">
        <v>252</v>
      </c>
      <c r="D927" s="38" t="s">
        <v>1320</v>
      </c>
      <c r="E927" s="3">
        <v>2</v>
      </c>
      <c r="F927" s="3">
        <v>12</v>
      </c>
      <c r="G927" s="3">
        <v>2024</v>
      </c>
      <c r="H927" s="4" t="s">
        <v>27</v>
      </c>
      <c r="I927" s="7" t="s">
        <v>875</v>
      </c>
      <c r="J927" s="4" t="s">
        <v>61</v>
      </c>
      <c r="K927" s="3">
        <v>3</v>
      </c>
      <c r="L927" s="3"/>
      <c r="M927" s="4"/>
      <c r="N927" s="4"/>
      <c r="O927" s="4" t="s">
        <v>101</v>
      </c>
      <c r="P927" s="3" t="s">
        <v>31</v>
      </c>
      <c r="Q927" s="11">
        <v>5</v>
      </c>
      <c r="R927" s="3" t="s">
        <v>102</v>
      </c>
      <c r="S927" s="10" t="s">
        <v>63</v>
      </c>
      <c r="T927" s="4" t="str">
        <f>IF(OR(Tabela1[[#This Row],[Grau de Risco]]="Médio",Tabela1[[#This Row],[Grau de Risco]]="Baixo"),"Não","Sim")</f>
        <v>Sim</v>
      </c>
    </row>
    <row r="928" spans="1:20" hidden="1">
      <c r="A928" s="4" t="s">
        <v>7</v>
      </c>
      <c r="B928" s="10" t="s">
        <v>1797</v>
      </c>
      <c r="C928" s="4" t="s">
        <v>252</v>
      </c>
      <c r="D928" s="38" t="s">
        <v>1382</v>
      </c>
      <c r="E928" s="3">
        <v>18</v>
      </c>
      <c r="F928" s="3">
        <v>12</v>
      </c>
      <c r="G928" s="3">
        <v>2024</v>
      </c>
      <c r="H928" s="36" t="s">
        <v>33</v>
      </c>
      <c r="I928" s="7" t="s">
        <v>1685</v>
      </c>
      <c r="J928" s="4" t="s">
        <v>76</v>
      </c>
      <c r="K928" s="3" t="s">
        <v>44</v>
      </c>
      <c r="L928" s="3" t="s">
        <v>44</v>
      </c>
      <c r="M928" s="4"/>
      <c r="N928" s="4" t="s">
        <v>44</v>
      </c>
      <c r="O928" s="4"/>
      <c r="P928" s="3"/>
      <c r="Q928" s="11">
        <v>14</v>
      </c>
      <c r="R928" s="3" t="s">
        <v>52</v>
      </c>
      <c r="S928" s="5" t="s">
        <v>56</v>
      </c>
      <c r="T928" s="4" t="str">
        <f>IF(OR(Tabela1[[#This Row],[Grau de Risco]]="Médio",Tabela1[[#This Row],[Grau de Risco]]="Baixo"),"Não","Sim")</f>
        <v>Não</v>
      </c>
    </row>
    <row r="929" spans="1:20">
      <c r="A929" s="4" t="s">
        <v>7</v>
      </c>
      <c r="B929" s="10" t="s">
        <v>1809</v>
      </c>
      <c r="C929" s="4" t="s">
        <v>125</v>
      </c>
      <c r="D929" s="5" t="s">
        <v>36</v>
      </c>
      <c r="E929" s="3">
        <v>20</v>
      </c>
      <c r="F929" s="3">
        <v>7</v>
      </c>
      <c r="G929" s="3">
        <v>2024</v>
      </c>
      <c r="H929" s="36" t="s">
        <v>107</v>
      </c>
      <c r="I929" s="7" t="s">
        <v>970</v>
      </c>
      <c r="J929" s="4" t="s">
        <v>61</v>
      </c>
      <c r="K929" s="3" t="s">
        <v>62</v>
      </c>
      <c r="L929" s="3"/>
      <c r="M929" s="4"/>
      <c r="N929" s="4"/>
      <c r="O929" s="4" t="s">
        <v>4</v>
      </c>
      <c r="P929" s="3"/>
      <c r="Q929" s="11">
        <v>15</v>
      </c>
      <c r="R929" s="3" t="s">
        <v>52</v>
      </c>
      <c r="S929" s="10" t="s">
        <v>141</v>
      </c>
      <c r="T929" s="4" t="str">
        <f>IF(OR(Tabela1[[#This Row],[Grau de Risco]]="Médio",Tabela1[[#This Row],[Grau de Risco]]="Baixo"),"Não","Sim")</f>
        <v>Não</v>
      </c>
    </row>
    <row r="930" spans="1:20">
      <c r="A930" s="4" t="s">
        <v>2</v>
      </c>
      <c r="B930" s="10" t="s">
        <v>1809</v>
      </c>
      <c r="C930" s="4" t="s">
        <v>252</v>
      </c>
      <c r="D930" s="5" t="s">
        <v>36</v>
      </c>
      <c r="E930" s="3">
        <v>12</v>
      </c>
      <c r="F930" s="3">
        <v>10</v>
      </c>
      <c r="G930" s="3">
        <v>2024</v>
      </c>
      <c r="H930" s="36" t="s">
        <v>66</v>
      </c>
      <c r="I930" s="7" t="s">
        <v>971</v>
      </c>
      <c r="J930" s="4" t="s">
        <v>61</v>
      </c>
      <c r="K930" s="3">
        <v>3</v>
      </c>
      <c r="L930" s="3" t="s">
        <v>30</v>
      </c>
      <c r="M930" s="4" t="s">
        <v>30</v>
      </c>
      <c r="N930" s="4">
        <v>0</v>
      </c>
      <c r="O930" s="4" t="s">
        <v>4</v>
      </c>
      <c r="P930" s="3" t="s">
        <v>31</v>
      </c>
      <c r="Q930" s="11">
        <v>11</v>
      </c>
      <c r="R930" s="3" t="s">
        <v>31</v>
      </c>
      <c r="S930" s="10" t="s">
        <v>4</v>
      </c>
      <c r="T930" s="4" t="str">
        <f>IF(OR(Tabela1[[#This Row],[Grau de Risco]]="Médio",Tabela1[[#This Row],[Grau de Risco]]="Baixo"),"Não","Sim")</f>
        <v>Não</v>
      </c>
    </row>
    <row r="931" spans="1:20" hidden="1">
      <c r="A931" s="5" t="s">
        <v>7</v>
      </c>
      <c r="B931" s="10" t="s">
        <v>1800</v>
      </c>
      <c r="C931" s="4" t="s">
        <v>26</v>
      </c>
      <c r="D931" s="38" t="s">
        <v>1393</v>
      </c>
      <c r="E931" s="3">
        <v>23</v>
      </c>
      <c r="F931" s="3">
        <v>1</v>
      </c>
      <c r="G931" s="3">
        <v>2024</v>
      </c>
      <c r="H931" s="5" t="s">
        <v>463</v>
      </c>
      <c r="I931" s="7" t="s">
        <v>986</v>
      </c>
      <c r="J931" s="4" t="s">
        <v>54</v>
      </c>
      <c r="K931" s="3" t="s">
        <v>44</v>
      </c>
      <c r="L931" s="3" t="s">
        <v>30</v>
      </c>
      <c r="M931" s="4" t="s">
        <v>30</v>
      </c>
      <c r="N931" s="4" t="s">
        <v>44</v>
      </c>
      <c r="O931" s="4" t="s">
        <v>301</v>
      </c>
      <c r="P931" s="3"/>
      <c r="Q931" s="11">
        <v>11</v>
      </c>
      <c r="R931" s="3" t="s">
        <v>31</v>
      </c>
      <c r="S931" s="10" t="s">
        <v>63</v>
      </c>
      <c r="T931" s="4" t="str">
        <f>IF(OR(Tabela1[[#This Row],[Grau de Risco]]="Médio",Tabela1[[#This Row],[Grau de Risco]]="Baixo"),"Não","Sim")</f>
        <v>Não</v>
      </c>
    </row>
    <row r="932" spans="1:20">
      <c r="A932" s="4" t="s">
        <v>7</v>
      </c>
      <c r="B932" s="10" t="s">
        <v>1809</v>
      </c>
      <c r="C932" s="4"/>
      <c r="D932" s="5" t="s">
        <v>148</v>
      </c>
      <c r="E932" s="3">
        <v>20</v>
      </c>
      <c r="F932" s="3">
        <v>10</v>
      </c>
      <c r="G932" s="3">
        <v>2024</v>
      </c>
      <c r="H932" s="36" t="s">
        <v>33</v>
      </c>
      <c r="I932" s="7" t="s">
        <v>1094</v>
      </c>
      <c r="J932" s="4" t="s">
        <v>61</v>
      </c>
      <c r="K932" s="3"/>
      <c r="L932" s="3"/>
      <c r="M932" s="4"/>
      <c r="N932" s="4"/>
      <c r="O932" s="4" t="s">
        <v>70</v>
      </c>
      <c r="P932" s="3"/>
      <c r="Q932" s="11">
        <v>13</v>
      </c>
      <c r="R932" s="3" t="s">
        <v>31</v>
      </c>
      <c r="S932" s="5" t="s">
        <v>40</v>
      </c>
      <c r="T932" s="4" t="str">
        <f>IF(OR(Tabela1[[#This Row],[Grau de Risco]]="Médio",Tabela1[[#This Row],[Grau de Risco]]="Baixo"),"Não","Sim")</f>
        <v>Não</v>
      </c>
    </row>
    <row r="933" spans="1:20" hidden="1">
      <c r="A933" s="4" t="s">
        <v>7</v>
      </c>
      <c r="B933" s="10" t="s">
        <v>1797</v>
      </c>
      <c r="C933" s="4" t="s">
        <v>252</v>
      </c>
      <c r="D933" s="38" t="s">
        <v>47</v>
      </c>
      <c r="E933" s="3">
        <v>17</v>
      </c>
      <c r="F933" s="3">
        <v>1</v>
      </c>
      <c r="G933" s="3">
        <v>2025</v>
      </c>
      <c r="H933" s="5" t="s">
        <v>209</v>
      </c>
      <c r="I933" s="7" t="s">
        <v>1686</v>
      </c>
      <c r="J933" s="4" t="s">
        <v>93</v>
      </c>
      <c r="K933" s="3">
        <v>0</v>
      </c>
      <c r="L933" s="3">
        <v>0</v>
      </c>
      <c r="M933" s="4" t="s">
        <v>30</v>
      </c>
      <c r="N933" s="4">
        <v>0</v>
      </c>
      <c r="O933" s="4"/>
      <c r="P933" s="3"/>
      <c r="Q933" s="11">
        <v>15</v>
      </c>
      <c r="R933" s="3" t="s">
        <v>52</v>
      </c>
      <c r="S933" s="33" t="s">
        <v>63</v>
      </c>
      <c r="T933" s="4" t="str">
        <f>IF(OR(Tabela1[[#This Row],[Grau de Risco]]="Médio",Tabela1[[#This Row],[Grau de Risco]]="Baixo"),"Não","Sim")</f>
        <v>Não</v>
      </c>
    </row>
    <row r="934" spans="1:20" hidden="1">
      <c r="A934" s="28" t="s">
        <v>7</v>
      </c>
      <c r="B934" s="33" t="s">
        <v>1793</v>
      </c>
      <c r="C934" s="28" t="s">
        <v>41</v>
      </c>
      <c r="D934" s="28" t="s">
        <v>47</v>
      </c>
      <c r="E934" s="32">
        <v>29</v>
      </c>
      <c r="F934" s="32">
        <v>8</v>
      </c>
      <c r="G934" s="32">
        <v>2025</v>
      </c>
      <c r="H934" s="34" t="s">
        <v>71</v>
      </c>
      <c r="I934" s="29" t="s">
        <v>1134</v>
      </c>
      <c r="J934" s="28" t="s">
        <v>91</v>
      </c>
      <c r="K934" s="32"/>
      <c r="L934" s="32"/>
      <c r="M934" s="28"/>
      <c r="N934" s="28"/>
      <c r="O934" s="28" t="s">
        <v>51</v>
      </c>
      <c r="P934" s="32"/>
      <c r="Q934" s="35">
        <v>11</v>
      </c>
      <c r="R934" s="32" t="s">
        <v>31</v>
      </c>
      <c r="S934" s="33" t="s">
        <v>56</v>
      </c>
      <c r="T934" s="4" t="str">
        <f>IF(OR(Tabela1[[#This Row],[Grau de Risco]]="Médio",Tabela1[[#This Row],[Grau de Risco]]="Baixo"),"Não","Sim")</f>
        <v>Não</v>
      </c>
    </row>
    <row r="935" spans="1:20">
      <c r="A935" s="4" t="s">
        <v>10</v>
      </c>
      <c r="B935" s="10" t="s">
        <v>1809</v>
      </c>
      <c r="C935" s="4" t="s">
        <v>26</v>
      </c>
      <c r="D935" s="38" t="s">
        <v>1320</v>
      </c>
      <c r="E935" s="3">
        <v>10</v>
      </c>
      <c r="F935" s="3">
        <v>2</v>
      </c>
      <c r="G935" s="3">
        <v>2025</v>
      </c>
      <c r="H935" s="4" t="s">
        <v>27</v>
      </c>
      <c r="I935" s="7" t="s">
        <v>1152</v>
      </c>
      <c r="J935" s="4" t="s">
        <v>290</v>
      </c>
      <c r="K935" s="3">
        <v>1</v>
      </c>
      <c r="L935" s="3">
        <v>0</v>
      </c>
      <c r="M935" s="4" t="s">
        <v>30</v>
      </c>
      <c r="N935" s="4">
        <v>0</v>
      </c>
      <c r="O935" s="4" t="s">
        <v>74</v>
      </c>
      <c r="P935" s="3" t="s">
        <v>52</v>
      </c>
      <c r="Q935" s="11">
        <v>11</v>
      </c>
      <c r="R935" s="3" t="s">
        <v>31</v>
      </c>
      <c r="S935" s="33" t="s">
        <v>63</v>
      </c>
      <c r="T935" s="4" t="str">
        <f>IF(OR(Tabela1[[#This Row],[Grau de Risco]]="Médio",Tabela1[[#This Row],[Grau de Risco]]="Baixo"),"Não","Sim")</f>
        <v>Não</v>
      </c>
    </row>
    <row r="936" spans="1:20">
      <c r="A936" s="28" t="s">
        <v>7</v>
      </c>
      <c r="B936" s="10" t="s">
        <v>1809</v>
      </c>
      <c r="C936" s="28" t="s">
        <v>252</v>
      </c>
      <c r="D936" s="58" t="s">
        <v>1409</v>
      </c>
      <c r="E936" s="32">
        <v>20</v>
      </c>
      <c r="F936" s="32">
        <v>2</v>
      </c>
      <c r="G936" s="32">
        <v>2025</v>
      </c>
      <c r="H936" s="5" t="s">
        <v>123</v>
      </c>
      <c r="I936" s="29" t="s">
        <v>1175</v>
      </c>
      <c r="J936" s="28" t="s">
        <v>91</v>
      </c>
      <c r="K936" s="32"/>
      <c r="L936" s="32"/>
      <c r="M936" s="28"/>
      <c r="N936" s="28"/>
      <c r="O936" s="28" t="s">
        <v>45</v>
      </c>
      <c r="P936" s="32"/>
      <c r="Q936" s="35">
        <v>11</v>
      </c>
      <c r="R936" s="32" t="s">
        <v>31</v>
      </c>
      <c r="S936" s="5" t="s">
        <v>56</v>
      </c>
      <c r="T936" s="4" t="str">
        <f>IF(OR(Tabela1[[#This Row],[Grau de Risco]]="Médio",Tabela1[[#This Row],[Grau de Risco]]="Baixo"),"Não","Sim")</f>
        <v>Não</v>
      </c>
    </row>
    <row r="937" spans="1:20" hidden="1">
      <c r="A937" s="4" t="s">
        <v>7</v>
      </c>
      <c r="B937" s="10" t="s">
        <v>1805</v>
      </c>
      <c r="C937" s="4" t="s">
        <v>125</v>
      </c>
      <c r="D937" s="38" t="s">
        <v>1320</v>
      </c>
      <c r="E937" s="3">
        <v>3</v>
      </c>
      <c r="F937" s="3">
        <v>3</v>
      </c>
      <c r="G937" s="3">
        <v>2025</v>
      </c>
      <c r="H937" s="36" t="s">
        <v>33</v>
      </c>
      <c r="I937" s="7" t="s">
        <v>1687</v>
      </c>
      <c r="J937" s="4" t="s">
        <v>50</v>
      </c>
      <c r="K937" s="3"/>
      <c r="L937" s="3"/>
      <c r="M937" s="4"/>
      <c r="N937" s="4"/>
      <c r="O937" s="4"/>
      <c r="P937" s="3"/>
      <c r="Q937" s="11">
        <v>11</v>
      </c>
      <c r="R937" s="3" t="s">
        <v>31</v>
      </c>
      <c r="S937" s="10" t="s">
        <v>63</v>
      </c>
      <c r="T937" s="4" t="str">
        <f>IF(OR(Tabela1[[#This Row],[Grau de Risco]]="Médio",Tabela1[[#This Row],[Grau de Risco]]="Baixo"),"Não","Sim")</f>
        <v>Não</v>
      </c>
    </row>
    <row r="938" spans="1:20">
      <c r="A938" s="28" t="s">
        <v>8</v>
      </c>
      <c r="B938" s="10" t="s">
        <v>1809</v>
      </c>
      <c r="C938" s="28" t="s">
        <v>252</v>
      </c>
      <c r="D938" s="58" t="s">
        <v>1409</v>
      </c>
      <c r="E938" s="32">
        <v>13</v>
      </c>
      <c r="F938" s="32">
        <v>3</v>
      </c>
      <c r="G938" s="32">
        <v>2025</v>
      </c>
      <c r="H938" s="36" t="s">
        <v>107</v>
      </c>
      <c r="I938" s="29" t="s">
        <v>1189</v>
      </c>
      <c r="J938" s="28" t="s">
        <v>115</v>
      </c>
      <c r="K938" s="32"/>
      <c r="L938" s="32"/>
      <c r="M938" s="28"/>
      <c r="N938" s="28"/>
      <c r="O938" s="28" t="s">
        <v>159</v>
      </c>
      <c r="P938" s="32" t="s">
        <v>52</v>
      </c>
      <c r="Q938" s="35">
        <v>10</v>
      </c>
      <c r="R938" s="32" t="s">
        <v>31</v>
      </c>
      <c r="S938" s="5" t="s">
        <v>56</v>
      </c>
      <c r="T938" s="4" t="str">
        <f>IF(OR(Tabela1[[#This Row],[Grau de Risco]]="Médio",Tabela1[[#This Row],[Grau de Risco]]="Baixo"),"Não","Sim")</f>
        <v>Não</v>
      </c>
    </row>
    <row r="939" spans="1:20" hidden="1">
      <c r="A939" s="4" t="s">
        <v>10</v>
      </c>
      <c r="B939" s="10" t="s">
        <v>1797</v>
      </c>
      <c r="C939" s="4" t="s">
        <v>81</v>
      </c>
      <c r="D939" s="38" t="s">
        <v>47</v>
      </c>
      <c r="E939" s="3">
        <v>28</v>
      </c>
      <c r="F939" s="3">
        <v>3</v>
      </c>
      <c r="G939" s="3">
        <v>2025</v>
      </c>
      <c r="H939" s="36" t="s">
        <v>375</v>
      </c>
      <c r="I939" s="7" t="s">
        <v>1211</v>
      </c>
      <c r="J939" s="4" t="s">
        <v>35</v>
      </c>
      <c r="K939" s="3" t="s">
        <v>44</v>
      </c>
      <c r="L939" s="3" t="s">
        <v>44</v>
      </c>
      <c r="M939" s="4"/>
      <c r="N939" s="4" t="s">
        <v>44</v>
      </c>
      <c r="O939" s="4" t="s">
        <v>55</v>
      </c>
      <c r="P939" s="3" t="s">
        <v>52</v>
      </c>
      <c r="Q939" s="11">
        <v>11</v>
      </c>
      <c r="R939" s="3" t="s">
        <v>31</v>
      </c>
      <c r="S939" s="10" t="s">
        <v>63</v>
      </c>
      <c r="T939" s="4" t="str">
        <f>IF(OR(Tabela1[[#This Row],[Grau de Risco]]="Médio",Tabela1[[#This Row],[Grau de Risco]]="Baixo"),"Não","Sim")</f>
        <v>Não</v>
      </c>
    </row>
    <row r="940" spans="1:20" hidden="1">
      <c r="A940" s="4" t="s">
        <v>7</v>
      </c>
      <c r="B940" s="10" t="s">
        <v>1797</v>
      </c>
      <c r="C940" s="4" t="s">
        <v>125</v>
      </c>
      <c r="D940" s="38" t="s">
        <v>1382</v>
      </c>
      <c r="E940" s="3">
        <v>21</v>
      </c>
      <c r="F940" s="3">
        <v>5</v>
      </c>
      <c r="G940" s="3">
        <v>2025</v>
      </c>
      <c r="H940" s="5" t="s">
        <v>123</v>
      </c>
      <c r="I940" s="7" t="s">
        <v>1688</v>
      </c>
      <c r="J940" s="4" t="s">
        <v>29</v>
      </c>
      <c r="K940" s="3" t="s">
        <v>44</v>
      </c>
      <c r="L940" s="3" t="s">
        <v>44</v>
      </c>
      <c r="M940" s="4"/>
      <c r="N940" s="4" t="s">
        <v>44</v>
      </c>
      <c r="O940" s="4"/>
      <c r="P940" s="3"/>
      <c r="Q940" s="11">
        <v>13</v>
      </c>
      <c r="R940" s="3" t="s">
        <v>31</v>
      </c>
      <c r="S940" s="10" t="s">
        <v>63</v>
      </c>
      <c r="T940" s="4" t="str">
        <f>IF(OR(Tabela1[[#This Row],[Grau de Risco]]="Médio",Tabela1[[#This Row],[Grau de Risco]]="Baixo"),"Não","Sim")</f>
        <v>Não</v>
      </c>
    </row>
    <row r="941" spans="1:20" hidden="1">
      <c r="A941" s="4" t="s">
        <v>8</v>
      </c>
      <c r="B941" s="10" t="s">
        <v>1797</v>
      </c>
      <c r="C941" s="4" t="s">
        <v>41</v>
      </c>
      <c r="D941" s="38" t="s">
        <v>47</v>
      </c>
      <c r="E941" s="3">
        <v>23</v>
      </c>
      <c r="F941" s="3">
        <v>5</v>
      </c>
      <c r="G941" s="3">
        <v>2025</v>
      </c>
      <c r="H941" s="36" t="s">
        <v>82</v>
      </c>
      <c r="I941" s="7" t="s">
        <v>1266</v>
      </c>
      <c r="J941" s="4" t="s">
        <v>29</v>
      </c>
      <c r="K941" s="3" t="s">
        <v>44</v>
      </c>
      <c r="L941" s="3" t="s">
        <v>44</v>
      </c>
      <c r="M941" s="4"/>
      <c r="N941" s="4" t="s">
        <v>44</v>
      </c>
      <c r="O941" s="4" t="s">
        <v>325</v>
      </c>
      <c r="P941" s="3" t="s">
        <v>52</v>
      </c>
      <c r="Q941" s="11">
        <v>11</v>
      </c>
      <c r="R941" s="3" t="s">
        <v>31</v>
      </c>
      <c r="S941" s="10" t="s">
        <v>180</v>
      </c>
      <c r="T941" s="4" t="str">
        <f>IF(OR(Tabela1[[#This Row],[Grau de Risco]]="Médio",Tabela1[[#This Row],[Grau de Risco]]="Baixo"),"Não","Sim")</f>
        <v>Não</v>
      </c>
    </row>
    <row r="942" spans="1:20" hidden="1">
      <c r="A942" s="4" t="s">
        <v>9</v>
      </c>
      <c r="B942" s="10" t="s">
        <v>1797</v>
      </c>
      <c r="C942" s="4" t="s">
        <v>81</v>
      </c>
      <c r="D942" s="38" t="s">
        <v>1320</v>
      </c>
      <c r="E942" s="3">
        <v>9</v>
      </c>
      <c r="F942" s="3">
        <v>6</v>
      </c>
      <c r="G942" s="3">
        <v>2025</v>
      </c>
      <c r="H942" s="4" t="s">
        <v>86</v>
      </c>
      <c r="I942" s="7" t="s">
        <v>1286</v>
      </c>
      <c r="J942" s="4" t="s">
        <v>35</v>
      </c>
      <c r="K942" s="3">
        <v>9</v>
      </c>
      <c r="L942" s="3">
        <v>0</v>
      </c>
      <c r="M942" s="4" t="s">
        <v>30</v>
      </c>
      <c r="N942" s="4"/>
      <c r="O942" s="4" t="s">
        <v>101</v>
      </c>
      <c r="P942" s="3" t="s">
        <v>52</v>
      </c>
      <c r="Q942" s="11">
        <v>15</v>
      </c>
      <c r="R942" s="3" t="s">
        <v>52</v>
      </c>
      <c r="S942" s="10" t="s">
        <v>63</v>
      </c>
      <c r="T942" s="4" t="str">
        <f>IF(OR(Tabela1[[#This Row],[Grau de Risco]]="Médio",Tabela1[[#This Row],[Grau de Risco]]="Baixo"),"Não","Sim")</f>
        <v>Não</v>
      </c>
    </row>
    <row r="943" spans="1:20" hidden="1">
      <c r="A943" s="28" t="s">
        <v>8</v>
      </c>
      <c r="B943" s="33" t="s">
        <v>1800</v>
      </c>
      <c r="C943" s="28" t="s">
        <v>81</v>
      </c>
      <c r="D943" s="38" t="s">
        <v>1320</v>
      </c>
      <c r="E943" s="32">
        <v>23</v>
      </c>
      <c r="F943" s="32">
        <v>6</v>
      </c>
      <c r="G943" s="32">
        <v>2025</v>
      </c>
      <c r="H943" s="38" t="s">
        <v>33</v>
      </c>
      <c r="I943" s="29" t="s">
        <v>1321</v>
      </c>
      <c r="J943" s="28" t="s">
        <v>76</v>
      </c>
      <c r="K943" s="32" t="s">
        <v>80</v>
      </c>
      <c r="L943" s="32" t="s">
        <v>80</v>
      </c>
      <c r="M943" s="28" t="s">
        <v>30</v>
      </c>
      <c r="N943" s="28" t="s">
        <v>80</v>
      </c>
      <c r="O943" s="28" t="s">
        <v>45</v>
      </c>
      <c r="P943" s="32" t="s">
        <v>52</v>
      </c>
      <c r="Q943" s="35">
        <v>16</v>
      </c>
      <c r="R943" s="32" t="s">
        <v>52</v>
      </c>
      <c r="S943" s="33" t="s">
        <v>32</v>
      </c>
      <c r="T943" s="4" t="str">
        <f>IF(OR(Tabela1[[#This Row],[Grau de Risco]]="Médio",Tabela1[[#This Row],[Grau de Risco]]="Baixo"),"Não","Sim")</f>
        <v>Não</v>
      </c>
    </row>
    <row r="944" spans="1:20" hidden="1">
      <c r="A944" s="28" t="s">
        <v>2</v>
      </c>
      <c r="B944" s="33" t="s">
        <v>1800</v>
      </c>
      <c r="C944" s="28" t="s">
        <v>41</v>
      </c>
      <c r="D944" s="58" t="s">
        <v>1409</v>
      </c>
      <c r="E944" s="32">
        <v>10</v>
      </c>
      <c r="F944" s="32">
        <v>7</v>
      </c>
      <c r="G944" s="32">
        <v>2025</v>
      </c>
      <c r="H944" s="38" t="s">
        <v>82</v>
      </c>
      <c r="I944" s="29" t="s">
        <v>1349</v>
      </c>
      <c r="J944" s="28" t="s">
        <v>69</v>
      </c>
      <c r="K944" s="32">
        <v>75</v>
      </c>
      <c r="L944" s="32" t="s">
        <v>80</v>
      </c>
      <c r="M944" s="28" t="s">
        <v>30</v>
      </c>
      <c r="N944" s="28" t="s">
        <v>80</v>
      </c>
      <c r="O944" s="28" t="s">
        <v>45</v>
      </c>
      <c r="P944" s="32" t="s">
        <v>31</v>
      </c>
      <c r="Q944" s="35">
        <v>10</v>
      </c>
      <c r="R944" s="32" t="s">
        <v>31</v>
      </c>
      <c r="S944" s="33" t="s">
        <v>4</v>
      </c>
      <c r="T944" s="4" t="str">
        <f>IF(OR(Tabela1[[#This Row],[Grau de Risco]]="Médio",Tabela1[[#This Row],[Grau de Risco]]="Baixo"),"Não","Sim")</f>
        <v>Não</v>
      </c>
    </row>
    <row r="945" spans="1:20" hidden="1">
      <c r="A945" s="28" t="s">
        <v>8</v>
      </c>
      <c r="B945" s="33" t="s">
        <v>1800</v>
      </c>
      <c r="C945" s="28" t="s">
        <v>252</v>
      </c>
      <c r="D945" s="58" t="s">
        <v>1409</v>
      </c>
      <c r="E945" s="32">
        <v>30</v>
      </c>
      <c r="F945" s="32">
        <v>7</v>
      </c>
      <c r="G945" s="32">
        <v>2025</v>
      </c>
      <c r="H945" s="38" t="s">
        <v>107</v>
      </c>
      <c r="I945" s="7" t="s">
        <v>1370</v>
      </c>
      <c r="J945" s="28" t="s">
        <v>61</v>
      </c>
      <c r="K945" s="32" t="s">
        <v>80</v>
      </c>
      <c r="L945" s="32" t="s">
        <v>80</v>
      </c>
      <c r="M945" s="28" t="s">
        <v>30</v>
      </c>
      <c r="N945" s="28" t="s">
        <v>80</v>
      </c>
      <c r="O945" s="28" t="s">
        <v>129</v>
      </c>
      <c r="P945" s="32" t="s">
        <v>52</v>
      </c>
      <c r="Q945" s="35">
        <v>15</v>
      </c>
      <c r="R945" s="32" t="s">
        <v>52</v>
      </c>
      <c r="S945" s="33" t="s">
        <v>56</v>
      </c>
      <c r="T945" s="4" t="str">
        <f>IF(OR(Tabela1[[#This Row],[Grau de Risco]]="Médio",Tabela1[[#This Row],[Grau de Risco]]="Baixo"),"Não","Sim")</f>
        <v>Não</v>
      </c>
    </row>
    <row r="946" spans="1:20" hidden="1">
      <c r="A946" s="4" t="s">
        <v>7</v>
      </c>
      <c r="B946" s="10" t="s">
        <v>1797</v>
      </c>
      <c r="C946" s="4" t="s">
        <v>46</v>
      </c>
      <c r="D946" s="58" t="s">
        <v>1409</v>
      </c>
      <c r="E946" s="3">
        <v>31</v>
      </c>
      <c r="F946" s="3">
        <v>7</v>
      </c>
      <c r="G946" s="3">
        <v>2025</v>
      </c>
      <c r="H946" s="5" t="s">
        <v>269</v>
      </c>
      <c r="I946" s="7" t="s">
        <v>1689</v>
      </c>
      <c r="J946" s="4" t="s">
        <v>290</v>
      </c>
      <c r="K946" s="3">
        <v>0</v>
      </c>
      <c r="L946" s="3">
        <v>0</v>
      </c>
      <c r="M946" s="4">
        <v>0</v>
      </c>
      <c r="N946" s="4">
        <v>0</v>
      </c>
      <c r="O946" s="4"/>
      <c r="P946" s="3"/>
      <c r="Q946" s="11">
        <v>4</v>
      </c>
      <c r="R946" s="3" t="s">
        <v>102</v>
      </c>
      <c r="S946" s="10" t="s">
        <v>4</v>
      </c>
      <c r="T946" s="4" t="str">
        <f>IF(OR(Tabela1[[#This Row],[Grau de Risco]]="Médio",Tabela1[[#This Row],[Grau de Risco]]="Baixo"),"Não","Sim")</f>
        <v>Sim</v>
      </c>
    </row>
    <row r="947" spans="1:20" hidden="1">
      <c r="A947" s="28" t="s">
        <v>7</v>
      </c>
      <c r="B947" s="33" t="s">
        <v>1797</v>
      </c>
      <c r="C947" s="28" t="s">
        <v>81</v>
      </c>
      <c r="D947" s="28" t="s">
        <v>1409</v>
      </c>
      <c r="E947" s="32">
        <v>7</v>
      </c>
      <c r="F947" s="32">
        <v>8</v>
      </c>
      <c r="G947" s="32">
        <v>2025</v>
      </c>
      <c r="H947" s="34" t="s">
        <v>66</v>
      </c>
      <c r="I947" s="29" t="s">
        <v>1385</v>
      </c>
      <c r="J947" s="28" t="s">
        <v>91</v>
      </c>
      <c r="K947" s="32"/>
      <c r="L947" s="32"/>
      <c r="M947" s="28"/>
      <c r="N947" s="28"/>
      <c r="O947" s="28" t="s">
        <v>88</v>
      </c>
      <c r="P947" s="32"/>
      <c r="Q947" s="35">
        <v>15</v>
      </c>
      <c r="R947" s="32" t="s">
        <v>52</v>
      </c>
      <c r="S947" s="10" t="s">
        <v>56</v>
      </c>
      <c r="T947" s="4" t="str">
        <f>IF(OR(Tabela1[[#This Row],[Grau de Risco]]="Médio",Tabela1[[#This Row],[Grau de Risco]]="Baixo"),"Não","Sim")</f>
        <v>Não</v>
      </c>
    </row>
    <row r="948" spans="1:20" hidden="1">
      <c r="A948" s="4" t="s">
        <v>2</v>
      </c>
      <c r="B948" s="10" t="s">
        <v>1797</v>
      </c>
      <c r="C948" s="4" t="s">
        <v>252</v>
      </c>
      <c r="D948" s="5" t="s">
        <v>1393</v>
      </c>
      <c r="E948" s="3">
        <v>12</v>
      </c>
      <c r="F948" s="3">
        <v>8</v>
      </c>
      <c r="G948" s="3">
        <v>2025</v>
      </c>
      <c r="H948" s="5" t="s">
        <v>71</v>
      </c>
      <c r="I948" s="7" t="s">
        <v>1394</v>
      </c>
      <c r="J948" s="4" t="s">
        <v>290</v>
      </c>
      <c r="K948" s="3">
        <v>1</v>
      </c>
      <c r="L948" s="3">
        <v>0</v>
      </c>
      <c r="M948" s="4" t="s">
        <v>30</v>
      </c>
      <c r="N948" s="4">
        <v>0</v>
      </c>
      <c r="O948" s="4" t="s">
        <v>51</v>
      </c>
      <c r="P948" s="3" t="s">
        <v>52</v>
      </c>
      <c r="Q948" s="11">
        <v>14</v>
      </c>
      <c r="R948" s="3" t="s">
        <v>52</v>
      </c>
      <c r="S948" s="10" t="s">
        <v>56</v>
      </c>
      <c r="T948" s="4" t="str">
        <f>IF(OR(Tabela1[[#This Row],[Grau de Risco]]="Médio",Tabela1[[#This Row],[Grau de Risco]]="Baixo"),"Não","Sim")</f>
        <v>Não</v>
      </c>
    </row>
    <row r="949" spans="1:20">
      <c r="A949" s="28" t="s">
        <v>10</v>
      </c>
      <c r="B949" s="10" t="s">
        <v>1809</v>
      </c>
      <c r="C949" s="28" t="s">
        <v>252</v>
      </c>
      <c r="D949" s="28" t="s">
        <v>47</v>
      </c>
      <c r="E949" s="32">
        <v>29</v>
      </c>
      <c r="F949" s="32">
        <v>8</v>
      </c>
      <c r="G949" s="32">
        <v>2025</v>
      </c>
      <c r="H949" s="34" t="s">
        <v>86</v>
      </c>
      <c r="I949" s="29" t="s">
        <v>1415</v>
      </c>
      <c r="J949" s="28" t="s">
        <v>61</v>
      </c>
      <c r="K949" s="32"/>
      <c r="L949" s="32"/>
      <c r="M949" s="28" t="s">
        <v>25</v>
      </c>
      <c r="N949" s="28"/>
      <c r="O949" s="28" t="s">
        <v>77</v>
      </c>
      <c r="P949" s="32" t="s">
        <v>52</v>
      </c>
      <c r="Q949" s="35">
        <v>14</v>
      </c>
      <c r="R949" s="32" t="s">
        <v>52</v>
      </c>
      <c r="S949" s="33" t="s">
        <v>63</v>
      </c>
      <c r="T949" s="4" t="str">
        <f>IF(OR(Tabela1[[#This Row],[Grau de Risco]]="Médio",Tabela1[[#This Row],[Grau de Risco]]="Baixo"),"Não","Sim")</f>
        <v>Não</v>
      </c>
    </row>
    <row r="950" spans="1:20" hidden="1">
      <c r="A950" s="28" t="s">
        <v>1110</v>
      </c>
      <c r="B950" s="33" t="s">
        <v>1797</v>
      </c>
      <c r="C950" s="28" t="s">
        <v>252</v>
      </c>
      <c r="D950" s="28" t="s">
        <v>1393</v>
      </c>
      <c r="E950" s="32">
        <v>23</v>
      </c>
      <c r="F950" s="32">
        <v>9</v>
      </c>
      <c r="G950" s="32">
        <v>2025</v>
      </c>
      <c r="H950" s="34" t="s">
        <v>33</v>
      </c>
      <c r="I950" s="29" t="s">
        <v>1467</v>
      </c>
      <c r="J950" s="28" t="s">
        <v>69</v>
      </c>
      <c r="K950" s="32" t="s">
        <v>44</v>
      </c>
      <c r="L950" s="32" t="s">
        <v>44</v>
      </c>
      <c r="M950" s="28"/>
      <c r="N950" s="28" t="s">
        <v>44</v>
      </c>
      <c r="O950" s="28"/>
      <c r="P950" s="32"/>
      <c r="Q950" s="35">
        <v>14</v>
      </c>
      <c r="R950" s="3" t="s">
        <v>52</v>
      </c>
      <c r="S950" s="33" t="s">
        <v>144</v>
      </c>
      <c r="T950" s="4" t="str">
        <f>IF(OR(Tabela1[[#This Row],[Grau de Risco]]="Médio",Tabela1[[#This Row],[Grau de Risco]]="Baixo"),"Não","Sim")</f>
        <v>Não</v>
      </c>
    </row>
    <row r="951" spans="1:20" hidden="1">
      <c r="A951" s="28" t="s">
        <v>7</v>
      </c>
      <c r="B951" s="33" t="s">
        <v>1797</v>
      </c>
      <c r="C951" s="28" t="s">
        <v>125</v>
      </c>
      <c r="D951" s="28" t="s">
        <v>1382</v>
      </c>
      <c r="E951" s="32">
        <v>8</v>
      </c>
      <c r="F951" s="32">
        <v>10</v>
      </c>
      <c r="G951" s="32">
        <v>2025</v>
      </c>
      <c r="H951" s="34" t="s">
        <v>33</v>
      </c>
      <c r="I951" s="29" t="s">
        <v>1476</v>
      </c>
      <c r="J951" s="28" t="s">
        <v>111</v>
      </c>
      <c r="K951" s="32"/>
      <c r="L951" s="32"/>
      <c r="M951" s="28"/>
      <c r="N951" s="28"/>
      <c r="O951" s="28" t="s">
        <v>88</v>
      </c>
      <c r="P951" s="32"/>
      <c r="Q951" s="35">
        <v>15</v>
      </c>
      <c r="R951" s="32" t="s">
        <v>52</v>
      </c>
      <c r="S951" s="10" t="s">
        <v>56</v>
      </c>
      <c r="T951" s="4" t="str">
        <f>IF(OR(Tabela1[[#This Row],[Grau de Risco]]="Médio",Tabela1[[#This Row],[Grau de Risco]]="Baixo"),"Não","Sim")</f>
        <v>Não</v>
      </c>
    </row>
    <row r="952" spans="1:20" hidden="1">
      <c r="A952" s="38" t="s">
        <v>7</v>
      </c>
      <c r="B952" s="38" t="s">
        <v>1800</v>
      </c>
      <c r="C952" s="38" t="s">
        <v>41</v>
      </c>
      <c r="D952" s="38" t="s">
        <v>36</v>
      </c>
      <c r="E952" s="38">
        <v>1</v>
      </c>
      <c r="F952" s="38">
        <v>11</v>
      </c>
      <c r="G952" s="38">
        <v>2025</v>
      </c>
      <c r="H952" s="38" t="s">
        <v>82</v>
      </c>
      <c r="I952" t="s">
        <v>1533</v>
      </c>
      <c r="J952" s="38" t="s">
        <v>69</v>
      </c>
      <c r="K952" s="38" t="s">
        <v>80</v>
      </c>
      <c r="L952" s="38" t="s">
        <v>80</v>
      </c>
      <c r="M952" s="38" t="s">
        <v>30</v>
      </c>
      <c r="N952" s="38" t="s">
        <v>80</v>
      </c>
      <c r="O952" s="42" t="s">
        <v>51</v>
      </c>
      <c r="P952" s="38" t="s">
        <v>52</v>
      </c>
      <c r="Q952" s="38">
        <v>11</v>
      </c>
      <c r="R952" s="32" t="s">
        <v>31</v>
      </c>
      <c r="S952" s="38" t="s">
        <v>56</v>
      </c>
      <c r="T952" s="4" t="str">
        <f>IF(OR(Tabela1[[#This Row],[Grau de Risco]]="Médio",Tabela1[[#This Row],[Grau de Risco]]="Baixo"),"Não","Sim")</f>
        <v>Não</v>
      </c>
    </row>
    <row r="953" spans="1:20">
      <c r="A953" s="5" t="s">
        <v>2</v>
      </c>
      <c r="B953" s="10" t="s">
        <v>1809</v>
      </c>
      <c r="C953" s="5" t="s">
        <v>46</v>
      </c>
      <c r="D953" s="38" t="s">
        <v>1382</v>
      </c>
      <c r="E953" s="3">
        <v>25</v>
      </c>
      <c r="F953" s="2">
        <v>8</v>
      </c>
      <c r="G953" s="3">
        <v>2021</v>
      </c>
      <c r="H953" s="36" t="s">
        <v>107</v>
      </c>
      <c r="I953" s="7" t="s">
        <v>152</v>
      </c>
      <c r="J953" s="4" t="s">
        <v>76</v>
      </c>
      <c r="K953" s="3">
        <v>4</v>
      </c>
      <c r="L953" s="3">
        <v>0</v>
      </c>
      <c r="M953" s="5" t="s">
        <v>30</v>
      </c>
      <c r="N953" s="4">
        <v>4</v>
      </c>
      <c r="O953" s="4" t="s">
        <v>88</v>
      </c>
      <c r="P953" s="3" t="s">
        <v>31</v>
      </c>
      <c r="Q953" s="3">
        <v>17</v>
      </c>
      <c r="R953" s="2" t="s">
        <v>31</v>
      </c>
      <c r="S953" s="10" t="s">
        <v>32</v>
      </c>
      <c r="T953" s="4" t="str">
        <f>IF(OR(Tabela1[[#This Row],[Grau de Risco]]="Médio",Tabela1[[#This Row],[Grau de Risco]]="Baixo"),"Não","Sim")</f>
        <v>Não</v>
      </c>
    </row>
    <row r="954" spans="1:20">
      <c r="A954" s="4" t="s">
        <v>2</v>
      </c>
      <c r="B954" s="10" t="s">
        <v>1809</v>
      </c>
      <c r="C954" s="4" t="s">
        <v>89</v>
      </c>
      <c r="D954" s="58" t="s">
        <v>1409</v>
      </c>
      <c r="E954" s="3">
        <v>2</v>
      </c>
      <c r="F954" s="3">
        <v>12</v>
      </c>
      <c r="G954" s="3">
        <v>2021</v>
      </c>
      <c r="H954" s="5" t="s">
        <v>123</v>
      </c>
      <c r="I954" s="7" t="s">
        <v>162</v>
      </c>
      <c r="J954" s="4" t="s">
        <v>135</v>
      </c>
      <c r="K954" s="3">
        <v>10</v>
      </c>
      <c r="L954" s="3">
        <v>0</v>
      </c>
      <c r="M954" s="4" t="s">
        <v>30</v>
      </c>
      <c r="N954" s="4"/>
      <c r="O954" s="4" t="s">
        <v>70</v>
      </c>
      <c r="P954" s="3" t="s">
        <v>31</v>
      </c>
      <c r="Q954" s="11">
        <v>13</v>
      </c>
      <c r="R954" s="3" t="str">
        <f>IF(Q954="","",IF(Q954&lt;4,"Crítico",IF(Q954&lt;9,"Alto",IF(Q954&lt;14,"Médio","Baixo"))))</f>
        <v>Médio</v>
      </c>
      <c r="S954" s="10" t="s">
        <v>63</v>
      </c>
      <c r="T954" s="4" t="str">
        <f>IF(OR(Tabela1[[#This Row],[Grau de Risco]]="Médio",Tabela1[[#This Row],[Grau de Risco]]="Baixo"),"Não","Sim")</f>
        <v>Não</v>
      </c>
    </row>
    <row r="955" spans="1:20">
      <c r="A955" s="4" t="s">
        <v>2</v>
      </c>
      <c r="B955" s="10" t="s">
        <v>1809</v>
      </c>
      <c r="C955" s="4"/>
      <c r="D955" s="38" t="s">
        <v>1320</v>
      </c>
      <c r="E955" s="3">
        <v>20</v>
      </c>
      <c r="F955" s="3">
        <v>9</v>
      </c>
      <c r="G955" s="3">
        <v>2021</v>
      </c>
      <c r="H955" s="5" t="s">
        <v>71</v>
      </c>
      <c r="I955" s="7" t="s">
        <v>185</v>
      </c>
      <c r="J955" s="4" t="s">
        <v>79</v>
      </c>
      <c r="K955" s="3">
        <v>10</v>
      </c>
      <c r="L955" s="3">
        <v>0</v>
      </c>
      <c r="M955" s="4" t="s">
        <v>30</v>
      </c>
      <c r="N955" s="4">
        <v>0</v>
      </c>
      <c r="O955" s="4" t="s">
        <v>74</v>
      </c>
      <c r="P955" s="3" t="s">
        <v>31</v>
      </c>
      <c r="Q955" s="11">
        <v>14</v>
      </c>
      <c r="R955" s="3" t="s">
        <v>52</v>
      </c>
      <c r="S955" s="10" t="s">
        <v>141</v>
      </c>
      <c r="T955" s="4" t="str">
        <f>IF(OR(Tabela1[[#This Row],[Grau de Risco]]="Médio",Tabela1[[#This Row],[Grau de Risco]]="Baixo"),"Não","Sim")</f>
        <v>Não</v>
      </c>
    </row>
    <row r="956" spans="1:20">
      <c r="A956" s="4" t="s">
        <v>9</v>
      </c>
      <c r="B956" s="10" t="s">
        <v>1809</v>
      </c>
      <c r="C956" s="4" t="s">
        <v>26</v>
      </c>
      <c r="D956" s="5" t="s">
        <v>148</v>
      </c>
      <c r="E956" s="3">
        <v>24</v>
      </c>
      <c r="F956" s="3">
        <v>10</v>
      </c>
      <c r="G956" s="3">
        <v>2021</v>
      </c>
      <c r="H956" s="34" t="s">
        <v>59</v>
      </c>
      <c r="I956" s="7" t="s">
        <v>202</v>
      </c>
      <c r="J956" s="4" t="s">
        <v>79</v>
      </c>
      <c r="K956" s="3">
        <v>7</v>
      </c>
      <c r="L956" s="3">
        <v>0</v>
      </c>
      <c r="M956" s="4" t="s">
        <v>30</v>
      </c>
      <c r="N956" s="4">
        <v>0</v>
      </c>
      <c r="O956" s="4" t="s">
        <v>55</v>
      </c>
      <c r="P956" s="3" t="s">
        <v>52</v>
      </c>
      <c r="Q956" s="11">
        <v>4</v>
      </c>
      <c r="R956" s="3" t="s">
        <v>102</v>
      </c>
      <c r="S956" s="5" t="s">
        <v>40</v>
      </c>
      <c r="T956" s="4" t="str">
        <f>IF(OR(Tabela1[[#This Row],[Grau de Risco]]="Médio",Tabela1[[#This Row],[Grau de Risco]]="Baixo"),"Não","Sim")</f>
        <v>Sim</v>
      </c>
    </row>
    <row r="957" spans="1:20">
      <c r="A957" s="4" t="s">
        <v>10</v>
      </c>
      <c r="B957" s="10" t="s">
        <v>1809</v>
      </c>
      <c r="C957" s="5" t="s">
        <v>46</v>
      </c>
      <c r="D957" s="38" t="s">
        <v>47</v>
      </c>
      <c r="E957" s="3">
        <v>10</v>
      </c>
      <c r="F957" s="2">
        <v>12</v>
      </c>
      <c r="G957" s="3">
        <v>2021</v>
      </c>
      <c r="H957" s="4" t="s">
        <v>27</v>
      </c>
      <c r="I957" s="7" t="s">
        <v>215</v>
      </c>
      <c r="J957" s="4" t="s">
        <v>35</v>
      </c>
      <c r="K957" s="3">
        <v>0</v>
      </c>
      <c r="L957" s="3">
        <v>0</v>
      </c>
      <c r="M957" s="5" t="s">
        <v>30</v>
      </c>
      <c r="N957" s="4">
        <v>0</v>
      </c>
      <c r="O957" s="4" t="s">
        <v>45</v>
      </c>
      <c r="P957" s="3" t="s">
        <v>52</v>
      </c>
      <c r="Q957" s="3">
        <v>21</v>
      </c>
      <c r="R957" s="2" t="s">
        <v>52</v>
      </c>
      <c r="S957" s="10" t="s">
        <v>32</v>
      </c>
      <c r="T957" s="4" t="str">
        <f>IF(OR(Tabela1[[#This Row],[Grau de Risco]]="Médio",Tabela1[[#This Row],[Grau de Risco]]="Baixo"),"Não","Sim")</f>
        <v>Não</v>
      </c>
    </row>
    <row r="958" spans="1:20" hidden="1">
      <c r="A958" s="5" t="s">
        <v>2</v>
      </c>
      <c r="B958" s="4" t="s">
        <v>1800</v>
      </c>
      <c r="C958" s="4" t="s">
        <v>41</v>
      </c>
      <c r="D958" s="58" t="s">
        <v>1409</v>
      </c>
      <c r="E958" s="3">
        <v>11</v>
      </c>
      <c r="F958" s="2">
        <v>8</v>
      </c>
      <c r="G958" s="3">
        <v>2022</v>
      </c>
      <c r="H958" s="36" t="s">
        <v>33</v>
      </c>
      <c r="I958" s="7" t="s">
        <v>258</v>
      </c>
      <c r="J958" s="4" t="s">
        <v>76</v>
      </c>
      <c r="K958" s="3">
        <v>2</v>
      </c>
      <c r="L958" s="3">
        <v>0</v>
      </c>
      <c r="M958" s="5" t="s">
        <v>30</v>
      </c>
      <c r="N958" s="4">
        <v>2</v>
      </c>
      <c r="O958" s="4" t="s">
        <v>4</v>
      </c>
      <c r="P958" s="3" t="s">
        <v>52</v>
      </c>
      <c r="Q958" s="3">
        <v>17</v>
      </c>
      <c r="R958" s="2" t="s">
        <v>31</v>
      </c>
      <c r="S958" s="10" t="s">
        <v>32</v>
      </c>
      <c r="T958" s="4" t="str">
        <f>IF(OR(Tabela1[[#This Row],[Grau de Risco]]="Médio",Tabela1[[#This Row],[Grau de Risco]]="Baixo"),"Não","Sim")</f>
        <v>Não</v>
      </c>
    </row>
    <row r="959" spans="1:20" hidden="1">
      <c r="A959" s="4" t="s">
        <v>2</v>
      </c>
      <c r="B959" s="10" t="s">
        <v>1793</v>
      </c>
      <c r="C959" s="4"/>
      <c r="D959" s="38" t="s">
        <v>1382</v>
      </c>
      <c r="E959" s="3">
        <v>30</v>
      </c>
      <c r="F959" s="3">
        <v>11</v>
      </c>
      <c r="G959" s="3">
        <v>2022</v>
      </c>
      <c r="H959" s="5" t="s">
        <v>48</v>
      </c>
      <c r="I959" s="7" t="s">
        <v>287</v>
      </c>
      <c r="J959" s="4" t="s">
        <v>61</v>
      </c>
      <c r="K959" s="3">
        <v>14</v>
      </c>
      <c r="L959" s="3">
        <v>0</v>
      </c>
      <c r="M959" s="4" t="s">
        <v>30</v>
      </c>
      <c r="N959" s="4"/>
      <c r="O959" s="4" t="s">
        <v>74</v>
      </c>
      <c r="P959" s="3" t="s">
        <v>31</v>
      </c>
      <c r="Q959" s="11">
        <v>4</v>
      </c>
      <c r="R959" s="3" t="str">
        <f>IF(Q959="","",IF(Q959&lt;4,"Crítico",IF(Q959&lt;9,"Alto",IF(Q959&lt;14,"Médio","Baixo"))))</f>
        <v>Alto</v>
      </c>
      <c r="S959" s="10" t="s">
        <v>63</v>
      </c>
      <c r="T959" s="4" t="str">
        <f>IF(OR(Tabela1[[#This Row],[Grau de Risco]]="Médio",Tabela1[[#This Row],[Grau de Risco]]="Baixo"),"Não","Sim")</f>
        <v>Sim</v>
      </c>
    </row>
    <row r="960" spans="1:20">
      <c r="A960" s="4" t="s">
        <v>2</v>
      </c>
      <c r="B960" s="10" t="s">
        <v>1809</v>
      </c>
      <c r="C960" s="4" t="s">
        <v>26</v>
      </c>
      <c r="D960" s="38" t="s">
        <v>1382</v>
      </c>
      <c r="E960" s="3">
        <v>13</v>
      </c>
      <c r="F960" s="3">
        <v>4</v>
      </c>
      <c r="G960" s="3">
        <v>2022</v>
      </c>
      <c r="H960" s="36" t="s">
        <v>107</v>
      </c>
      <c r="I960" s="7" t="s">
        <v>1824</v>
      </c>
      <c r="J960" s="4" t="s">
        <v>290</v>
      </c>
      <c r="K960" s="3">
        <v>256</v>
      </c>
      <c r="L960" s="3">
        <v>0</v>
      </c>
      <c r="M960" s="4" t="s">
        <v>30</v>
      </c>
      <c r="N960" s="4">
        <v>0</v>
      </c>
      <c r="O960" s="4" t="s">
        <v>4</v>
      </c>
      <c r="P960" s="3" t="s">
        <v>52</v>
      </c>
      <c r="Q960" s="11">
        <v>14</v>
      </c>
      <c r="R960" s="3" t="s">
        <v>52</v>
      </c>
      <c r="S960" s="10" t="s">
        <v>141</v>
      </c>
      <c r="T960" s="4" t="str">
        <f>IF(OR(Tabela1[[#This Row],[Grau de Risco]]="Médio",Tabela1[[#This Row],[Grau de Risco]]="Baixo"),"Não","Sim")</f>
        <v>Não</v>
      </c>
    </row>
    <row r="961" spans="1:20">
      <c r="A961" s="4" t="s">
        <v>8</v>
      </c>
      <c r="B961" s="10" t="s">
        <v>1809</v>
      </c>
      <c r="C961" s="5" t="s">
        <v>26</v>
      </c>
      <c r="D961" s="38" t="s">
        <v>1393</v>
      </c>
      <c r="E961" s="3">
        <v>21</v>
      </c>
      <c r="F961" s="2">
        <v>6</v>
      </c>
      <c r="G961" s="3">
        <v>2022</v>
      </c>
      <c r="H961" s="34" t="s">
        <v>59</v>
      </c>
      <c r="I961" s="7" t="s">
        <v>360</v>
      </c>
      <c r="J961" s="4" t="s">
        <v>35</v>
      </c>
      <c r="K961" s="3">
        <v>0</v>
      </c>
      <c r="L961" s="3">
        <v>0</v>
      </c>
      <c r="M961" s="5" t="s">
        <v>30</v>
      </c>
      <c r="N961" s="4">
        <v>0</v>
      </c>
      <c r="O961" s="4" t="s">
        <v>88</v>
      </c>
      <c r="P961" s="3" t="s">
        <v>52</v>
      </c>
      <c r="Q961" s="3">
        <v>21</v>
      </c>
      <c r="R961" s="2" t="s">
        <v>52</v>
      </c>
      <c r="S961" s="10" t="s">
        <v>32</v>
      </c>
      <c r="T961" s="4" t="str">
        <f>IF(OR(Tabela1[[#This Row],[Grau de Risco]]="Médio",Tabela1[[#This Row],[Grau de Risco]]="Baixo"),"Não","Sim")</f>
        <v>Não</v>
      </c>
    </row>
    <row r="962" spans="1:20" hidden="1">
      <c r="A962" s="4" t="s">
        <v>2</v>
      </c>
      <c r="B962" s="10" t="s">
        <v>1793</v>
      </c>
      <c r="C962" s="4"/>
      <c r="D962" s="38" t="s">
        <v>47</v>
      </c>
      <c r="E962" s="3">
        <v>24</v>
      </c>
      <c r="F962" s="3">
        <v>6</v>
      </c>
      <c r="G962" s="3">
        <v>2022</v>
      </c>
      <c r="H962" s="36" t="s">
        <v>112</v>
      </c>
      <c r="I962" s="7" t="s">
        <v>388</v>
      </c>
      <c r="J962" s="4" t="s">
        <v>93</v>
      </c>
      <c r="K962" s="3">
        <v>1</v>
      </c>
      <c r="L962" s="3">
        <v>0</v>
      </c>
      <c r="M962" s="4" t="s">
        <v>30</v>
      </c>
      <c r="N962" s="4">
        <v>0</v>
      </c>
      <c r="O962" s="4" t="s">
        <v>4</v>
      </c>
      <c r="P962" s="3" t="s">
        <v>52</v>
      </c>
      <c r="Q962" s="11">
        <v>22</v>
      </c>
      <c r="R962" s="3" t="s">
        <v>52</v>
      </c>
      <c r="S962" s="5" t="s">
        <v>56</v>
      </c>
      <c r="T962" s="4" t="str">
        <f>IF(OR(Tabela1[[#This Row],[Grau de Risco]]="Médio",Tabela1[[#This Row],[Grau de Risco]]="Baixo"),"Não","Sim")</f>
        <v>Não</v>
      </c>
    </row>
    <row r="963" spans="1:20" hidden="1">
      <c r="A963" s="4" t="s">
        <v>8</v>
      </c>
      <c r="B963" s="10" t="s">
        <v>1805</v>
      </c>
      <c r="C963" s="4"/>
      <c r="D963" s="38" t="s">
        <v>47</v>
      </c>
      <c r="E963" s="3">
        <v>22</v>
      </c>
      <c r="F963" s="3">
        <v>7</v>
      </c>
      <c r="G963" s="3">
        <v>2022</v>
      </c>
      <c r="H963" s="4" t="s">
        <v>27</v>
      </c>
      <c r="I963" s="7" t="s">
        <v>395</v>
      </c>
      <c r="J963" s="4" t="s">
        <v>61</v>
      </c>
      <c r="K963" s="3">
        <v>0</v>
      </c>
      <c r="L963" s="3">
        <v>0</v>
      </c>
      <c r="M963" s="4" t="s">
        <v>30</v>
      </c>
      <c r="N963" s="4"/>
      <c r="O963" s="4" t="s">
        <v>159</v>
      </c>
      <c r="P963" s="3" t="s">
        <v>102</v>
      </c>
      <c r="Q963" s="11">
        <v>4</v>
      </c>
      <c r="R963" s="3" t="str">
        <f>IF(Q963="","",IF(Q963&lt;4,"Crítico",IF(Q963&lt;9,"Alto",IF(Q963&lt;14,"Médio","Baixo"))))</f>
        <v>Alto</v>
      </c>
      <c r="S963" s="10" t="s">
        <v>63</v>
      </c>
      <c r="T963" s="4" t="str">
        <f>IF(OR(Tabela1[[#This Row],[Grau de Risco]]="Médio",Tabela1[[#This Row],[Grau de Risco]]="Baixo"),"Não","Sim")</f>
        <v>Sim</v>
      </c>
    </row>
    <row r="964" spans="1:20">
      <c r="A964" s="4" t="s">
        <v>8</v>
      </c>
      <c r="B964" s="10" t="s">
        <v>1809</v>
      </c>
      <c r="C964" s="5" t="s">
        <v>26</v>
      </c>
      <c r="D964" s="38" t="s">
        <v>1320</v>
      </c>
      <c r="E964" s="3">
        <v>13</v>
      </c>
      <c r="F964" s="3">
        <v>11</v>
      </c>
      <c r="G964" s="3">
        <v>2023</v>
      </c>
      <c r="H964" s="36" t="s">
        <v>107</v>
      </c>
      <c r="I964" s="7" t="s">
        <v>402</v>
      </c>
      <c r="J964" s="4" t="s">
        <v>69</v>
      </c>
      <c r="K964" s="3">
        <v>0</v>
      </c>
      <c r="L964" s="3">
        <v>0</v>
      </c>
      <c r="M964" s="3" t="s">
        <v>30</v>
      </c>
      <c r="N964" s="3" t="s">
        <v>44</v>
      </c>
      <c r="O964" s="3" t="s">
        <v>117</v>
      </c>
      <c r="P964" s="3" t="s">
        <v>52</v>
      </c>
      <c r="Q964" s="3">
        <v>14</v>
      </c>
      <c r="R964" s="11" t="s">
        <v>52</v>
      </c>
      <c r="S964" s="10" t="s">
        <v>141</v>
      </c>
      <c r="T964" s="4" t="str">
        <f>IF(OR(Tabela1[[#This Row],[Grau de Risco]]="Médio",Tabela1[[#This Row],[Grau de Risco]]="Baixo"),"Não","Sim")</f>
        <v>Não</v>
      </c>
    </row>
    <row r="965" spans="1:20">
      <c r="A965" s="4" t="s">
        <v>8</v>
      </c>
      <c r="B965" s="10" t="s">
        <v>1809</v>
      </c>
      <c r="C965" s="4" t="s">
        <v>26</v>
      </c>
      <c r="D965" s="38" t="s">
        <v>1393</v>
      </c>
      <c r="E965" s="3">
        <v>24</v>
      </c>
      <c r="F965" s="3">
        <v>10</v>
      </c>
      <c r="G965" s="3">
        <v>2023</v>
      </c>
      <c r="H965" s="34" t="s">
        <v>59</v>
      </c>
      <c r="I965" s="7" t="s">
        <v>432</v>
      </c>
      <c r="J965" s="4" t="s">
        <v>135</v>
      </c>
      <c r="K965" s="3">
        <v>2</v>
      </c>
      <c r="L965" s="3">
        <v>0</v>
      </c>
      <c r="M965" s="4" t="s">
        <v>25</v>
      </c>
      <c r="N965" s="4">
        <v>2</v>
      </c>
      <c r="O965" s="4" t="s">
        <v>301</v>
      </c>
      <c r="P965" s="3" t="s">
        <v>31</v>
      </c>
      <c r="Q965" s="11">
        <v>10</v>
      </c>
      <c r="R965" s="3" t="str">
        <f>IF(Q965="","",IF(Q965&lt;4,"Crítico",IF(Q965&lt;9,"Alto",IF(Q965&lt;14,"Médio","Baixo"))))</f>
        <v>Médio</v>
      </c>
      <c r="S965" s="10" t="s">
        <v>63</v>
      </c>
      <c r="T965" s="4" t="str">
        <f>IF(OR(Tabela1[[#This Row],[Grau de Risco]]="Médio",Tabela1[[#This Row],[Grau de Risco]]="Baixo"),"Não","Sim")</f>
        <v>Não</v>
      </c>
    </row>
    <row r="966" spans="1:20" hidden="1">
      <c r="A966" s="4" t="s">
        <v>2</v>
      </c>
      <c r="B966" s="10" t="s">
        <v>1805</v>
      </c>
      <c r="C966" s="4" t="s">
        <v>41</v>
      </c>
      <c r="D966" s="58" t="s">
        <v>1409</v>
      </c>
      <c r="E966" s="3">
        <v>6</v>
      </c>
      <c r="F966" s="3">
        <v>7</v>
      </c>
      <c r="G966" s="3">
        <v>2023</v>
      </c>
      <c r="H966" s="4" t="s">
        <v>27</v>
      </c>
      <c r="I966" s="7" t="s">
        <v>461</v>
      </c>
      <c r="J966" s="4" t="s">
        <v>50</v>
      </c>
      <c r="K966" s="3">
        <v>1</v>
      </c>
      <c r="L966" s="3">
        <v>0</v>
      </c>
      <c r="M966" s="4" t="s">
        <v>30</v>
      </c>
      <c r="N966" s="4">
        <v>0</v>
      </c>
      <c r="O966" s="4" t="s">
        <v>45</v>
      </c>
      <c r="P966" s="3" t="s">
        <v>31</v>
      </c>
      <c r="Q966" s="11">
        <v>7</v>
      </c>
      <c r="R966" s="3" t="s">
        <v>102</v>
      </c>
      <c r="S966" s="10" t="s">
        <v>4</v>
      </c>
      <c r="T966" s="4" t="str">
        <f>IF(OR(Tabela1[[#This Row],[Grau de Risco]]="Médio",Tabela1[[#This Row],[Grau de Risco]]="Baixo"),"Não","Sim")</f>
        <v>Sim</v>
      </c>
    </row>
    <row r="967" spans="1:20">
      <c r="A967" s="4" t="s">
        <v>7</v>
      </c>
      <c r="B967" s="10" t="s">
        <v>1809</v>
      </c>
      <c r="C967" s="4" t="s">
        <v>89</v>
      </c>
      <c r="D967" s="38" t="s">
        <v>47</v>
      </c>
      <c r="E967" s="3">
        <v>12</v>
      </c>
      <c r="F967" s="3">
        <v>5</v>
      </c>
      <c r="G967" s="3">
        <v>2023</v>
      </c>
      <c r="H967" s="4" t="s">
        <v>86</v>
      </c>
      <c r="I967" s="7" t="s">
        <v>475</v>
      </c>
      <c r="J967" s="4" t="s">
        <v>73</v>
      </c>
      <c r="K967" s="3" t="s">
        <v>62</v>
      </c>
      <c r="L967" s="3" t="s">
        <v>44</v>
      </c>
      <c r="M967" s="4" t="s">
        <v>30</v>
      </c>
      <c r="N967" s="4"/>
      <c r="O967" s="4" t="s">
        <v>55</v>
      </c>
      <c r="P967" s="3" t="s">
        <v>52</v>
      </c>
      <c r="Q967" s="11">
        <v>11</v>
      </c>
      <c r="R967" s="3" t="str">
        <f>IF(Q967="","",IF(Q967&lt;4,"Crítico",IF(Q967&lt;9,"Alto",IF(Q967&lt;14,"Médio","Baixo"))))</f>
        <v>Médio</v>
      </c>
      <c r="S967" s="5" t="s">
        <v>56</v>
      </c>
      <c r="T967" s="4" t="str">
        <f>IF(OR(Tabela1[[#This Row],[Grau de Risco]]="Médio",Tabela1[[#This Row],[Grau de Risco]]="Baixo"),"Não","Sim")</f>
        <v>Não</v>
      </c>
    </row>
    <row r="968" spans="1:20" hidden="1">
      <c r="A968" s="4" t="s">
        <v>8</v>
      </c>
      <c r="B968" s="10" t="s">
        <v>1793</v>
      </c>
      <c r="C968" s="4" t="s">
        <v>81</v>
      </c>
      <c r="D968" s="38" t="s">
        <v>47</v>
      </c>
      <c r="E968" s="3">
        <v>1</v>
      </c>
      <c r="F968" s="3">
        <v>12</v>
      </c>
      <c r="G968" s="3">
        <v>2023</v>
      </c>
      <c r="H968" s="5" t="s">
        <v>256</v>
      </c>
      <c r="I968" s="7" t="s">
        <v>484</v>
      </c>
      <c r="J968" s="4" t="s">
        <v>150</v>
      </c>
      <c r="K968" s="3" t="s">
        <v>62</v>
      </c>
      <c r="L968" s="3">
        <v>0</v>
      </c>
      <c r="M968" s="4" t="s">
        <v>30</v>
      </c>
      <c r="N968" s="4">
        <v>0</v>
      </c>
      <c r="O968" s="4" t="s">
        <v>325</v>
      </c>
      <c r="P968" s="3" t="s">
        <v>52</v>
      </c>
      <c r="Q968" s="11">
        <v>11</v>
      </c>
      <c r="R968" s="3" t="s">
        <v>31</v>
      </c>
      <c r="S968" s="10" t="s">
        <v>180</v>
      </c>
      <c r="T968" s="4" t="str">
        <f>IF(OR(Tabela1[[#This Row],[Grau de Risco]]="Médio",Tabela1[[#This Row],[Grau de Risco]]="Baixo"),"Não","Sim")</f>
        <v>Não</v>
      </c>
    </row>
    <row r="969" spans="1:20">
      <c r="A969" s="4" t="s">
        <v>2</v>
      </c>
      <c r="B969" s="10" t="s">
        <v>1809</v>
      </c>
      <c r="C969" s="4" t="s">
        <v>41</v>
      </c>
      <c r="D969" s="38" t="s">
        <v>1320</v>
      </c>
      <c r="E969" s="3">
        <v>3</v>
      </c>
      <c r="F969" s="3">
        <v>4</v>
      </c>
      <c r="G969" s="3">
        <v>2023</v>
      </c>
      <c r="H969" s="5" t="s">
        <v>71</v>
      </c>
      <c r="I969" s="7" t="s">
        <v>492</v>
      </c>
      <c r="J969" s="4" t="s">
        <v>192</v>
      </c>
      <c r="K969" s="3">
        <v>3</v>
      </c>
      <c r="L969" s="3">
        <v>0</v>
      </c>
      <c r="M969" s="4" t="s">
        <v>30</v>
      </c>
      <c r="N969" s="4"/>
      <c r="O969" s="4" t="s">
        <v>88</v>
      </c>
      <c r="P969" s="3" t="s">
        <v>31</v>
      </c>
      <c r="Q969" s="11">
        <v>10</v>
      </c>
      <c r="R969" s="3" t="str">
        <f>IF(Q969="","",IF(Q969&lt;4,"Crítico",IF(Q969&lt;9,"Alto",IF(Q969&lt;14,"Médio","Baixo"))))</f>
        <v>Médio</v>
      </c>
      <c r="S969" s="10" t="s">
        <v>144</v>
      </c>
      <c r="T969" s="4" t="str">
        <f>IF(OR(Tabela1[[#This Row],[Grau de Risco]]="Médio",Tabela1[[#This Row],[Grau de Risco]]="Baixo"),"Não","Sim")</f>
        <v>Não</v>
      </c>
    </row>
    <row r="970" spans="1:20" hidden="1">
      <c r="A970" s="4" t="s">
        <v>2</v>
      </c>
      <c r="B970" s="10" t="s">
        <v>1805</v>
      </c>
      <c r="C970" s="4" t="s">
        <v>252</v>
      </c>
      <c r="D970" s="58" t="s">
        <v>1409</v>
      </c>
      <c r="E970" s="3">
        <v>24</v>
      </c>
      <c r="F970" s="3">
        <v>8</v>
      </c>
      <c r="G970" s="3">
        <v>2023</v>
      </c>
      <c r="H970" s="36" t="s">
        <v>82</v>
      </c>
      <c r="I970" s="7" t="s">
        <v>519</v>
      </c>
      <c r="J970" s="4" t="s">
        <v>61</v>
      </c>
      <c r="K970" s="3">
        <v>14</v>
      </c>
      <c r="L970" s="3">
        <v>0</v>
      </c>
      <c r="M970" s="4" t="s">
        <v>30</v>
      </c>
      <c r="N970" s="4">
        <v>0</v>
      </c>
      <c r="O970" s="4" t="s">
        <v>520</v>
      </c>
      <c r="P970" s="3" t="s">
        <v>31</v>
      </c>
      <c r="Q970" s="11">
        <v>7</v>
      </c>
      <c r="R970" s="3" t="str">
        <f>IF(Q970="","",IF(Q970&lt;4,"Crítico",IF(Q970&lt;9,"Alto",IF(Q970&lt;14,"Médio","Baixo"))))</f>
        <v>Alto</v>
      </c>
      <c r="S970" s="10" t="s">
        <v>63</v>
      </c>
      <c r="T970" s="4" t="str">
        <f>IF(OR(Tabela1[[#This Row],[Grau de Risco]]="Médio",Tabela1[[#This Row],[Grau de Risco]]="Baixo"),"Não","Sim")</f>
        <v>Sim</v>
      </c>
    </row>
    <row r="971" spans="1:20" hidden="1">
      <c r="A971" s="4" t="s">
        <v>7</v>
      </c>
      <c r="B971" s="10" t="s">
        <v>1805</v>
      </c>
      <c r="C971" s="4" t="s">
        <v>97</v>
      </c>
      <c r="D971" s="38" t="s">
        <v>1320</v>
      </c>
      <c r="E971" s="3">
        <v>8</v>
      </c>
      <c r="F971" s="3">
        <v>5</v>
      </c>
      <c r="G971" s="3">
        <v>2023</v>
      </c>
      <c r="H971" s="36" t="s">
        <v>82</v>
      </c>
      <c r="I971" s="7" t="s">
        <v>532</v>
      </c>
      <c r="J971" s="4" t="s">
        <v>61</v>
      </c>
      <c r="K971" s="3" t="s">
        <v>62</v>
      </c>
      <c r="L971" s="3" t="s">
        <v>44</v>
      </c>
      <c r="M971" s="4" t="s">
        <v>30</v>
      </c>
      <c r="N971" s="4"/>
      <c r="O971" s="4" t="s">
        <v>4</v>
      </c>
      <c r="P971" s="3" t="s">
        <v>52</v>
      </c>
      <c r="Q971" s="11">
        <v>7</v>
      </c>
      <c r="R971" s="3" t="str">
        <f>IF(Q971="","",IF(Q971&lt;4,"Crítico",IF(Q971&lt;9,"Alto",IF(Q971&lt;14,"Médio","Baixo"))))</f>
        <v>Alto</v>
      </c>
      <c r="S971" s="10" t="s">
        <v>63</v>
      </c>
      <c r="T971" s="4" t="str">
        <f>IF(OR(Tabela1[[#This Row],[Grau de Risco]]="Médio",Tabela1[[#This Row],[Grau de Risco]]="Baixo"),"Não","Sim")</f>
        <v>Sim</v>
      </c>
    </row>
    <row r="972" spans="1:20">
      <c r="A972" s="4" t="s">
        <v>7</v>
      </c>
      <c r="B972" s="10" t="s">
        <v>1809</v>
      </c>
      <c r="C972" s="4" t="s">
        <v>81</v>
      </c>
      <c r="D972" s="38" t="s">
        <v>1393</v>
      </c>
      <c r="E972" s="3">
        <v>26</v>
      </c>
      <c r="F972" s="3">
        <v>9</v>
      </c>
      <c r="G972" s="3">
        <v>2023</v>
      </c>
      <c r="H972" s="36" t="s">
        <v>107</v>
      </c>
      <c r="I972" s="7" t="s">
        <v>533</v>
      </c>
      <c r="J972" s="4" t="s">
        <v>61</v>
      </c>
      <c r="K972" s="3">
        <v>0</v>
      </c>
      <c r="L972" s="3">
        <v>0</v>
      </c>
      <c r="M972" s="4" t="s">
        <v>30</v>
      </c>
      <c r="N972" s="4">
        <v>0</v>
      </c>
      <c r="O972" s="4" t="s">
        <v>4</v>
      </c>
      <c r="P972" s="3" t="s">
        <v>52</v>
      </c>
      <c r="Q972" s="11">
        <v>11</v>
      </c>
      <c r="R972" s="3" t="str">
        <f>IF(Q972="","",IF(Q972&lt;4,"Crítico",IF(Q972&lt;9,"Alto",IF(Q972&lt;14,"Médio","Baixo"))))</f>
        <v>Médio</v>
      </c>
      <c r="S972" s="10" t="s">
        <v>32</v>
      </c>
      <c r="T972" s="4" t="str">
        <f>IF(OR(Tabela1[[#This Row],[Grau de Risco]]="Médio",Tabela1[[#This Row],[Grau de Risco]]="Baixo"),"Não","Sim")</f>
        <v>Não</v>
      </c>
    </row>
    <row r="973" spans="1:20">
      <c r="A973" s="5" t="s">
        <v>7</v>
      </c>
      <c r="B973" s="10" t="s">
        <v>1809</v>
      </c>
      <c r="C973" s="5" t="s">
        <v>26</v>
      </c>
      <c r="D973" s="5" t="s">
        <v>36</v>
      </c>
      <c r="E973" s="3">
        <v>16</v>
      </c>
      <c r="F973" s="3">
        <v>9</v>
      </c>
      <c r="G973" s="3">
        <v>2023</v>
      </c>
      <c r="H973" s="36" t="s">
        <v>66</v>
      </c>
      <c r="I973" s="7" t="s">
        <v>543</v>
      </c>
      <c r="J973" s="4" t="s">
        <v>84</v>
      </c>
      <c r="K973" s="3" t="s">
        <v>44</v>
      </c>
      <c r="L973" s="3" t="s">
        <v>80</v>
      </c>
      <c r="M973" s="4"/>
      <c r="N973" s="4" t="s">
        <v>80</v>
      </c>
      <c r="O973" s="4" t="s">
        <v>85</v>
      </c>
      <c r="P973" s="3"/>
      <c r="Q973" s="11">
        <v>4</v>
      </c>
      <c r="R973" s="3" t="s">
        <v>102</v>
      </c>
      <c r="S973" s="5" t="s">
        <v>40</v>
      </c>
      <c r="T973" s="4" t="str">
        <f>IF(OR(Tabela1[[#This Row],[Grau de Risco]]="Médio",Tabela1[[#This Row],[Grau de Risco]]="Baixo"),"Não","Sim")</f>
        <v>Sim</v>
      </c>
    </row>
    <row r="974" spans="1:20">
      <c r="A974" s="4" t="s">
        <v>7</v>
      </c>
      <c r="B974" s="10" t="s">
        <v>1809</v>
      </c>
      <c r="C974" s="4" t="s">
        <v>133</v>
      </c>
      <c r="D974" s="38" t="s">
        <v>1393</v>
      </c>
      <c r="E974" s="3">
        <v>7</v>
      </c>
      <c r="F974" s="3">
        <v>3</v>
      </c>
      <c r="G974" s="3">
        <v>2023</v>
      </c>
      <c r="H974" s="36" t="s">
        <v>82</v>
      </c>
      <c r="I974" s="7" t="s">
        <v>567</v>
      </c>
      <c r="J974" s="4" t="s">
        <v>111</v>
      </c>
      <c r="K974" s="3" t="s">
        <v>62</v>
      </c>
      <c r="L974" s="3" t="s">
        <v>44</v>
      </c>
      <c r="M974" s="4" t="s">
        <v>30</v>
      </c>
      <c r="N974" s="4"/>
      <c r="O974" s="4" t="s">
        <v>77</v>
      </c>
      <c r="P974" s="3" t="s">
        <v>52</v>
      </c>
      <c r="Q974" s="11">
        <v>15</v>
      </c>
      <c r="R974" s="3" t="str">
        <f>IF(Q974="","",IF(Q974&lt;4,"Crítico",IF(Q974&lt;9,"Alto",IF(Q974&lt;14,"Médio","Baixo"))))</f>
        <v>Baixo</v>
      </c>
      <c r="S974" s="10" t="s">
        <v>63</v>
      </c>
      <c r="T974" s="4" t="str">
        <f>IF(OR(Tabela1[[#This Row],[Grau de Risco]]="Médio",Tabela1[[#This Row],[Grau de Risco]]="Baixo"),"Não","Sim")</f>
        <v>Não</v>
      </c>
    </row>
    <row r="975" spans="1:20" hidden="1">
      <c r="A975" s="4" t="s">
        <v>8</v>
      </c>
      <c r="B975" s="10" t="s">
        <v>1805</v>
      </c>
      <c r="C975" s="5" t="s">
        <v>26</v>
      </c>
      <c r="D975" s="38" t="s">
        <v>47</v>
      </c>
      <c r="E975" s="3">
        <v>15</v>
      </c>
      <c r="F975" s="3">
        <v>9</v>
      </c>
      <c r="G975" s="3">
        <v>2023</v>
      </c>
      <c r="H975" s="36" t="s">
        <v>33</v>
      </c>
      <c r="I975" s="7" t="s">
        <v>652</v>
      </c>
      <c r="J975" s="4" t="s">
        <v>69</v>
      </c>
      <c r="K975" s="3">
        <v>0</v>
      </c>
      <c r="L975" s="3">
        <v>0</v>
      </c>
      <c r="M975" s="4" t="s">
        <v>30</v>
      </c>
      <c r="N975" s="4" t="s">
        <v>44</v>
      </c>
      <c r="O975" s="4" t="s">
        <v>74</v>
      </c>
      <c r="P975" s="3" t="s">
        <v>31</v>
      </c>
      <c r="Q975" s="11">
        <v>11</v>
      </c>
      <c r="R975" s="2" t="s">
        <v>31</v>
      </c>
      <c r="S975" s="5" t="s">
        <v>56</v>
      </c>
      <c r="T975" s="4" t="str">
        <f>IF(OR(Tabela1[[#This Row],[Grau de Risco]]="Médio",Tabela1[[#This Row],[Grau de Risco]]="Baixo"),"Não","Sim")</f>
        <v>Não</v>
      </c>
    </row>
    <row r="976" spans="1:20" hidden="1">
      <c r="A976" s="4" t="s">
        <v>7</v>
      </c>
      <c r="B976" s="10" t="s">
        <v>1805</v>
      </c>
      <c r="C976" s="4" t="s">
        <v>89</v>
      </c>
      <c r="D976" s="38" t="s">
        <v>1320</v>
      </c>
      <c r="E976" s="3">
        <v>8</v>
      </c>
      <c r="F976" s="3">
        <v>5</v>
      </c>
      <c r="G976" s="3">
        <v>2023</v>
      </c>
      <c r="H976" s="36" t="s">
        <v>82</v>
      </c>
      <c r="I976" s="7" t="s">
        <v>532</v>
      </c>
      <c r="J976" s="4" t="s">
        <v>111</v>
      </c>
      <c r="K976" s="3" t="s">
        <v>62</v>
      </c>
      <c r="L976" s="3" t="s">
        <v>44</v>
      </c>
      <c r="M976" s="4" t="s">
        <v>30</v>
      </c>
      <c r="N976" s="4"/>
      <c r="O976" s="4" t="s">
        <v>4</v>
      </c>
      <c r="P976" s="3" t="s">
        <v>52</v>
      </c>
      <c r="Q976" s="11">
        <v>7</v>
      </c>
      <c r="R976" s="3" t="str">
        <f>IF(Q976="","",IF(Q976&lt;4,"Crítico",IF(Q976&lt;9,"Alto",IF(Q976&lt;14,"Médio","Baixo"))))</f>
        <v>Alto</v>
      </c>
      <c r="S976" s="10" t="s">
        <v>63</v>
      </c>
      <c r="T976" s="4" t="str">
        <f>IF(OR(Tabela1[[#This Row],[Grau de Risco]]="Médio",Tabela1[[#This Row],[Grau de Risco]]="Baixo"),"Não","Sim")</f>
        <v>Sim</v>
      </c>
    </row>
    <row r="977" spans="1:20">
      <c r="A977" s="4" t="s">
        <v>7</v>
      </c>
      <c r="B977" s="10" t="s">
        <v>1809</v>
      </c>
      <c r="C977" s="4" t="s">
        <v>97</v>
      </c>
      <c r="D977" s="38" t="s">
        <v>1320</v>
      </c>
      <c r="E977" s="3">
        <v>10</v>
      </c>
      <c r="F977" s="3">
        <v>7</v>
      </c>
      <c r="G977" s="3">
        <v>2023</v>
      </c>
      <c r="H977" s="4" t="s">
        <v>27</v>
      </c>
      <c r="I977" s="7" t="s">
        <v>660</v>
      </c>
      <c r="J977" s="4" t="s">
        <v>61</v>
      </c>
      <c r="K977" s="3" t="s">
        <v>62</v>
      </c>
      <c r="L977" s="3" t="s">
        <v>44</v>
      </c>
      <c r="M977" s="4" t="s">
        <v>30</v>
      </c>
      <c r="N977" s="4"/>
      <c r="O977" s="4" t="s">
        <v>77</v>
      </c>
      <c r="P977" s="3" t="s">
        <v>52</v>
      </c>
      <c r="Q977" s="11">
        <v>15</v>
      </c>
      <c r="R977" s="3" t="str">
        <f>IF(Q977="","",IF(Q977&lt;4,"Crítico",IF(Q977&lt;9,"Alto",IF(Q977&lt;14,"Médio","Baixo"))))</f>
        <v>Baixo</v>
      </c>
      <c r="S977" s="10" t="s">
        <v>63</v>
      </c>
      <c r="T977" s="4" t="str">
        <f>IF(OR(Tabela1[[#This Row],[Grau de Risco]]="Médio",Tabela1[[#This Row],[Grau de Risco]]="Baixo"),"Não","Sim")</f>
        <v>Não</v>
      </c>
    </row>
    <row r="978" spans="1:20">
      <c r="A978" s="4" t="s">
        <v>7</v>
      </c>
      <c r="B978" s="10" t="s">
        <v>1809</v>
      </c>
      <c r="C978" s="4" t="s">
        <v>26</v>
      </c>
      <c r="D978" s="58" t="s">
        <v>1409</v>
      </c>
      <c r="E978" s="3">
        <v>23</v>
      </c>
      <c r="F978" s="3">
        <v>11</v>
      </c>
      <c r="G978" s="3">
        <v>2023</v>
      </c>
      <c r="H978" s="5" t="s">
        <v>71</v>
      </c>
      <c r="I978" s="7" t="s">
        <v>1825</v>
      </c>
      <c r="J978" s="4" t="s">
        <v>229</v>
      </c>
      <c r="K978" s="3" t="s">
        <v>62</v>
      </c>
      <c r="L978" s="3">
        <v>0</v>
      </c>
      <c r="M978" s="4" t="s">
        <v>30</v>
      </c>
      <c r="N978" s="4">
        <v>0</v>
      </c>
      <c r="O978" s="4" t="s">
        <v>77</v>
      </c>
      <c r="P978" s="3" t="s">
        <v>52</v>
      </c>
      <c r="Q978" s="11">
        <v>16</v>
      </c>
      <c r="R978" s="3" t="str">
        <f>IF(Q978="","",IF(Q978&lt;4,"Crítico",IF(Q978&lt;9,"Alto",IF(Q978&lt;14,"Médio","Baixo"))))</f>
        <v>Baixo</v>
      </c>
      <c r="S978" s="10" t="s">
        <v>63</v>
      </c>
      <c r="T978" s="4" t="str">
        <f>IF(OR(Tabela1[[#This Row],[Grau de Risco]]="Médio",Tabela1[[#This Row],[Grau de Risco]]="Baixo"),"Não","Sim")</f>
        <v>Não</v>
      </c>
    </row>
    <row r="979" spans="1:20" hidden="1">
      <c r="A979" s="4" t="s">
        <v>2</v>
      </c>
      <c r="B979" s="10" t="s">
        <v>1800</v>
      </c>
      <c r="C979" s="4" t="s">
        <v>41</v>
      </c>
      <c r="D979" s="38" t="s">
        <v>1393</v>
      </c>
      <c r="E979" s="3">
        <v>16</v>
      </c>
      <c r="F979" s="3">
        <v>4</v>
      </c>
      <c r="G979" s="3">
        <v>2024</v>
      </c>
      <c r="H979" s="36" t="s">
        <v>112</v>
      </c>
      <c r="I979" s="7" t="s">
        <v>712</v>
      </c>
      <c r="J979" s="4" t="s">
        <v>69</v>
      </c>
      <c r="K979" s="3">
        <v>1</v>
      </c>
      <c r="L979" s="3">
        <v>0</v>
      </c>
      <c r="M979" s="4" t="s">
        <v>30</v>
      </c>
      <c r="N979" s="4"/>
      <c r="O979" s="4" t="s">
        <v>45</v>
      </c>
      <c r="P979" s="3" t="s">
        <v>31</v>
      </c>
      <c r="Q979" s="11">
        <v>11</v>
      </c>
      <c r="R979" s="3" t="s">
        <v>31</v>
      </c>
      <c r="S979" s="5" t="s">
        <v>56</v>
      </c>
      <c r="T979" s="4" t="str">
        <f>IF(OR(Tabela1[[#This Row],[Grau de Risco]]="Médio",Tabela1[[#This Row],[Grau de Risco]]="Baixo"),"Não","Sim")</f>
        <v>Não</v>
      </c>
    </row>
    <row r="980" spans="1:20" hidden="1">
      <c r="A980" s="4" t="s">
        <v>2</v>
      </c>
      <c r="B980" s="10" t="s">
        <v>1800</v>
      </c>
      <c r="C980" s="4" t="s">
        <v>41</v>
      </c>
      <c r="D980" s="38" t="s">
        <v>1393</v>
      </c>
      <c r="E980" s="3">
        <v>16</v>
      </c>
      <c r="F980" s="3">
        <v>4</v>
      </c>
      <c r="G980" s="3">
        <v>2024</v>
      </c>
      <c r="H980" s="36" t="s">
        <v>112</v>
      </c>
      <c r="I980" s="7" t="s">
        <v>1690</v>
      </c>
      <c r="J980" s="4" t="s">
        <v>69</v>
      </c>
      <c r="K980" s="3">
        <v>1</v>
      </c>
      <c r="L980" s="3">
        <v>0</v>
      </c>
      <c r="M980" s="4" t="s">
        <v>30</v>
      </c>
      <c r="N980" s="4">
        <v>0</v>
      </c>
      <c r="O980" s="4"/>
      <c r="P980" s="3"/>
      <c r="Q980" s="104">
        <v>11</v>
      </c>
      <c r="R980" s="105" t="s">
        <v>31</v>
      </c>
      <c r="S980" s="10" t="s">
        <v>4</v>
      </c>
      <c r="T980" s="4" t="str">
        <f>IF(OR(Tabela1[[#This Row],[Grau de Risco]]="Médio",Tabela1[[#This Row],[Grau de Risco]]="Baixo"),"Não","Sim")</f>
        <v>Não</v>
      </c>
    </row>
    <row r="981" spans="1:20">
      <c r="A981" s="4" t="s">
        <v>8</v>
      </c>
      <c r="B981" s="10" t="s">
        <v>1809</v>
      </c>
      <c r="C981" s="4" t="s">
        <v>26</v>
      </c>
      <c r="D981" s="5" t="s">
        <v>36</v>
      </c>
      <c r="E981" s="3">
        <v>27</v>
      </c>
      <c r="F981" s="3">
        <v>3</v>
      </c>
      <c r="G981" s="3">
        <v>2024</v>
      </c>
      <c r="H981" s="36" t="s">
        <v>33</v>
      </c>
      <c r="I981" s="7" t="s">
        <v>733</v>
      </c>
      <c r="J981" s="4" t="s">
        <v>84</v>
      </c>
      <c r="K981" s="3">
        <v>0</v>
      </c>
      <c r="L981" s="3" t="s">
        <v>44</v>
      </c>
      <c r="M981" s="4" t="s">
        <v>30</v>
      </c>
      <c r="N981" s="4" t="s">
        <v>44</v>
      </c>
      <c r="O981" s="4" t="s">
        <v>129</v>
      </c>
      <c r="P981" s="3" t="s">
        <v>52</v>
      </c>
      <c r="Q981" s="11">
        <v>11</v>
      </c>
      <c r="R981" s="3" t="s">
        <v>31</v>
      </c>
      <c r="S981" s="10" t="s">
        <v>141</v>
      </c>
      <c r="T981" s="4" t="str">
        <f>IF(OR(Tabela1[[#This Row],[Grau de Risco]]="Médio",Tabela1[[#This Row],[Grau de Risco]]="Baixo"),"Não","Sim")</f>
        <v>Não</v>
      </c>
    </row>
    <row r="982" spans="1:20">
      <c r="A982" s="4" t="s">
        <v>7</v>
      </c>
      <c r="B982" s="10" t="s">
        <v>1809</v>
      </c>
      <c r="C982" s="4" t="s">
        <v>740</v>
      </c>
      <c r="D982" s="38" t="s">
        <v>1382</v>
      </c>
      <c r="E982" s="3">
        <v>7</v>
      </c>
      <c r="F982" s="3">
        <v>8</v>
      </c>
      <c r="G982" s="3">
        <v>2024</v>
      </c>
      <c r="H982" s="36" t="s">
        <v>66</v>
      </c>
      <c r="I982" s="7" t="s">
        <v>1691</v>
      </c>
      <c r="J982" s="4" t="s">
        <v>69</v>
      </c>
      <c r="K982" s="3" t="s">
        <v>44</v>
      </c>
      <c r="L982" s="3" t="s">
        <v>44</v>
      </c>
      <c r="M982" s="4"/>
      <c r="N982" s="4" t="s">
        <v>44</v>
      </c>
      <c r="O982" s="4"/>
      <c r="P982" s="3"/>
      <c r="Q982" s="11">
        <v>11</v>
      </c>
      <c r="R982" s="3" t="s">
        <v>31</v>
      </c>
      <c r="S982" s="10" t="s">
        <v>63</v>
      </c>
      <c r="T982" s="4" t="str">
        <f>IF(OR(Tabela1[[#This Row],[Grau de Risco]]="Médio",Tabela1[[#This Row],[Grau de Risco]]="Baixo"),"Não","Sim")</f>
        <v>Não</v>
      </c>
    </row>
    <row r="983" spans="1:20" hidden="1">
      <c r="A983" s="4" t="s">
        <v>8</v>
      </c>
      <c r="B983" s="10" t="s">
        <v>1797</v>
      </c>
      <c r="C983" s="4" t="s">
        <v>41</v>
      </c>
      <c r="D983" s="38" t="s">
        <v>47</v>
      </c>
      <c r="E983" s="3">
        <v>26</v>
      </c>
      <c r="F983" s="3">
        <v>1</v>
      </c>
      <c r="G983" s="3">
        <v>2024</v>
      </c>
      <c r="H983" s="4" t="s">
        <v>27</v>
      </c>
      <c r="I983" s="7" t="s">
        <v>758</v>
      </c>
      <c r="J983" s="4" t="s">
        <v>169</v>
      </c>
      <c r="K983" s="3">
        <v>0</v>
      </c>
      <c r="L983" s="3" t="s">
        <v>30</v>
      </c>
      <c r="M983" s="4" t="s">
        <v>30</v>
      </c>
      <c r="N983" s="4" t="s">
        <v>44</v>
      </c>
      <c r="O983" s="4" t="s">
        <v>51</v>
      </c>
      <c r="P983" s="3" t="s">
        <v>52</v>
      </c>
      <c r="Q983" s="11">
        <v>11</v>
      </c>
      <c r="R983" s="3" t="s">
        <v>31</v>
      </c>
      <c r="S983" s="10" t="s">
        <v>32</v>
      </c>
      <c r="T983" s="4" t="str">
        <f>IF(OR(Tabela1[[#This Row],[Grau de Risco]]="Médio",Tabela1[[#This Row],[Grau de Risco]]="Baixo"),"Não","Sim")</f>
        <v>Não</v>
      </c>
    </row>
    <row r="984" spans="1:20">
      <c r="A984" s="4" t="s">
        <v>7</v>
      </c>
      <c r="B984" s="10" t="s">
        <v>1809</v>
      </c>
      <c r="C984" s="4" t="s">
        <v>41</v>
      </c>
      <c r="D984" s="38" t="s">
        <v>1382</v>
      </c>
      <c r="E984" s="3">
        <v>7</v>
      </c>
      <c r="F984" s="3">
        <v>8</v>
      </c>
      <c r="G984" s="3">
        <v>2024</v>
      </c>
      <c r="H984" s="5" t="s">
        <v>48</v>
      </c>
      <c r="I984" s="7" t="s">
        <v>766</v>
      </c>
      <c r="J984" s="4" t="s">
        <v>73</v>
      </c>
      <c r="K984" s="3" t="s">
        <v>62</v>
      </c>
      <c r="L984" s="3"/>
      <c r="M984" s="4"/>
      <c r="N984" s="4"/>
      <c r="O984" s="4" t="s">
        <v>77</v>
      </c>
      <c r="P984" s="3"/>
      <c r="Q984" s="11">
        <v>15</v>
      </c>
      <c r="R984" s="3" t="s">
        <v>52</v>
      </c>
      <c r="S984" s="10" t="s">
        <v>63</v>
      </c>
      <c r="T984" s="4" t="str">
        <f>IF(OR(Tabela1[[#This Row],[Grau de Risco]]="Médio",Tabela1[[#This Row],[Grau de Risco]]="Baixo"),"Não","Sim")</f>
        <v>Não</v>
      </c>
    </row>
    <row r="985" spans="1:20" hidden="1">
      <c r="A985" s="4" t="s">
        <v>7</v>
      </c>
      <c r="B985" s="10" t="s">
        <v>1797</v>
      </c>
      <c r="C985" s="4" t="s">
        <v>81</v>
      </c>
      <c r="D985" s="38" t="s">
        <v>1393</v>
      </c>
      <c r="E985" s="3">
        <v>25</v>
      </c>
      <c r="F985" s="3">
        <v>6</v>
      </c>
      <c r="G985" s="3">
        <v>2024</v>
      </c>
      <c r="H985" s="36" t="s">
        <v>82</v>
      </c>
      <c r="I985" s="7" t="s">
        <v>770</v>
      </c>
      <c r="J985" s="4" t="s">
        <v>61</v>
      </c>
      <c r="K985" s="3" t="s">
        <v>62</v>
      </c>
      <c r="L985" s="3"/>
      <c r="M985" s="4"/>
      <c r="N985" s="4"/>
      <c r="O985" s="4" t="s">
        <v>396</v>
      </c>
      <c r="P985" s="3"/>
      <c r="Q985" s="11">
        <v>7</v>
      </c>
      <c r="R985" s="3" t="s">
        <v>102</v>
      </c>
      <c r="S985" s="10" t="s">
        <v>63</v>
      </c>
      <c r="T985" s="4" t="str">
        <f>IF(OR(Tabela1[[#This Row],[Grau de Risco]]="Médio",Tabela1[[#This Row],[Grau de Risco]]="Baixo"),"Não","Sim")</f>
        <v>Sim</v>
      </c>
    </row>
    <row r="986" spans="1:20" hidden="1">
      <c r="A986" s="4" t="s">
        <v>7</v>
      </c>
      <c r="B986" s="10" t="s">
        <v>1805</v>
      </c>
      <c r="C986" s="4" t="s">
        <v>26</v>
      </c>
      <c r="D986" s="38" t="s">
        <v>47</v>
      </c>
      <c r="E986" s="3">
        <v>26</v>
      </c>
      <c r="F986" s="3">
        <v>4</v>
      </c>
      <c r="G986" s="3">
        <v>2024</v>
      </c>
      <c r="H986" s="36" t="s">
        <v>107</v>
      </c>
      <c r="I986" s="7" t="s">
        <v>791</v>
      </c>
      <c r="J986" s="4" t="s">
        <v>61</v>
      </c>
      <c r="K986" s="3" t="s">
        <v>62</v>
      </c>
      <c r="L986" s="3"/>
      <c r="M986" s="4"/>
      <c r="N986" s="4"/>
      <c r="O986" s="4" t="s">
        <v>77</v>
      </c>
      <c r="P986" s="3"/>
      <c r="Q986" s="11">
        <v>4</v>
      </c>
      <c r="R986" s="3" t="s">
        <v>102</v>
      </c>
      <c r="S986" s="10" t="s">
        <v>63</v>
      </c>
      <c r="T986" s="4" t="str">
        <f>IF(OR(Tabela1[[#This Row],[Grau de Risco]]="Médio",Tabela1[[#This Row],[Grau de Risco]]="Baixo"),"Não","Sim")</f>
        <v>Sim</v>
      </c>
    </row>
    <row r="987" spans="1:20" hidden="1">
      <c r="A987" s="4" t="s">
        <v>7</v>
      </c>
      <c r="B987" s="10" t="s">
        <v>1797</v>
      </c>
      <c r="C987" s="4"/>
      <c r="D987" s="38" t="s">
        <v>1393</v>
      </c>
      <c r="E987" s="3">
        <v>17</v>
      </c>
      <c r="F987" s="3">
        <v>9</v>
      </c>
      <c r="G987" s="3">
        <v>2024</v>
      </c>
      <c r="H987" s="4" t="s">
        <v>27</v>
      </c>
      <c r="I987" s="7" t="s">
        <v>808</v>
      </c>
      <c r="J987" s="4" t="s">
        <v>111</v>
      </c>
      <c r="K987" s="3"/>
      <c r="L987" s="3"/>
      <c r="M987" s="4"/>
      <c r="N987" s="4"/>
      <c r="O987" s="4" t="s">
        <v>77</v>
      </c>
      <c r="P987" s="3"/>
      <c r="Q987" s="11">
        <v>16</v>
      </c>
      <c r="R987" s="3" t="s">
        <v>52</v>
      </c>
      <c r="S987" s="10" t="s">
        <v>63</v>
      </c>
      <c r="T987" s="4" t="str">
        <f>IF(OR(Tabela1[[#This Row],[Grau de Risco]]="Médio",Tabela1[[#This Row],[Grau de Risco]]="Baixo"),"Não","Sim")</f>
        <v>Não</v>
      </c>
    </row>
    <row r="988" spans="1:20" hidden="1">
      <c r="A988" s="4" t="s">
        <v>7</v>
      </c>
      <c r="B988" s="10" t="s">
        <v>1797</v>
      </c>
      <c r="C988" s="4" t="s">
        <v>81</v>
      </c>
      <c r="D988" s="38" t="s">
        <v>1393</v>
      </c>
      <c r="E988" s="3">
        <v>5</v>
      </c>
      <c r="F988" s="3">
        <v>3</v>
      </c>
      <c r="G988" s="3">
        <v>2024</v>
      </c>
      <c r="H988" s="34" t="s">
        <v>59</v>
      </c>
      <c r="I988" s="7" t="s">
        <v>1692</v>
      </c>
      <c r="J988" s="4" t="s">
        <v>61</v>
      </c>
      <c r="K988" s="3" t="s">
        <v>62</v>
      </c>
      <c r="L988" s="3"/>
      <c r="M988" s="4"/>
      <c r="N988" s="4"/>
      <c r="O988" s="4"/>
      <c r="P988" s="3"/>
      <c r="Q988" s="11">
        <v>11</v>
      </c>
      <c r="R988" s="3" t="s">
        <v>31</v>
      </c>
      <c r="S988" s="5" t="s">
        <v>40</v>
      </c>
      <c r="T988" s="4" t="str">
        <f>IF(OR(Tabela1[[#This Row],[Grau de Risco]]="Médio",Tabela1[[#This Row],[Grau de Risco]]="Baixo"),"Não","Sim")</f>
        <v>Não</v>
      </c>
    </row>
    <row r="989" spans="1:20" hidden="1">
      <c r="A989" s="4" t="s">
        <v>2</v>
      </c>
      <c r="B989" s="10" t="s">
        <v>1805</v>
      </c>
      <c r="C989" s="4" t="s">
        <v>26</v>
      </c>
      <c r="D989" s="38" t="s">
        <v>1382</v>
      </c>
      <c r="E989" s="3">
        <v>7</v>
      </c>
      <c r="F989" s="3">
        <v>8</v>
      </c>
      <c r="G989" s="3">
        <v>2024</v>
      </c>
      <c r="H989" s="36" t="s">
        <v>82</v>
      </c>
      <c r="I989" s="7" t="s">
        <v>823</v>
      </c>
      <c r="J989" s="4" t="s">
        <v>150</v>
      </c>
      <c r="K989" s="3">
        <v>2</v>
      </c>
      <c r="L989" s="3">
        <v>0</v>
      </c>
      <c r="M989" s="4" t="s">
        <v>30</v>
      </c>
      <c r="N989" s="4">
        <v>0</v>
      </c>
      <c r="O989" s="4" t="s">
        <v>74</v>
      </c>
      <c r="P989" s="3" t="s">
        <v>31</v>
      </c>
      <c r="Q989" s="11">
        <v>11</v>
      </c>
      <c r="R989" s="3" t="s">
        <v>31</v>
      </c>
      <c r="S989" s="5" t="s">
        <v>56</v>
      </c>
      <c r="T989" s="4" t="str">
        <f>IF(OR(Tabela1[[#This Row],[Grau de Risco]]="Médio",Tabela1[[#This Row],[Grau de Risco]]="Baixo"),"Não","Sim")</f>
        <v>Não</v>
      </c>
    </row>
    <row r="990" spans="1:20" hidden="1">
      <c r="A990" s="4" t="s">
        <v>8</v>
      </c>
      <c r="B990" s="10" t="s">
        <v>1805</v>
      </c>
      <c r="C990" s="4" t="s">
        <v>125</v>
      </c>
      <c r="D990" s="58" t="s">
        <v>1409</v>
      </c>
      <c r="E990" s="3">
        <v>11</v>
      </c>
      <c r="F990" s="3">
        <v>4</v>
      </c>
      <c r="G990" s="3">
        <v>2024</v>
      </c>
      <c r="H990" s="5" t="s">
        <v>71</v>
      </c>
      <c r="I990" s="7" t="s">
        <v>861</v>
      </c>
      <c r="J990" s="4" t="s">
        <v>61</v>
      </c>
      <c r="K990" s="3">
        <v>0</v>
      </c>
      <c r="L990" s="3">
        <v>0</v>
      </c>
      <c r="M990" s="4" t="s">
        <v>30</v>
      </c>
      <c r="N990" s="4">
        <v>0</v>
      </c>
      <c r="O990" s="4" t="s">
        <v>4</v>
      </c>
      <c r="P990" s="3" t="s">
        <v>52</v>
      </c>
      <c r="Q990" s="11">
        <v>11</v>
      </c>
      <c r="R990" s="3" t="s">
        <v>31</v>
      </c>
      <c r="S990" s="10" t="s">
        <v>4</v>
      </c>
      <c r="T990" s="4" t="str">
        <f>IF(OR(Tabela1[[#This Row],[Grau de Risco]]="Médio",Tabela1[[#This Row],[Grau de Risco]]="Baixo"),"Não","Sim")</f>
        <v>Não</v>
      </c>
    </row>
    <row r="991" spans="1:20" hidden="1">
      <c r="A991" s="4" t="s">
        <v>8</v>
      </c>
      <c r="B991" s="10" t="s">
        <v>1805</v>
      </c>
      <c r="C991" s="4" t="s">
        <v>89</v>
      </c>
      <c r="D991" s="58" t="s">
        <v>1409</v>
      </c>
      <c r="E991" s="3">
        <v>18</v>
      </c>
      <c r="F991" s="3">
        <v>4</v>
      </c>
      <c r="G991" s="3">
        <v>2024</v>
      </c>
      <c r="H991" s="36" t="s">
        <v>107</v>
      </c>
      <c r="I991" s="7" t="s">
        <v>881</v>
      </c>
      <c r="J991" s="4" t="s">
        <v>76</v>
      </c>
      <c r="K991" s="3" t="s">
        <v>44</v>
      </c>
      <c r="L991" s="3" t="s">
        <v>44</v>
      </c>
      <c r="M991" s="4"/>
      <c r="N991" s="4" t="s">
        <v>44</v>
      </c>
      <c r="O991" s="4" t="s">
        <v>88</v>
      </c>
      <c r="P991" s="3" t="s">
        <v>52</v>
      </c>
      <c r="Q991" s="11">
        <v>15</v>
      </c>
      <c r="R991" s="3" t="s">
        <v>52</v>
      </c>
      <c r="S991" s="5" t="s">
        <v>56</v>
      </c>
      <c r="T991" s="4" t="str">
        <f>IF(OR(Tabela1[[#This Row],[Grau de Risco]]="Médio",Tabela1[[#This Row],[Grau de Risco]]="Baixo"),"Não","Sim")</f>
        <v>Não</v>
      </c>
    </row>
    <row r="992" spans="1:20" hidden="1">
      <c r="A992" s="4" t="s">
        <v>7</v>
      </c>
      <c r="B992" s="10" t="s">
        <v>1797</v>
      </c>
      <c r="C992" s="4" t="s">
        <v>252</v>
      </c>
      <c r="D992" s="5" t="s">
        <v>36</v>
      </c>
      <c r="E992" s="3">
        <v>14</v>
      </c>
      <c r="F992" s="3">
        <v>9</v>
      </c>
      <c r="G992" s="3">
        <v>2024</v>
      </c>
      <c r="H992" s="4" t="s">
        <v>27</v>
      </c>
      <c r="I992" s="7" t="s">
        <v>936</v>
      </c>
      <c r="J992" s="4" t="s">
        <v>111</v>
      </c>
      <c r="K992" s="3"/>
      <c r="L992" s="3"/>
      <c r="M992" s="4"/>
      <c r="N992" s="4"/>
      <c r="O992" s="4" t="s">
        <v>4</v>
      </c>
      <c r="P992" s="3"/>
      <c r="Q992" s="11">
        <v>15</v>
      </c>
      <c r="R992" s="3" t="s">
        <v>52</v>
      </c>
      <c r="S992" s="10" t="s">
        <v>4</v>
      </c>
      <c r="T992" s="4" t="str">
        <f>IF(OR(Tabela1[[#This Row],[Grau de Risco]]="Médio",Tabela1[[#This Row],[Grau de Risco]]="Baixo"),"Não","Sim")</f>
        <v>Não</v>
      </c>
    </row>
    <row r="993" spans="1:20">
      <c r="A993" s="4" t="s">
        <v>7</v>
      </c>
      <c r="B993" s="10" t="s">
        <v>1809</v>
      </c>
      <c r="C993" s="4" t="s">
        <v>125</v>
      </c>
      <c r="D993" s="38" t="s">
        <v>47</v>
      </c>
      <c r="E993" s="3">
        <v>19</v>
      </c>
      <c r="F993" s="3">
        <v>1</v>
      </c>
      <c r="G993" s="3">
        <v>2024</v>
      </c>
      <c r="H993" s="5" t="s">
        <v>71</v>
      </c>
      <c r="I993" s="7" t="s">
        <v>1693</v>
      </c>
      <c r="J993" s="4" t="s">
        <v>35</v>
      </c>
      <c r="K993" s="3" t="s">
        <v>44</v>
      </c>
      <c r="L993" s="3" t="s">
        <v>44</v>
      </c>
      <c r="M993" s="4"/>
      <c r="N993" s="4" t="s">
        <v>44</v>
      </c>
      <c r="O993" s="4"/>
      <c r="P993" s="3"/>
      <c r="Q993" s="11">
        <v>14</v>
      </c>
      <c r="R993" s="3" t="s">
        <v>52</v>
      </c>
      <c r="S993" s="10" t="s">
        <v>32</v>
      </c>
      <c r="T993" s="4" t="str">
        <f>IF(OR(Tabela1[[#This Row],[Grau de Risco]]="Médio",Tabela1[[#This Row],[Grau de Risco]]="Baixo"),"Não","Sim")</f>
        <v>Não</v>
      </c>
    </row>
    <row r="994" spans="1:20">
      <c r="A994" s="4" t="s">
        <v>7</v>
      </c>
      <c r="B994" s="10" t="s">
        <v>1809</v>
      </c>
      <c r="C994" s="4" t="s">
        <v>133</v>
      </c>
      <c r="D994" s="38" t="s">
        <v>1393</v>
      </c>
      <c r="E994" s="3">
        <v>16</v>
      </c>
      <c r="F994" s="3">
        <v>7</v>
      </c>
      <c r="G994" s="3">
        <v>2024</v>
      </c>
      <c r="H994" s="36" t="s">
        <v>33</v>
      </c>
      <c r="I994" s="7" t="s">
        <v>1694</v>
      </c>
      <c r="J994" s="4" t="s">
        <v>29</v>
      </c>
      <c r="K994" s="3" t="s">
        <v>44</v>
      </c>
      <c r="L994" s="3" t="s">
        <v>44</v>
      </c>
      <c r="M994" s="4"/>
      <c r="N994" s="4" t="s">
        <v>44</v>
      </c>
      <c r="O994" s="4"/>
      <c r="P994" s="3"/>
      <c r="Q994" s="11">
        <v>11</v>
      </c>
      <c r="R994" s="3" t="s">
        <v>31</v>
      </c>
      <c r="S994" s="10" t="s">
        <v>32</v>
      </c>
      <c r="T994" s="4" t="str">
        <f>IF(OR(Tabela1[[#This Row],[Grau de Risco]]="Médio",Tabela1[[#This Row],[Grau de Risco]]="Baixo"),"Não","Sim")</f>
        <v>Não</v>
      </c>
    </row>
    <row r="995" spans="1:20" hidden="1">
      <c r="A995" s="4" t="s">
        <v>2</v>
      </c>
      <c r="B995" s="10" t="s">
        <v>1800</v>
      </c>
      <c r="C995" s="4" t="s">
        <v>81</v>
      </c>
      <c r="D995" s="38" t="s">
        <v>1382</v>
      </c>
      <c r="E995" s="3">
        <v>7</v>
      </c>
      <c r="F995" s="3">
        <v>2</v>
      </c>
      <c r="G995" s="3">
        <v>2024</v>
      </c>
      <c r="H995" s="5" t="s">
        <v>71</v>
      </c>
      <c r="I995" s="7" t="s">
        <v>989</v>
      </c>
      <c r="J995" s="4" t="s">
        <v>54</v>
      </c>
      <c r="K995" s="3">
        <v>7</v>
      </c>
      <c r="L995" s="3"/>
      <c r="M995" s="4" t="s">
        <v>30</v>
      </c>
      <c r="N995" s="4" t="s">
        <v>44</v>
      </c>
      <c r="O995" s="4" t="s">
        <v>45</v>
      </c>
      <c r="P995" s="3" t="s">
        <v>31</v>
      </c>
      <c r="Q995" s="11">
        <v>11</v>
      </c>
      <c r="R995" s="3" t="s">
        <v>31</v>
      </c>
      <c r="S995" s="10" t="s">
        <v>178</v>
      </c>
      <c r="T995" s="4" t="str">
        <f>IF(OR(Tabela1[[#This Row],[Grau de Risco]]="Médio",Tabela1[[#This Row],[Grau de Risco]]="Baixo"),"Não","Sim")</f>
        <v>Não</v>
      </c>
    </row>
    <row r="996" spans="1:20" hidden="1">
      <c r="A996" s="52" t="s">
        <v>8</v>
      </c>
      <c r="B996" s="53" t="s">
        <v>1800</v>
      </c>
      <c r="C996" s="4" t="s">
        <v>252</v>
      </c>
      <c r="D996" s="38" t="s">
        <v>1320</v>
      </c>
      <c r="E996" s="3">
        <v>22</v>
      </c>
      <c r="F996" s="3">
        <v>4</v>
      </c>
      <c r="G996" s="3">
        <v>2024</v>
      </c>
      <c r="H996" s="5" t="s">
        <v>256</v>
      </c>
      <c r="I996" s="7" t="s">
        <v>996</v>
      </c>
      <c r="J996" s="4" t="s">
        <v>54</v>
      </c>
      <c r="K996" s="3">
        <v>0</v>
      </c>
      <c r="L996" s="3" t="s">
        <v>80</v>
      </c>
      <c r="M996" s="4" t="s">
        <v>30</v>
      </c>
      <c r="N996" s="4" t="s">
        <v>80</v>
      </c>
      <c r="O996" s="4" t="s">
        <v>4</v>
      </c>
      <c r="P996" s="3" t="s">
        <v>52</v>
      </c>
      <c r="Q996" s="11">
        <v>16</v>
      </c>
      <c r="R996" s="3" t="s">
        <v>52</v>
      </c>
      <c r="S996" s="5" t="s">
        <v>56</v>
      </c>
      <c r="T996" s="4" t="str">
        <f>IF(OR(Tabela1[[#This Row],[Grau de Risco]]="Médio",Tabela1[[#This Row],[Grau de Risco]]="Baixo"),"Não","Sim")</f>
        <v>Não</v>
      </c>
    </row>
    <row r="997" spans="1:20" hidden="1">
      <c r="A997" s="4" t="s">
        <v>8</v>
      </c>
      <c r="B997" s="10" t="s">
        <v>1805</v>
      </c>
      <c r="C997" s="4" t="s">
        <v>97</v>
      </c>
      <c r="D997" s="38" t="s">
        <v>1382</v>
      </c>
      <c r="E997" s="3">
        <v>11</v>
      </c>
      <c r="F997" s="3">
        <v>9</v>
      </c>
      <c r="G997" s="3">
        <v>2024</v>
      </c>
      <c r="H997" s="36" t="s">
        <v>66</v>
      </c>
      <c r="I997" s="7" t="s">
        <v>1038</v>
      </c>
      <c r="J997" s="4" t="s">
        <v>69</v>
      </c>
      <c r="K997" s="3" t="s">
        <v>44</v>
      </c>
      <c r="L997" s="3" t="s">
        <v>44</v>
      </c>
      <c r="M997" s="4" t="s">
        <v>30</v>
      </c>
      <c r="N997" s="4" t="s">
        <v>44</v>
      </c>
      <c r="O997" s="4" t="s">
        <v>70</v>
      </c>
      <c r="P997" s="3" t="s">
        <v>52</v>
      </c>
      <c r="Q997" s="11">
        <v>15</v>
      </c>
      <c r="R997" s="3" t="s">
        <v>52</v>
      </c>
      <c r="S997" s="5" t="s">
        <v>56</v>
      </c>
      <c r="T997" s="4" t="str">
        <f>IF(OR(Tabela1[[#This Row],[Grau de Risco]]="Médio",Tabela1[[#This Row],[Grau de Risco]]="Baixo"),"Não","Sim")</f>
        <v>Não</v>
      </c>
    </row>
    <row r="998" spans="1:20">
      <c r="A998" s="4" t="s">
        <v>7</v>
      </c>
      <c r="B998" s="10" t="s">
        <v>1809</v>
      </c>
      <c r="C998" s="4" t="s">
        <v>97</v>
      </c>
      <c r="D998" s="38" t="s">
        <v>1393</v>
      </c>
      <c r="E998" s="3">
        <v>2</v>
      </c>
      <c r="F998" s="3">
        <v>7</v>
      </c>
      <c r="G998" s="3">
        <v>2024</v>
      </c>
      <c r="H998" s="36" t="s">
        <v>375</v>
      </c>
      <c r="I998" s="7" t="s">
        <v>1050</v>
      </c>
      <c r="J998" s="4" t="s">
        <v>84</v>
      </c>
      <c r="K998" s="3" t="s">
        <v>44</v>
      </c>
      <c r="L998" s="3" t="s">
        <v>44</v>
      </c>
      <c r="M998" s="4"/>
      <c r="N998" s="4" t="s">
        <v>44</v>
      </c>
      <c r="O998" s="4"/>
      <c r="P998" s="3"/>
      <c r="Q998" s="11">
        <v>11</v>
      </c>
      <c r="R998" s="3" t="s">
        <v>31</v>
      </c>
      <c r="S998" s="10" t="s">
        <v>63</v>
      </c>
      <c r="T998" s="4" t="str">
        <f>IF(OR(Tabela1[[#This Row],[Grau de Risco]]="Médio",Tabela1[[#This Row],[Grau de Risco]]="Baixo"),"Não","Sim")</f>
        <v>Não</v>
      </c>
    </row>
    <row r="999" spans="1:20">
      <c r="A999" s="4" t="s">
        <v>7</v>
      </c>
      <c r="B999" s="10" t="s">
        <v>1809</v>
      </c>
      <c r="C999" s="4" t="s">
        <v>97</v>
      </c>
      <c r="D999" s="38" t="s">
        <v>1320</v>
      </c>
      <c r="E999" s="3">
        <v>12</v>
      </c>
      <c r="F999" s="3">
        <v>8</v>
      </c>
      <c r="G999" s="3">
        <v>2024</v>
      </c>
      <c r="H999" s="36" t="s">
        <v>33</v>
      </c>
      <c r="I999" s="7" t="s">
        <v>1826</v>
      </c>
      <c r="J999" s="4" t="s">
        <v>84</v>
      </c>
      <c r="K999" s="3" t="s">
        <v>44</v>
      </c>
      <c r="L999" s="3" t="s">
        <v>44</v>
      </c>
      <c r="M999" s="4"/>
      <c r="N999" s="4" t="s">
        <v>44</v>
      </c>
      <c r="O999" s="4"/>
      <c r="P999" s="3"/>
      <c r="Q999" s="11">
        <v>15</v>
      </c>
      <c r="R999" s="3" t="s">
        <v>52</v>
      </c>
      <c r="S999" s="10" t="s">
        <v>63</v>
      </c>
      <c r="T999" s="4" t="str">
        <f>IF(OR(Tabela1[[#This Row],[Grau de Risco]]="Médio",Tabela1[[#This Row],[Grau de Risco]]="Baixo"),"Não","Sim")</f>
        <v>Não</v>
      </c>
    </row>
    <row r="1000" spans="1:20">
      <c r="A1000" s="4" t="s">
        <v>7</v>
      </c>
      <c r="B1000" s="10" t="s">
        <v>1809</v>
      </c>
      <c r="C1000" s="4"/>
      <c r="D1000" s="38" t="s">
        <v>1320</v>
      </c>
      <c r="E1000" s="3">
        <v>1</v>
      </c>
      <c r="F1000" s="3">
        <v>4</v>
      </c>
      <c r="G1000" s="3">
        <v>2024</v>
      </c>
      <c r="H1000" s="5" t="s">
        <v>209</v>
      </c>
      <c r="I1000" s="7" t="s">
        <v>1695</v>
      </c>
      <c r="J1000" s="4" t="s">
        <v>115</v>
      </c>
      <c r="K1000" s="3" t="s">
        <v>62</v>
      </c>
      <c r="L1000" s="3"/>
      <c r="M1000" s="4"/>
      <c r="N1000" s="4"/>
      <c r="O1000" s="4"/>
      <c r="P1000" s="3"/>
      <c r="Q1000" s="11">
        <v>7</v>
      </c>
      <c r="R1000" s="3" t="s">
        <v>102</v>
      </c>
      <c r="S1000" s="10" t="s">
        <v>63</v>
      </c>
      <c r="T1000" s="4" t="str">
        <f>IF(OR(Tabela1[[#This Row],[Grau de Risco]]="Médio",Tabela1[[#This Row],[Grau de Risco]]="Baixo"),"Não","Sim")</f>
        <v>Sim</v>
      </c>
    </row>
    <row r="1001" spans="1:20" hidden="1">
      <c r="A1001" s="28" t="s">
        <v>11</v>
      </c>
      <c r="B1001" s="56" t="s">
        <v>1797</v>
      </c>
      <c r="C1001" s="28" t="s">
        <v>252</v>
      </c>
      <c r="D1001" s="38" t="s">
        <v>1320</v>
      </c>
      <c r="E1001" s="32">
        <v>24</v>
      </c>
      <c r="F1001" s="32">
        <v>3</v>
      </c>
      <c r="G1001" s="32">
        <v>2025</v>
      </c>
      <c r="H1001" s="34" t="s">
        <v>256</v>
      </c>
      <c r="I1001" s="29" t="s">
        <v>1199</v>
      </c>
      <c r="J1001" s="28" t="s">
        <v>61</v>
      </c>
      <c r="K1001" s="32"/>
      <c r="L1001" s="32">
        <v>6000</v>
      </c>
      <c r="M1001" s="28"/>
      <c r="N1001" s="28"/>
      <c r="O1001" s="28" t="s">
        <v>101</v>
      </c>
      <c r="P1001" s="32" t="s">
        <v>102</v>
      </c>
      <c r="Q1001" s="35">
        <v>4</v>
      </c>
      <c r="R1001" s="32" t="s">
        <v>102</v>
      </c>
      <c r="S1001" s="33" t="s">
        <v>63</v>
      </c>
      <c r="T1001" s="4" t="str">
        <f>IF(OR(Tabela1[[#This Row],[Grau de Risco]]="Médio",Tabela1[[#This Row],[Grau de Risco]]="Baixo"),"Não","Sim")</f>
        <v>Sim</v>
      </c>
    </row>
    <row r="1002" spans="1:20" hidden="1">
      <c r="A1002" s="4" t="s">
        <v>9</v>
      </c>
      <c r="B1002" s="10" t="s">
        <v>1805</v>
      </c>
      <c r="C1002" s="4" t="s">
        <v>125</v>
      </c>
      <c r="D1002" s="38" t="s">
        <v>1382</v>
      </c>
      <c r="E1002" s="3">
        <v>9</v>
      </c>
      <c r="F1002" s="3">
        <v>4</v>
      </c>
      <c r="G1002" s="3">
        <v>2025</v>
      </c>
      <c r="H1002" s="36" t="s">
        <v>112</v>
      </c>
      <c r="I1002" s="7" t="s">
        <v>1222</v>
      </c>
      <c r="J1002" s="4" t="s">
        <v>35</v>
      </c>
      <c r="K1002" s="3">
        <v>1</v>
      </c>
      <c r="L1002" s="3">
        <v>0</v>
      </c>
      <c r="M1002" s="4" t="s">
        <v>30</v>
      </c>
      <c r="N1002" s="4"/>
      <c r="O1002" s="4" t="s">
        <v>45</v>
      </c>
      <c r="P1002" s="3" t="s">
        <v>31</v>
      </c>
      <c r="Q1002" s="11">
        <v>11</v>
      </c>
      <c r="R1002" s="3" t="s">
        <v>31</v>
      </c>
      <c r="S1002" s="10" t="s">
        <v>63</v>
      </c>
      <c r="T1002" s="4" t="str">
        <f>IF(OR(Tabela1[[#This Row],[Grau de Risco]]="Médio",Tabela1[[#This Row],[Grau de Risco]]="Baixo"),"Não","Sim")</f>
        <v>Não</v>
      </c>
    </row>
    <row r="1003" spans="1:20" hidden="1">
      <c r="A1003" s="4" t="s">
        <v>8</v>
      </c>
      <c r="B1003" s="10" t="s">
        <v>1805</v>
      </c>
      <c r="C1003" s="4" t="s">
        <v>252</v>
      </c>
      <c r="D1003" s="38" t="s">
        <v>1393</v>
      </c>
      <c r="E1003" s="3">
        <v>13</v>
      </c>
      <c r="F1003" s="3">
        <v>5</v>
      </c>
      <c r="G1003" s="3">
        <v>2025</v>
      </c>
      <c r="H1003" s="5" t="s">
        <v>71</v>
      </c>
      <c r="I1003" s="7" t="s">
        <v>1258</v>
      </c>
      <c r="J1003" s="4" t="s">
        <v>76</v>
      </c>
      <c r="K1003" s="3" t="s">
        <v>44</v>
      </c>
      <c r="L1003" s="3" t="s">
        <v>44</v>
      </c>
      <c r="M1003" s="4"/>
      <c r="N1003" s="4"/>
      <c r="O1003" s="4"/>
      <c r="P1003" s="3" t="s">
        <v>52</v>
      </c>
      <c r="Q1003" s="11">
        <v>14</v>
      </c>
      <c r="R1003" s="3" t="s">
        <v>52</v>
      </c>
      <c r="S1003" s="5" t="s">
        <v>56</v>
      </c>
      <c r="T1003" s="4" t="str">
        <f>IF(OR(Tabela1[[#This Row],[Grau de Risco]]="Médio",Tabela1[[#This Row],[Grau de Risco]]="Baixo"),"Não","Sim")</f>
        <v>Não</v>
      </c>
    </row>
    <row r="1004" spans="1:20">
      <c r="A1004" s="4" t="s">
        <v>7</v>
      </c>
      <c r="B1004" s="10" t="s">
        <v>1809</v>
      </c>
      <c r="C1004" s="4" t="s">
        <v>26</v>
      </c>
      <c r="D1004" s="58" t="s">
        <v>1409</v>
      </c>
      <c r="E1004" s="3">
        <v>5</v>
      </c>
      <c r="F1004" s="3">
        <v>6</v>
      </c>
      <c r="G1004" s="3">
        <v>2025</v>
      </c>
      <c r="H1004" s="36" t="s">
        <v>107</v>
      </c>
      <c r="I1004" s="7" t="s">
        <v>1282</v>
      </c>
      <c r="J1004" s="4" t="s">
        <v>69</v>
      </c>
      <c r="K1004" s="3" t="s">
        <v>44</v>
      </c>
      <c r="L1004" s="3" t="s">
        <v>44</v>
      </c>
      <c r="M1004" s="4"/>
      <c r="N1004" s="4" t="s">
        <v>44</v>
      </c>
      <c r="O1004" s="4"/>
      <c r="P1004" s="3"/>
      <c r="Q1004" s="11">
        <v>4</v>
      </c>
      <c r="R1004" s="3" t="s">
        <v>102</v>
      </c>
      <c r="S1004" s="10" t="s">
        <v>178</v>
      </c>
      <c r="T1004" s="4" t="str">
        <f>IF(OR(Tabela1[[#This Row],[Grau de Risco]]="Médio",Tabela1[[#This Row],[Grau de Risco]]="Baixo"),"Não","Sim")</f>
        <v>Sim</v>
      </c>
    </row>
    <row r="1005" spans="1:20" hidden="1">
      <c r="A1005" s="4" t="s">
        <v>7</v>
      </c>
      <c r="B1005" s="10" t="s">
        <v>1797</v>
      </c>
      <c r="C1005" s="4" t="s">
        <v>252</v>
      </c>
      <c r="D1005" s="58" t="s">
        <v>1409</v>
      </c>
      <c r="E1005" s="3">
        <v>12</v>
      </c>
      <c r="F1005" s="3">
        <v>6</v>
      </c>
      <c r="G1005" s="3">
        <v>2025</v>
      </c>
      <c r="H1005" s="36" t="s">
        <v>107</v>
      </c>
      <c r="I1005" s="7" t="s">
        <v>1607</v>
      </c>
      <c r="J1005" s="4" t="s">
        <v>93</v>
      </c>
      <c r="K1005" s="3">
        <v>0</v>
      </c>
      <c r="L1005" s="3">
        <v>0</v>
      </c>
      <c r="M1005" s="4" t="s">
        <v>30</v>
      </c>
      <c r="N1005" s="4">
        <v>0</v>
      </c>
      <c r="O1005" s="4"/>
      <c r="P1005" s="3"/>
      <c r="Q1005" s="11">
        <v>14</v>
      </c>
      <c r="R1005" s="3" t="s">
        <v>52</v>
      </c>
      <c r="S1005" s="5" t="s">
        <v>56</v>
      </c>
      <c r="T1005" s="4" t="str">
        <f>IF(OR(Tabela1[[#This Row],[Grau de Risco]]="Médio",Tabela1[[#This Row],[Grau de Risco]]="Baixo"),"Não","Sim")</f>
        <v>Não</v>
      </c>
    </row>
    <row r="1006" spans="1:20">
      <c r="A1006" s="28" t="s">
        <v>7</v>
      </c>
      <c r="B1006" s="10" t="s">
        <v>1809</v>
      </c>
      <c r="C1006" s="28" t="s">
        <v>26</v>
      </c>
      <c r="D1006" s="38" t="s">
        <v>1382</v>
      </c>
      <c r="E1006" s="32">
        <v>25</v>
      </c>
      <c r="F1006" s="32">
        <v>6</v>
      </c>
      <c r="G1006" s="32">
        <v>2025</v>
      </c>
      <c r="H1006" s="5" t="s">
        <v>123</v>
      </c>
      <c r="I1006" s="29" t="s">
        <v>1323</v>
      </c>
      <c r="J1006" s="28" t="s">
        <v>61</v>
      </c>
      <c r="K1006" s="32"/>
      <c r="L1006" s="32"/>
      <c r="M1006" s="28"/>
      <c r="N1006" s="28"/>
      <c r="O1006" s="28" t="s">
        <v>77</v>
      </c>
      <c r="P1006" s="32"/>
      <c r="Q1006" s="11">
        <v>5</v>
      </c>
      <c r="R1006" s="3" t="s">
        <v>102</v>
      </c>
      <c r="S1006" s="33" t="s">
        <v>63</v>
      </c>
      <c r="T1006" s="4" t="str">
        <f>IF(OR(Tabela1[[#This Row],[Grau de Risco]]="Médio",Tabela1[[#This Row],[Grau de Risco]]="Baixo"),"Não","Sim")</f>
        <v>Sim</v>
      </c>
    </row>
    <row r="1007" spans="1:20">
      <c r="A1007" s="28" t="s">
        <v>2</v>
      </c>
      <c r="B1007" s="10" t="s">
        <v>1809</v>
      </c>
      <c r="C1007" s="28" t="s">
        <v>26</v>
      </c>
      <c r="D1007" s="38" t="s">
        <v>47</v>
      </c>
      <c r="E1007" s="32">
        <v>4</v>
      </c>
      <c r="F1007" s="32">
        <v>7</v>
      </c>
      <c r="G1007" s="32">
        <v>2025</v>
      </c>
      <c r="H1007" s="36" t="s">
        <v>82</v>
      </c>
      <c r="I1007" s="29" t="s">
        <v>1334</v>
      </c>
      <c r="J1007" s="28" t="s">
        <v>91</v>
      </c>
      <c r="K1007" s="32">
        <v>45</v>
      </c>
      <c r="L1007" s="32"/>
      <c r="M1007" s="28"/>
      <c r="N1007" s="28"/>
      <c r="O1007" s="28" t="s">
        <v>39</v>
      </c>
      <c r="P1007" s="32" t="s">
        <v>31</v>
      </c>
      <c r="Q1007" s="35">
        <v>7</v>
      </c>
      <c r="R1007" s="32" t="s">
        <v>102</v>
      </c>
      <c r="S1007" s="5" t="s">
        <v>40</v>
      </c>
      <c r="T1007" s="4" t="str">
        <f>IF(OR(Tabela1[[#This Row],[Grau de Risco]]="Médio",Tabela1[[#This Row],[Grau de Risco]]="Baixo"),"Não","Sim")</f>
        <v>Sim</v>
      </c>
    </row>
    <row r="1008" spans="1:20" hidden="1">
      <c r="A1008" s="28" t="s">
        <v>7</v>
      </c>
      <c r="B1008" s="33" t="s">
        <v>1800</v>
      </c>
      <c r="C1008" s="28" t="s">
        <v>252</v>
      </c>
      <c r="D1008" s="38" t="s">
        <v>1393</v>
      </c>
      <c r="E1008" s="32">
        <v>14</v>
      </c>
      <c r="F1008" s="32">
        <v>10</v>
      </c>
      <c r="G1008" s="32">
        <v>2025</v>
      </c>
      <c r="H1008" s="38" t="s">
        <v>27</v>
      </c>
      <c r="I1008" s="7" t="s">
        <v>1500</v>
      </c>
      <c r="J1008" s="28" t="s">
        <v>61</v>
      </c>
      <c r="K1008" s="32" t="s">
        <v>80</v>
      </c>
      <c r="L1008" s="32" t="s">
        <v>80</v>
      </c>
      <c r="M1008" s="28" t="s">
        <v>30</v>
      </c>
      <c r="N1008" s="28" t="s">
        <v>80</v>
      </c>
      <c r="O1008" s="4" t="s">
        <v>4</v>
      </c>
      <c r="P1008" s="32" t="s">
        <v>44</v>
      </c>
      <c r="Q1008" s="35">
        <v>10</v>
      </c>
      <c r="R1008" s="32" t="s">
        <v>102</v>
      </c>
      <c r="S1008" s="33" t="s">
        <v>56</v>
      </c>
      <c r="T1008" s="4" t="str">
        <f>IF(OR(Tabela1[[#This Row],[Grau de Risco]]="Médio",Tabela1[[#This Row],[Grau de Risco]]="Baixo"),"Não","Sim")</f>
        <v>Sim</v>
      </c>
    </row>
    <row r="1009" spans="1:20">
      <c r="A1009" s="28" t="s">
        <v>2</v>
      </c>
      <c r="B1009" s="10" t="s">
        <v>1809</v>
      </c>
      <c r="C1009" s="28" t="s">
        <v>81</v>
      </c>
      <c r="D1009" s="28" t="s">
        <v>1320</v>
      </c>
      <c r="E1009" s="32">
        <v>27</v>
      </c>
      <c r="F1009" s="32">
        <v>10</v>
      </c>
      <c r="G1009" s="32">
        <v>2025</v>
      </c>
      <c r="H1009" s="34" t="s">
        <v>86</v>
      </c>
      <c r="I1009" s="29" t="s">
        <v>1521</v>
      </c>
      <c r="J1009" s="28" t="s">
        <v>76</v>
      </c>
      <c r="K1009" s="32">
        <v>3</v>
      </c>
      <c r="L1009" s="32">
        <v>0</v>
      </c>
      <c r="M1009" s="28" t="s">
        <v>30</v>
      </c>
      <c r="N1009" s="28"/>
      <c r="O1009" s="28"/>
      <c r="P1009" s="32" t="s">
        <v>31</v>
      </c>
      <c r="Q1009" s="35">
        <v>9</v>
      </c>
      <c r="R1009" s="32" t="s">
        <v>31</v>
      </c>
      <c r="S1009" s="33" t="s">
        <v>56</v>
      </c>
      <c r="T1009" s="4" t="str">
        <f>IF(OR(Tabela1[[#This Row],[Grau de Risco]]="Médio",Tabela1[[#This Row],[Grau de Risco]]="Baixo"),"Não","Sim")</f>
        <v>Não</v>
      </c>
    </row>
    <row r="1010" spans="1:20" hidden="1">
      <c r="A1010" s="28" t="s">
        <v>2</v>
      </c>
      <c r="B1010" s="33" t="s">
        <v>1805</v>
      </c>
      <c r="C1010" s="28" t="s">
        <v>26</v>
      </c>
      <c r="D1010" s="28" t="s">
        <v>1409</v>
      </c>
      <c r="E1010" s="32">
        <v>30</v>
      </c>
      <c r="F1010" s="32">
        <v>10</v>
      </c>
      <c r="G1010" s="32">
        <v>2025</v>
      </c>
      <c r="H1010" s="34" t="s">
        <v>66</v>
      </c>
      <c r="I1010" s="29" t="s">
        <v>1522</v>
      </c>
      <c r="J1010" s="28" t="s">
        <v>76</v>
      </c>
      <c r="K1010" s="32">
        <v>2</v>
      </c>
      <c r="L1010" s="32">
        <v>0</v>
      </c>
      <c r="M1010" s="28" t="s">
        <v>30</v>
      </c>
      <c r="N1010" s="28"/>
      <c r="O1010" s="28" t="s">
        <v>99</v>
      </c>
      <c r="P1010" s="32" t="s">
        <v>52</v>
      </c>
      <c r="Q1010" s="35">
        <v>14</v>
      </c>
      <c r="R1010" s="3" t="s">
        <v>52</v>
      </c>
      <c r="S1010" s="33" t="s">
        <v>56</v>
      </c>
      <c r="T1010" s="4" t="str">
        <f>IF(OR(Tabela1[[#This Row],[Grau de Risco]]="Médio",Tabela1[[#This Row],[Grau de Risco]]="Baixo"),"Não","Sim")</f>
        <v>Não</v>
      </c>
    </row>
    <row r="1011" spans="1:20">
      <c r="A1011" s="5" t="s">
        <v>2</v>
      </c>
      <c r="B1011" s="10" t="s">
        <v>1809</v>
      </c>
      <c r="C1011" s="5" t="s">
        <v>125</v>
      </c>
      <c r="D1011" s="38" t="s">
        <v>1320</v>
      </c>
      <c r="E1011" s="3">
        <v>9</v>
      </c>
      <c r="F1011" s="2">
        <v>11</v>
      </c>
      <c r="G1011" s="3">
        <v>2021</v>
      </c>
      <c r="H1011" s="34" t="s">
        <v>59</v>
      </c>
      <c r="I1011" s="7" t="s">
        <v>166</v>
      </c>
      <c r="J1011" s="4" t="s">
        <v>76</v>
      </c>
      <c r="K1011" s="3">
        <v>51</v>
      </c>
      <c r="L1011" s="3">
        <v>0</v>
      </c>
      <c r="M1011" s="5" t="s">
        <v>30</v>
      </c>
      <c r="N1011" s="4">
        <v>51</v>
      </c>
      <c r="O1011" s="4" t="s">
        <v>167</v>
      </c>
      <c r="P1011" s="3" t="s">
        <v>31</v>
      </c>
      <c r="Q1011" s="3">
        <v>16</v>
      </c>
      <c r="R1011" s="2" t="s">
        <v>31</v>
      </c>
      <c r="S1011" s="10" t="s">
        <v>32</v>
      </c>
      <c r="T1011" s="4" t="str">
        <f>IF(OR(Tabela1[[#This Row],[Grau de Risco]]="Médio",Tabela1[[#This Row],[Grau de Risco]]="Baixo"),"Não","Sim")</f>
        <v>Não</v>
      </c>
    </row>
    <row r="1012" spans="1:20" hidden="1">
      <c r="A1012" s="5" t="s">
        <v>2</v>
      </c>
      <c r="B1012" s="4" t="s">
        <v>1805</v>
      </c>
      <c r="C1012" s="5" t="s">
        <v>26</v>
      </c>
      <c r="D1012" s="38" t="s">
        <v>1382</v>
      </c>
      <c r="E1012" s="3">
        <v>15</v>
      </c>
      <c r="F1012" s="2">
        <v>9</v>
      </c>
      <c r="G1012" s="3">
        <v>2021</v>
      </c>
      <c r="H1012" s="36" t="s">
        <v>112</v>
      </c>
      <c r="I1012" s="7" t="s">
        <v>182</v>
      </c>
      <c r="J1012" s="4" t="s">
        <v>50</v>
      </c>
      <c r="K1012" s="3">
        <v>5</v>
      </c>
      <c r="L1012" s="3">
        <v>0</v>
      </c>
      <c r="M1012" s="5" t="s">
        <v>30</v>
      </c>
      <c r="N1012" s="4">
        <v>5</v>
      </c>
      <c r="O1012" s="4" t="s">
        <v>129</v>
      </c>
      <c r="P1012" s="3" t="s">
        <v>52</v>
      </c>
      <c r="Q1012" s="3">
        <v>17</v>
      </c>
      <c r="R1012" s="2" t="s">
        <v>31</v>
      </c>
      <c r="S1012" s="10" t="s">
        <v>32</v>
      </c>
      <c r="T1012" s="4" t="str">
        <f>IF(OR(Tabela1[[#This Row],[Grau de Risco]]="Médio",Tabela1[[#This Row],[Grau de Risco]]="Baixo"),"Não","Sim")</f>
        <v>Não</v>
      </c>
    </row>
    <row r="1013" spans="1:20" hidden="1">
      <c r="A1013" s="5" t="s">
        <v>2</v>
      </c>
      <c r="B1013" s="6" t="s">
        <v>1805</v>
      </c>
      <c r="C1013" s="5" t="s">
        <v>26</v>
      </c>
      <c r="D1013" s="38" t="s">
        <v>47</v>
      </c>
      <c r="E1013" s="2">
        <v>15</v>
      </c>
      <c r="F1013" s="2">
        <v>7</v>
      </c>
      <c r="G1013" s="2">
        <v>2022</v>
      </c>
      <c r="H1013" s="36" t="s">
        <v>33</v>
      </c>
      <c r="I1013" s="5" t="s">
        <v>276</v>
      </c>
      <c r="J1013" s="5" t="s">
        <v>54</v>
      </c>
      <c r="K1013" s="2">
        <v>11</v>
      </c>
      <c r="L1013" s="2">
        <v>0</v>
      </c>
      <c r="M1013" s="5" t="s">
        <v>30</v>
      </c>
      <c r="N1013" s="5">
        <v>0</v>
      </c>
      <c r="O1013" s="5" t="s">
        <v>55</v>
      </c>
      <c r="P1013" s="2" t="s">
        <v>31</v>
      </c>
      <c r="Q1013" s="2">
        <v>13</v>
      </c>
      <c r="R1013" s="2" t="s">
        <v>31</v>
      </c>
      <c r="S1013" s="5" t="s">
        <v>56</v>
      </c>
      <c r="T1013" s="4" t="str">
        <f>IF(OR(Tabela1[[#This Row],[Grau de Risco]]="Médio",Tabela1[[#This Row],[Grau de Risco]]="Baixo"),"Não","Sim")</f>
        <v>Não</v>
      </c>
    </row>
    <row r="1014" spans="1:20">
      <c r="A1014" s="5" t="s">
        <v>2</v>
      </c>
      <c r="B1014" s="10" t="s">
        <v>1809</v>
      </c>
      <c r="C1014" s="5" t="s">
        <v>26</v>
      </c>
      <c r="D1014" s="38" t="s">
        <v>1320</v>
      </c>
      <c r="E1014" s="2">
        <v>24</v>
      </c>
      <c r="F1014" s="2">
        <v>1</v>
      </c>
      <c r="G1014" s="2">
        <v>2022</v>
      </c>
      <c r="H1014" s="36" t="s">
        <v>33</v>
      </c>
      <c r="I1014" s="5" t="s">
        <v>281</v>
      </c>
      <c r="J1014" s="5" t="s">
        <v>38</v>
      </c>
      <c r="K1014" s="2">
        <v>2</v>
      </c>
      <c r="L1014" s="2">
        <v>0</v>
      </c>
      <c r="M1014" s="5" t="s">
        <v>30</v>
      </c>
      <c r="N1014" s="5">
        <v>0</v>
      </c>
      <c r="O1014" s="5" t="s">
        <v>74</v>
      </c>
      <c r="P1014" s="2" t="s">
        <v>31</v>
      </c>
      <c r="Q1014" s="2">
        <v>13</v>
      </c>
      <c r="R1014" s="2" t="s">
        <v>31</v>
      </c>
      <c r="S1014" s="5" t="s">
        <v>56</v>
      </c>
      <c r="T1014" s="4" t="str">
        <f>IF(OR(Tabela1[[#This Row],[Grau de Risco]]="Médio",Tabela1[[#This Row],[Grau de Risco]]="Baixo"),"Não","Sim")</f>
        <v>Não</v>
      </c>
    </row>
    <row r="1015" spans="1:20" hidden="1">
      <c r="A1015" s="5" t="s">
        <v>2</v>
      </c>
      <c r="B1015" s="4" t="s">
        <v>1805</v>
      </c>
      <c r="C1015" s="5" t="s">
        <v>26</v>
      </c>
      <c r="D1015" s="38" t="s">
        <v>47</v>
      </c>
      <c r="E1015" s="3">
        <v>27</v>
      </c>
      <c r="F1015" s="2">
        <v>5</v>
      </c>
      <c r="G1015" s="3">
        <v>2022</v>
      </c>
      <c r="H1015" s="4" t="s">
        <v>27</v>
      </c>
      <c r="I1015" s="7" t="s">
        <v>370</v>
      </c>
      <c r="J1015" s="4" t="s">
        <v>69</v>
      </c>
      <c r="K1015" s="3">
        <v>6</v>
      </c>
      <c r="L1015" s="3">
        <v>0</v>
      </c>
      <c r="M1015" s="5" t="s">
        <v>30</v>
      </c>
      <c r="N1015" s="4">
        <v>6</v>
      </c>
      <c r="O1015" s="4" t="s">
        <v>45</v>
      </c>
      <c r="P1015" s="3" t="s">
        <v>52</v>
      </c>
      <c r="Q1015" s="3">
        <v>17</v>
      </c>
      <c r="R1015" s="2" t="s">
        <v>31</v>
      </c>
      <c r="S1015" s="10" t="s">
        <v>32</v>
      </c>
      <c r="T1015" s="4" t="str">
        <f>IF(OR(Tabela1[[#This Row],[Grau de Risco]]="Médio",Tabela1[[#This Row],[Grau de Risco]]="Baixo"),"Não","Sim")</f>
        <v>Não</v>
      </c>
    </row>
    <row r="1016" spans="1:20" hidden="1">
      <c r="A1016" s="4" t="s">
        <v>2</v>
      </c>
      <c r="B1016" s="10" t="s">
        <v>1793</v>
      </c>
      <c r="C1016" s="4"/>
      <c r="D1016" s="38" t="s">
        <v>1382</v>
      </c>
      <c r="E1016" s="3">
        <v>20</v>
      </c>
      <c r="F1016" s="3">
        <v>4</v>
      </c>
      <c r="G1016" s="3">
        <v>2022</v>
      </c>
      <c r="H1016" s="34" t="s">
        <v>59</v>
      </c>
      <c r="I1016" s="7" t="s">
        <v>373</v>
      </c>
      <c r="J1016" s="4" t="s">
        <v>290</v>
      </c>
      <c r="K1016" s="3">
        <v>1</v>
      </c>
      <c r="L1016" s="3">
        <v>0</v>
      </c>
      <c r="M1016" s="4" t="s">
        <v>30</v>
      </c>
      <c r="N1016" s="4">
        <v>0</v>
      </c>
      <c r="O1016" s="4" t="s">
        <v>129</v>
      </c>
      <c r="P1016" s="3" t="s">
        <v>52</v>
      </c>
      <c r="Q1016" s="11">
        <v>14</v>
      </c>
      <c r="R1016" s="3" t="s">
        <v>52</v>
      </c>
      <c r="S1016" s="5" t="s">
        <v>56</v>
      </c>
      <c r="T1016" s="4" t="str">
        <f>IF(OR(Tabela1[[#This Row],[Grau de Risco]]="Médio",Tabela1[[#This Row],[Grau de Risco]]="Baixo"),"Não","Sim")</f>
        <v>Não</v>
      </c>
    </row>
    <row r="1017" spans="1:20" hidden="1">
      <c r="A1017" s="4" t="s">
        <v>2</v>
      </c>
      <c r="B1017" s="10" t="s">
        <v>1805</v>
      </c>
      <c r="C1017" s="4" t="s">
        <v>133</v>
      </c>
      <c r="D1017" s="58" t="s">
        <v>1409</v>
      </c>
      <c r="E1017" s="3">
        <v>31</v>
      </c>
      <c r="F1017" s="3">
        <v>3</v>
      </c>
      <c r="G1017" s="3">
        <v>2022</v>
      </c>
      <c r="H1017" s="36" t="s">
        <v>33</v>
      </c>
      <c r="I1017" s="7" t="s">
        <v>380</v>
      </c>
      <c r="J1017" s="4" t="s">
        <v>61</v>
      </c>
      <c r="K1017" s="3" t="s">
        <v>62</v>
      </c>
      <c r="L1017" s="3">
        <v>0</v>
      </c>
      <c r="M1017" s="4" t="s">
        <v>30</v>
      </c>
      <c r="N1017" s="4"/>
      <c r="O1017" s="4" t="s">
        <v>4</v>
      </c>
      <c r="P1017" s="3" t="s">
        <v>52</v>
      </c>
      <c r="Q1017" s="11">
        <v>20</v>
      </c>
      <c r="R1017" s="3" t="str">
        <f>IF(Q1017="","",IF(Q1017&lt;4,"Crítico",IF(Q1017&lt;9,"Alto",IF(Q1017&lt;14,"Médio","Baixo"))))</f>
        <v>Baixo</v>
      </c>
      <c r="S1017" s="5" t="s">
        <v>56</v>
      </c>
      <c r="T1017" s="4" t="str">
        <f>IF(OR(Tabela1[[#This Row],[Grau de Risco]]="Médio",Tabela1[[#This Row],[Grau de Risco]]="Baixo"),"Não","Sim")</f>
        <v>Não</v>
      </c>
    </row>
    <row r="1018" spans="1:20">
      <c r="A1018" s="4" t="s">
        <v>2</v>
      </c>
      <c r="B1018" s="10" t="s">
        <v>1809</v>
      </c>
      <c r="C1018" s="4" t="s">
        <v>89</v>
      </c>
      <c r="D1018" s="38" t="s">
        <v>1382</v>
      </c>
      <c r="E1018" s="3">
        <v>11</v>
      </c>
      <c r="F1018" s="3">
        <v>1</v>
      </c>
      <c r="G1018" s="3">
        <v>2023</v>
      </c>
      <c r="H1018" s="36" t="s">
        <v>33</v>
      </c>
      <c r="I1018" s="7" t="s">
        <v>405</v>
      </c>
      <c r="J1018" s="4" t="s">
        <v>111</v>
      </c>
      <c r="K1018" s="3">
        <v>1</v>
      </c>
      <c r="L1018" s="3">
        <v>0</v>
      </c>
      <c r="M1018" s="4" t="s">
        <v>30</v>
      </c>
      <c r="N1018" s="4"/>
      <c r="O1018" s="4" t="s">
        <v>85</v>
      </c>
      <c r="P1018" s="3" t="s">
        <v>52</v>
      </c>
      <c r="Q1018" s="11">
        <v>14</v>
      </c>
      <c r="R1018" s="3" t="str">
        <f>IF(Q1018="","",IF(Q1018&lt;4,"Crítico",IF(Q1018&lt;9,"Alto",IF(Q1018&lt;14,"Médio","Baixo"))))</f>
        <v>Baixo</v>
      </c>
      <c r="S1018" s="5" t="s">
        <v>56</v>
      </c>
      <c r="T1018" s="4" t="str">
        <f>IF(OR(Tabela1[[#This Row],[Grau de Risco]]="Médio",Tabela1[[#This Row],[Grau de Risco]]="Baixo"),"Não","Sim")</f>
        <v>Não</v>
      </c>
    </row>
    <row r="1019" spans="1:20">
      <c r="A1019" s="4" t="s">
        <v>8</v>
      </c>
      <c r="B1019" s="10" t="s">
        <v>1809</v>
      </c>
      <c r="C1019" s="4" t="s">
        <v>26</v>
      </c>
      <c r="D1019" s="58" t="s">
        <v>1409</v>
      </c>
      <c r="E1019" s="3">
        <v>21</v>
      </c>
      <c r="F1019" s="3">
        <v>12</v>
      </c>
      <c r="G1019" s="3">
        <v>2023</v>
      </c>
      <c r="H1019" s="36" t="s">
        <v>66</v>
      </c>
      <c r="I1019" s="7" t="s">
        <v>417</v>
      </c>
      <c r="J1019" s="4" t="s">
        <v>76</v>
      </c>
      <c r="K1019" s="3" t="s">
        <v>62</v>
      </c>
      <c r="L1019" s="3">
        <v>0</v>
      </c>
      <c r="M1019" s="4" t="s">
        <v>30</v>
      </c>
      <c r="N1019" s="4">
        <v>0</v>
      </c>
      <c r="O1019" s="4" t="s">
        <v>51</v>
      </c>
      <c r="P1019" s="3" t="s">
        <v>31</v>
      </c>
      <c r="Q1019" s="11">
        <v>11</v>
      </c>
      <c r="R1019" s="3" t="s">
        <v>31</v>
      </c>
      <c r="S1019" s="5" t="s">
        <v>56</v>
      </c>
      <c r="T1019" s="4" t="str">
        <f>IF(OR(Tabela1[[#This Row],[Grau de Risco]]="Médio",Tabela1[[#This Row],[Grau de Risco]]="Baixo"),"Não","Sim")</f>
        <v>Não</v>
      </c>
    </row>
    <row r="1020" spans="1:20">
      <c r="A1020" s="4" t="s">
        <v>2</v>
      </c>
      <c r="B1020" s="10" t="s">
        <v>1809</v>
      </c>
      <c r="C1020" s="5" t="s">
        <v>26</v>
      </c>
      <c r="D1020" s="38" t="s">
        <v>1382</v>
      </c>
      <c r="E1020" s="3">
        <v>6</v>
      </c>
      <c r="F1020" s="3">
        <v>12</v>
      </c>
      <c r="G1020" s="3">
        <v>2023</v>
      </c>
      <c r="H1020" s="5" t="s">
        <v>71</v>
      </c>
      <c r="I1020" s="7" t="s">
        <v>471</v>
      </c>
      <c r="J1020" s="4" t="s">
        <v>69</v>
      </c>
      <c r="K1020" s="3">
        <v>4</v>
      </c>
      <c r="L1020" s="3">
        <v>0</v>
      </c>
      <c r="M1020" s="4" t="s">
        <v>30</v>
      </c>
      <c r="N1020" s="4">
        <v>0</v>
      </c>
      <c r="O1020" s="4" t="s">
        <v>74</v>
      </c>
      <c r="P1020" s="3" t="s">
        <v>52</v>
      </c>
      <c r="Q1020" s="3">
        <v>14</v>
      </c>
      <c r="R1020" s="11" t="s">
        <v>52</v>
      </c>
      <c r="S1020" s="5" t="s">
        <v>56</v>
      </c>
      <c r="T1020" s="4" t="str">
        <f>IF(OR(Tabela1[[#This Row],[Grau de Risco]]="Médio",Tabela1[[#This Row],[Grau de Risco]]="Baixo"),"Não","Sim")</f>
        <v>Não</v>
      </c>
    </row>
    <row r="1021" spans="1:20" hidden="1">
      <c r="A1021" s="4" t="s">
        <v>7</v>
      </c>
      <c r="B1021" s="10" t="s">
        <v>1805</v>
      </c>
      <c r="C1021" s="4" t="s">
        <v>97</v>
      </c>
      <c r="D1021" s="38" t="s">
        <v>1393</v>
      </c>
      <c r="E1021" s="3">
        <v>20</v>
      </c>
      <c r="F1021" s="3">
        <v>6</v>
      </c>
      <c r="G1021" s="3">
        <v>2023</v>
      </c>
      <c r="H1021" s="36" t="s">
        <v>107</v>
      </c>
      <c r="I1021" s="7" t="s">
        <v>1696</v>
      </c>
      <c r="J1021" s="4" t="s">
        <v>61</v>
      </c>
      <c r="K1021" s="3" t="s">
        <v>62</v>
      </c>
      <c r="L1021" s="3" t="s">
        <v>44</v>
      </c>
      <c r="M1021" s="4" t="s">
        <v>30</v>
      </c>
      <c r="N1021" s="4"/>
      <c r="O1021" s="4"/>
      <c r="P1021" s="3" t="s">
        <v>31</v>
      </c>
      <c r="Q1021" s="11">
        <v>7</v>
      </c>
      <c r="R1021" s="3" t="str">
        <f>IF(Q1021="","",IF(Q1021&lt;4,"Crítico",IF(Q1021&lt;9,"Alto",IF(Q1021&lt;14,"Médio","Baixo"))))</f>
        <v>Alto</v>
      </c>
      <c r="S1021" s="10" t="s">
        <v>141</v>
      </c>
      <c r="T1021" s="4" t="str">
        <f>IF(OR(Tabela1[[#This Row],[Grau de Risco]]="Médio",Tabela1[[#This Row],[Grau de Risco]]="Baixo"),"Não","Sim")</f>
        <v>Sim</v>
      </c>
    </row>
    <row r="1022" spans="1:20">
      <c r="A1022" s="4" t="s">
        <v>7</v>
      </c>
      <c r="B1022" s="10" t="s">
        <v>1809</v>
      </c>
      <c r="C1022" s="4" t="s">
        <v>89</v>
      </c>
      <c r="D1022" s="38" t="s">
        <v>47</v>
      </c>
      <c r="E1022" s="3">
        <v>27</v>
      </c>
      <c r="F1022" s="3">
        <v>1</v>
      </c>
      <c r="G1022" s="3">
        <v>2023</v>
      </c>
      <c r="H1022" s="36" t="s">
        <v>107</v>
      </c>
      <c r="I1022" s="7" t="s">
        <v>597</v>
      </c>
      <c r="J1022" s="4" t="s">
        <v>135</v>
      </c>
      <c r="K1022" s="3" t="s">
        <v>62</v>
      </c>
      <c r="L1022" s="3" t="s">
        <v>44</v>
      </c>
      <c r="M1022" s="4" t="s">
        <v>30</v>
      </c>
      <c r="N1022" s="4"/>
      <c r="O1022" s="4" t="s">
        <v>77</v>
      </c>
      <c r="P1022" s="3" t="s">
        <v>52</v>
      </c>
      <c r="Q1022" s="11">
        <v>11</v>
      </c>
      <c r="R1022" s="3" t="str">
        <f>IF(Q1022="","",IF(Q1022&lt;4,"Crítico",IF(Q1022&lt;9,"Alto",IF(Q1022&lt;14,"Médio","Baixo"))))</f>
        <v>Médio</v>
      </c>
      <c r="S1022" s="10" t="s">
        <v>63</v>
      </c>
      <c r="T1022" s="4" t="str">
        <f>IF(OR(Tabela1[[#This Row],[Grau de Risco]]="Médio",Tabela1[[#This Row],[Grau de Risco]]="Baixo"),"Não","Sim")</f>
        <v>Não</v>
      </c>
    </row>
    <row r="1023" spans="1:20" hidden="1">
      <c r="A1023" s="4" t="s">
        <v>2</v>
      </c>
      <c r="B1023" s="10" t="s">
        <v>1805</v>
      </c>
      <c r="C1023" s="4" t="s">
        <v>26</v>
      </c>
      <c r="D1023" s="38" t="s">
        <v>47</v>
      </c>
      <c r="E1023" s="3">
        <v>24</v>
      </c>
      <c r="F1023" s="3">
        <v>2</v>
      </c>
      <c r="G1023" s="3">
        <v>2023</v>
      </c>
      <c r="H1023" s="36" t="s">
        <v>112</v>
      </c>
      <c r="I1023" s="7" t="s">
        <v>685</v>
      </c>
      <c r="J1023" s="4" t="s">
        <v>93</v>
      </c>
      <c r="K1023" s="3">
        <v>15</v>
      </c>
      <c r="L1023" s="3">
        <v>0</v>
      </c>
      <c r="M1023" s="4" t="s">
        <v>30</v>
      </c>
      <c r="N1023" s="4">
        <v>0</v>
      </c>
      <c r="O1023" s="4" t="s">
        <v>101</v>
      </c>
      <c r="P1023" s="3" t="s">
        <v>31</v>
      </c>
      <c r="Q1023" s="11">
        <v>14</v>
      </c>
      <c r="R1023" s="3" t="s">
        <v>52</v>
      </c>
      <c r="S1023" s="10" t="s">
        <v>63</v>
      </c>
      <c r="T1023" s="4" t="str">
        <f>IF(OR(Tabela1[[#This Row],[Grau de Risco]]="Médio",Tabela1[[#This Row],[Grau de Risco]]="Baixo"),"Não","Sim")</f>
        <v>Não</v>
      </c>
    </row>
    <row r="1024" spans="1:20" hidden="1">
      <c r="A1024" s="4" t="s">
        <v>8</v>
      </c>
      <c r="B1024" s="10" t="s">
        <v>1805</v>
      </c>
      <c r="C1024" s="4" t="s">
        <v>81</v>
      </c>
      <c r="D1024" s="58" t="s">
        <v>1409</v>
      </c>
      <c r="E1024" s="3">
        <v>30</v>
      </c>
      <c r="F1024" s="3">
        <v>5</v>
      </c>
      <c r="G1024" s="3">
        <v>2024</v>
      </c>
      <c r="H1024" s="4" t="s">
        <v>86</v>
      </c>
      <c r="I1024" s="7" t="s">
        <v>716</v>
      </c>
      <c r="J1024" s="4" t="s">
        <v>69</v>
      </c>
      <c r="K1024" s="3" t="s">
        <v>44</v>
      </c>
      <c r="L1024" s="3" t="s">
        <v>44</v>
      </c>
      <c r="M1024" s="4" t="s">
        <v>30</v>
      </c>
      <c r="N1024" s="4" t="s">
        <v>44</v>
      </c>
      <c r="O1024" s="4" t="s">
        <v>88</v>
      </c>
      <c r="P1024" s="3" t="s">
        <v>52</v>
      </c>
      <c r="Q1024" s="11">
        <v>14</v>
      </c>
      <c r="R1024" s="3" t="s">
        <v>52</v>
      </c>
      <c r="S1024" s="5" t="s">
        <v>56</v>
      </c>
      <c r="T1024" s="4" t="str">
        <f>IF(OR(Tabela1[[#This Row],[Grau de Risco]]="Médio",Tabela1[[#This Row],[Grau de Risco]]="Baixo"),"Não","Sim")</f>
        <v>Não</v>
      </c>
    </row>
    <row r="1025" spans="1:20" hidden="1">
      <c r="A1025" s="4" t="s">
        <v>2</v>
      </c>
      <c r="B1025" s="10" t="s">
        <v>1800</v>
      </c>
      <c r="C1025" s="4" t="s">
        <v>41</v>
      </c>
      <c r="D1025" s="38" t="s">
        <v>1393</v>
      </c>
      <c r="E1025" s="3">
        <v>16</v>
      </c>
      <c r="F1025" s="3">
        <v>4</v>
      </c>
      <c r="G1025" s="3">
        <v>2024</v>
      </c>
      <c r="H1025" s="36" t="s">
        <v>33</v>
      </c>
      <c r="I1025" s="7" t="s">
        <v>747</v>
      </c>
      <c r="J1025" s="4" t="s">
        <v>76</v>
      </c>
      <c r="K1025" s="3">
        <v>7</v>
      </c>
      <c r="L1025" s="3">
        <v>0</v>
      </c>
      <c r="M1025" s="4" t="s">
        <v>30</v>
      </c>
      <c r="N1025" s="4">
        <v>0</v>
      </c>
      <c r="O1025" s="4" t="s">
        <v>70</v>
      </c>
      <c r="P1025" s="3" t="s">
        <v>52</v>
      </c>
      <c r="Q1025" s="11">
        <v>11</v>
      </c>
      <c r="R1025" s="3" t="s">
        <v>31</v>
      </c>
      <c r="S1025" s="5" t="s">
        <v>56</v>
      </c>
      <c r="T1025" s="4" t="str">
        <f>IF(OR(Tabela1[[#This Row],[Grau de Risco]]="Médio",Tabela1[[#This Row],[Grau de Risco]]="Baixo"),"Não","Sim")</f>
        <v>Não</v>
      </c>
    </row>
    <row r="1026" spans="1:20" hidden="1">
      <c r="A1026" s="4" t="s">
        <v>7</v>
      </c>
      <c r="B1026" s="10" t="s">
        <v>1797</v>
      </c>
      <c r="C1026" s="4" t="s">
        <v>252</v>
      </c>
      <c r="D1026" s="38" t="s">
        <v>1382</v>
      </c>
      <c r="E1026" s="3">
        <v>13</v>
      </c>
      <c r="F1026" s="3">
        <v>11</v>
      </c>
      <c r="G1026" s="3">
        <v>2024</v>
      </c>
      <c r="H1026" s="36" t="s">
        <v>82</v>
      </c>
      <c r="I1026" s="7" t="s">
        <v>1697</v>
      </c>
      <c r="J1026" s="4" t="s">
        <v>150</v>
      </c>
      <c r="K1026" s="3"/>
      <c r="L1026" s="3"/>
      <c r="M1026" s="4"/>
      <c r="N1026" s="4"/>
      <c r="O1026" s="4"/>
      <c r="P1026" s="3" t="s">
        <v>52</v>
      </c>
      <c r="Q1026" s="11">
        <v>14</v>
      </c>
      <c r="R1026" s="3" t="s">
        <v>52</v>
      </c>
      <c r="S1026" s="10" t="s">
        <v>63</v>
      </c>
      <c r="T1026" s="4" t="str">
        <f>IF(OR(Tabela1[[#This Row],[Grau de Risco]]="Médio",Tabela1[[#This Row],[Grau de Risco]]="Baixo"),"Não","Sim")</f>
        <v>Não</v>
      </c>
    </row>
    <row r="1027" spans="1:20">
      <c r="A1027" s="4" t="s">
        <v>10</v>
      </c>
      <c r="B1027" s="10" t="s">
        <v>1809</v>
      </c>
      <c r="C1027" s="4" t="s">
        <v>26</v>
      </c>
      <c r="D1027" s="5" t="s">
        <v>148</v>
      </c>
      <c r="E1027" s="3">
        <v>3</v>
      </c>
      <c r="F1027" s="3">
        <v>11</v>
      </c>
      <c r="G1027" s="3">
        <v>2024</v>
      </c>
      <c r="H1027" s="5" t="s">
        <v>474</v>
      </c>
      <c r="I1027" s="7" t="s">
        <v>830</v>
      </c>
      <c r="J1027" s="4" t="s">
        <v>229</v>
      </c>
      <c r="K1027" s="3">
        <v>1</v>
      </c>
      <c r="L1027" s="3" t="s">
        <v>30</v>
      </c>
      <c r="M1027" s="4" t="s">
        <v>25</v>
      </c>
      <c r="N1027" s="4">
        <v>0</v>
      </c>
      <c r="O1027" s="4" t="s">
        <v>101</v>
      </c>
      <c r="P1027" s="3"/>
      <c r="Q1027" s="11">
        <v>10</v>
      </c>
      <c r="R1027" s="3" t="s">
        <v>31</v>
      </c>
      <c r="S1027" s="10" t="s">
        <v>63</v>
      </c>
      <c r="T1027" s="4" t="str">
        <f>IF(OR(Tabela1[[#This Row],[Grau de Risco]]="Médio",Tabela1[[#This Row],[Grau de Risco]]="Baixo"),"Não","Sim")</f>
        <v>Não</v>
      </c>
    </row>
    <row r="1028" spans="1:20" hidden="1">
      <c r="A1028" s="4" t="s">
        <v>2</v>
      </c>
      <c r="B1028" s="10" t="s">
        <v>1800</v>
      </c>
      <c r="C1028" s="4" t="s">
        <v>81</v>
      </c>
      <c r="D1028" s="38" t="s">
        <v>1393</v>
      </c>
      <c r="E1028" s="3">
        <v>2</v>
      </c>
      <c r="F1028" s="3">
        <v>9</v>
      </c>
      <c r="G1028" s="3">
        <v>2024</v>
      </c>
      <c r="H1028" s="36" t="s">
        <v>82</v>
      </c>
      <c r="I1028" s="7" t="s">
        <v>901</v>
      </c>
      <c r="J1028" s="4" t="s">
        <v>79</v>
      </c>
      <c r="K1028" s="3">
        <v>5</v>
      </c>
      <c r="L1028" s="3" t="s">
        <v>80</v>
      </c>
      <c r="M1028" s="4" t="s">
        <v>30</v>
      </c>
      <c r="N1028" s="4" t="s">
        <v>80</v>
      </c>
      <c r="O1028" s="4" t="s">
        <v>4</v>
      </c>
      <c r="P1028" s="3" t="s">
        <v>52</v>
      </c>
      <c r="Q1028" s="11">
        <v>16</v>
      </c>
      <c r="R1028" s="3" t="s">
        <v>52</v>
      </c>
      <c r="S1028" s="10" t="s">
        <v>4</v>
      </c>
      <c r="T1028" s="4" t="str">
        <f>IF(OR(Tabela1[[#This Row],[Grau de Risco]]="Médio",Tabela1[[#This Row],[Grau de Risco]]="Baixo"),"Não","Sim")</f>
        <v>Não</v>
      </c>
    </row>
    <row r="1029" spans="1:20" hidden="1">
      <c r="A1029" s="4" t="s">
        <v>9</v>
      </c>
      <c r="B1029" s="10" t="s">
        <v>1793</v>
      </c>
      <c r="C1029" s="4" t="s">
        <v>46</v>
      </c>
      <c r="D1029" s="38" t="s">
        <v>47</v>
      </c>
      <c r="E1029" s="3">
        <v>20</v>
      </c>
      <c r="F1029" s="3">
        <v>9</v>
      </c>
      <c r="G1029" s="3">
        <v>2024</v>
      </c>
      <c r="H1029" s="5" t="s">
        <v>71</v>
      </c>
      <c r="I1029" s="7" t="s">
        <v>952</v>
      </c>
      <c r="J1029" s="4" t="s">
        <v>35</v>
      </c>
      <c r="K1029" s="3">
        <v>14</v>
      </c>
      <c r="L1029" s="3">
        <v>0</v>
      </c>
      <c r="M1029" s="4" t="s">
        <v>30</v>
      </c>
      <c r="N1029" s="4"/>
      <c r="O1029" s="4" t="s">
        <v>55</v>
      </c>
      <c r="P1029" s="3" t="s">
        <v>31</v>
      </c>
      <c r="Q1029" s="11">
        <v>11</v>
      </c>
      <c r="R1029" s="3" t="s">
        <v>31</v>
      </c>
      <c r="S1029" s="5" t="s">
        <v>56</v>
      </c>
      <c r="T1029" s="4" t="str">
        <f>IF(OR(Tabela1[[#This Row],[Grau de Risco]]="Médio",Tabela1[[#This Row],[Grau de Risco]]="Baixo"),"Não","Sim")</f>
        <v>Não</v>
      </c>
    </row>
    <row r="1030" spans="1:20" hidden="1">
      <c r="A1030" s="4" t="s">
        <v>8</v>
      </c>
      <c r="B1030" s="10" t="s">
        <v>1805</v>
      </c>
      <c r="C1030" s="4" t="s">
        <v>81</v>
      </c>
      <c r="D1030" s="38" t="s">
        <v>1320</v>
      </c>
      <c r="E1030" s="3">
        <v>11</v>
      </c>
      <c r="F1030" s="3">
        <v>3</v>
      </c>
      <c r="G1030" s="3">
        <v>2024</v>
      </c>
      <c r="H1030" s="34" t="s">
        <v>59</v>
      </c>
      <c r="I1030" s="7" t="s">
        <v>957</v>
      </c>
      <c r="J1030" s="4" t="s">
        <v>35</v>
      </c>
      <c r="K1030" s="3" t="s">
        <v>44</v>
      </c>
      <c r="L1030" s="3" t="s">
        <v>44</v>
      </c>
      <c r="M1030" s="4"/>
      <c r="N1030" s="4" t="s">
        <v>44</v>
      </c>
      <c r="O1030" s="4" t="s">
        <v>88</v>
      </c>
      <c r="P1030" s="3" t="s">
        <v>52</v>
      </c>
      <c r="Q1030" s="11">
        <v>11</v>
      </c>
      <c r="R1030" s="3" t="s">
        <v>31</v>
      </c>
      <c r="S1030" s="10" t="s">
        <v>32</v>
      </c>
      <c r="T1030" s="4" t="str">
        <f>IF(OR(Tabela1[[#This Row],[Grau de Risco]]="Médio",Tabela1[[#This Row],[Grau de Risco]]="Baixo"),"Não","Sim")</f>
        <v>Não</v>
      </c>
    </row>
    <row r="1031" spans="1:20">
      <c r="A1031" s="5" t="s">
        <v>7</v>
      </c>
      <c r="B1031" s="10" t="s">
        <v>1809</v>
      </c>
      <c r="C1031" s="47" t="s">
        <v>46</v>
      </c>
      <c r="D1031" s="38" t="s">
        <v>47</v>
      </c>
      <c r="E1031" s="31">
        <v>30</v>
      </c>
      <c r="F1031" s="31">
        <v>8</v>
      </c>
      <c r="G1031" s="31">
        <v>2024</v>
      </c>
      <c r="H1031" s="36" t="s">
        <v>66</v>
      </c>
      <c r="I1031" s="47" t="s">
        <v>958</v>
      </c>
      <c r="J1031" s="47" t="s">
        <v>54</v>
      </c>
      <c r="K1031" s="3" t="s">
        <v>44</v>
      </c>
      <c r="L1031" s="41" t="s">
        <v>30</v>
      </c>
      <c r="M1031" s="47" t="s">
        <v>30</v>
      </c>
      <c r="N1031" s="41" t="s">
        <v>44</v>
      </c>
      <c r="O1031" s="47"/>
      <c r="P1031" s="47"/>
      <c r="Q1031" s="47">
        <v>11</v>
      </c>
      <c r="R1031" s="32" t="s">
        <v>31</v>
      </c>
      <c r="S1031" s="47" t="s">
        <v>63</v>
      </c>
      <c r="T1031" s="4" t="str">
        <f>IF(OR(Tabela1[[#This Row],[Grau de Risco]]="Médio",Tabela1[[#This Row],[Grau de Risco]]="Baixo"),"Não","Sim")</f>
        <v>Não</v>
      </c>
    </row>
    <row r="1032" spans="1:20" hidden="1">
      <c r="A1032" s="4" t="s">
        <v>10</v>
      </c>
      <c r="B1032" s="10" t="s">
        <v>1797</v>
      </c>
      <c r="C1032" s="4" t="s">
        <v>46</v>
      </c>
      <c r="D1032" s="38" t="s">
        <v>1393</v>
      </c>
      <c r="E1032" s="3">
        <v>3</v>
      </c>
      <c r="F1032" s="3">
        <v>12</v>
      </c>
      <c r="G1032" s="3">
        <v>2024</v>
      </c>
      <c r="H1032" s="36" t="s">
        <v>66</v>
      </c>
      <c r="I1032" s="7" t="s">
        <v>968</v>
      </c>
      <c r="J1032" s="4" t="s">
        <v>61</v>
      </c>
      <c r="K1032" s="3"/>
      <c r="L1032" s="3"/>
      <c r="M1032" s="4"/>
      <c r="N1032" s="4"/>
      <c r="O1032" s="4" t="s">
        <v>419</v>
      </c>
      <c r="P1032" s="3"/>
      <c r="Q1032" s="11">
        <v>14</v>
      </c>
      <c r="R1032" s="3" t="s">
        <v>52</v>
      </c>
      <c r="S1032" s="10" t="s">
        <v>32</v>
      </c>
      <c r="T1032" s="4" t="str">
        <f>IF(OR(Tabela1[[#This Row],[Grau de Risco]]="Médio",Tabela1[[#This Row],[Grau de Risco]]="Baixo"),"Não","Sim")</f>
        <v>Não</v>
      </c>
    </row>
    <row r="1033" spans="1:20" hidden="1">
      <c r="A1033" s="5" t="s">
        <v>7</v>
      </c>
      <c r="B1033" s="10" t="s">
        <v>1800</v>
      </c>
      <c r="C1033" s="4" t="s">
        <v>81</v>
      </c>
      <c r="D1033" s="38" t="s">
        <v>1393</v>
      </c>
      <c r="E1033" s="3">
        <v>27</v>
      </c>
      <c r="F1033" s="3">
        <v>2</v>
      </c>
      <c r="G1033" s="3">
        <v>2024</v>
      </c>
      <c r="H1033" s="36" t="s">
        <v>66</v>
      </c>
      <c r="I1033" s="7" t="s">
        <v>990</v>
      </c>
      <c r="J1033" s="4" t="s">
        <v>54</v>
      </c>
      <c r="K1033" s="3" t="s">
        <v>44</v>
      </c>
      <c r="L1033" s="3" t="s">
        <v>30</v>
      </c>
      <c r="M1033" s="4" t="s">
        <v>30</v>
      </c>
      <c r="N1033" s="4" t="s">
        <v>44</v>
      </c>
      <c r="O1033" s="4" t="s">
        <v>44</v>
      </c>
      <c r="P1033" s="3" t="s">
        <v>44</v>
      </c>
      <c r="Q1033" s="11">
        <v>15</v>
      </c>
      <c r="R1033" s="3" t="s">
        <v>52</v>
      </c>
      <c r="S1033" s="10" t="s">
        <v>178</v>
      </c>
      <c r="T1033" s="4" t="str">
        <f>IF(OR(Tabela1[[#This Row],[Grau de Risco]]="Médio",Tabela1[[#This Row],[Grau de Risco]]="Baixo"),"Não","Sim")</f>
        <v>Não</v>
      </c>
    </row>
    <row r="1034" spans="1:20">
      <c r="A1034" s="4" t="s">
        <v>7</v>
      </c>
      <c r="B1034" s="10" t="s">
        <v>1809</v>
      </c>
      <c r="C1034" s="4" t="s">
        <v>26</v>
      </c>
      <c r="D1034" s="5" t="s">
        <v>148</v>
      </c>
      <c r="E1034" s="3">
        <v>14</v>
      </c>
      <c r="F1034" s="3">
        <v>1</v>
      </c>
      <c r="G1034" s="3">
        <v>2024</v>
      </c>
      <c r="H1034" s="4" t="s">
        <v>27</v>
      </c>
      <c r="I1034" s="7" t="s">
        <v>1092</v>
      </c>
      <c r="J1034" s="4" t="s">
        <v>61</v>
      </c>
      <c r="K1034" s="3" t="s">
        <v>62</v>
      </c>
      <c r="L1034" s="3">
        <v>0</v>
      </c>
      <c r="M1034" s="4" t="s">
        <v>30</v>
      </c>
      <c r="N1034" s="4">
        <v>0</v>
      </c>
      <c r="O1034" s="4" t="s">
        <v>4</v>
      </c>
      <c r="P1034" s="3"/>
      <c r="Q1034" s="11">
        <v>11</v>
      </c>
      <c r="R1034" s="3" t="s">
        <v>31</v>
      </c>
      <c r="S1034" s="10" t="s">
        <v>141</v>
      </c>
      <c r="T1034" s="4" t="str">
        <f>IF(OR(Tabela1[[#This Row],[Grau de Risco]]="Médio",Tabela1[[#This Row],[Grau de Risco]]="Baixo"),"Não","Sim")</f>
        <v>Não</v>
      </c>
    </row>
    <row r="1035" spans="1:20">
      <c r="A1035" s="4" t="s">
        <v>2</v>
      </c>
      <c r="B1035" s="10" t="s">
        <v>1809</v>
      </c>
      <c r="C1035" s="4" t="s">
        <v>41</v>
      </c>
      <c r="D1035" s="58" t="s">
        <v>1409</v>
      </c>
      <c r="E1035" s="3">
        <v>27</v>
      </c>
      <c r="F1035" s="3">
        <v>3</v>
      </c>
      <c r="G1035" s="3">
        <v>2025</v>
      </c>
      <c r="H1035" s="5" t="s">
        <v>123</v>
      </c>
      <c r="I1035" s="7" t="s">
        <v>1206</v>
      </c>
      <c r="J1035" s="4" t="s">
        <v>35</v>
      </c>
      <c r="K1035" s="3">
        <v>14</v>
      </c>
      <c r="L1035" s="3">
        <v>0</v>
      </c>
      <c r="M1035" s="4" t="s">
        <v>25</v>
      </c>
      <c r="N1035" s="4">
        <v>137</v>
      </c>
      <c r="O1035" s="4" t="s">
        <v>51</v>
      </c>
      <c r="P1035" s="3" t="s">
        <v>31</v>
      </c>
      <c r="Q1035" s="11">
        <v>7</v>
      </c>
      <c r="R1035" s="3" t="s">
        <v>102</v>
      </c>
      <c r="S1035" s="5" t="s">
        <v>56</v>
      </c>
      <c r="T1035" s="4" t="str">
        <f>IF(OR(Tabela1[[#This Row],[Grau de Risco]]="Médio",Tabela1[[#This Row],[Grau de Risco]]="Baixo"),"Não","Sim")</f>
        <v>Sim</v>
      </c>
    </row>
    <row r="1036" spans="1:20" hidden="1">
      <c r="A1036" s="28" t="s">
        <v>8</v>
      </c>
      <c r="B1036" s="33" t="s">
        <v>1793</v>
      </c>
      <c r="C1036" s="28" t="s">
        <v>26</v>
      </c>
      <c r="D1036" s="38" t="s">
        <v>1393</v>
      </c>
      <c r="E1036" s="32">
        <v>5</v>
      </c>
      <c r="F1036" s="32">
        <v>5</v>
      </c>
      <c r="G1036" s="32">
        <v>2025</v>
      </c>
      <c r="H1036" s="21" t="s">
        <v>27</v>
      </c>
      <c r="I1036" s="29" t="s">
        <v>1250</v>
      </c>
      <c r="J1036" s="28" t="s">
        <v>38</v>
      </c>
      <c r="K1036" s="32" t="s">
        <v>44</v>
      </c>
      <c r="L1036" s="32" t="s">
        <v>44</v>
      </c>
      <c r="M1036" s="28" t="s">
        <v>30</v>
      </c>
      <c r="N1036" s="28" t="s">
        <v>44</v>
      </c>
      <c r="O1036" s="28"/>
      <c r="P1036" s="32" t="s">
        <v>52</v>
      </c>
      <c r="Q1036" s="35">
        <v>14</v>
      </c>
      <c r="R1036" s="32" t="s">
        <v>52</v>
      </c>
      <c r="S1036" s="10" t="s">
        <v>32</v>
      </c>
      <c r="T1036" s="4" t="str">
        <f>IF(OR(Tabela1[[#This Row],[Grau de Risco]]="Médio",Tabela1[[#This Row],[Grau de Risco]]="Baixo"),"Não","Sim")</f>
        <v>Não</v>
      </c>
    </row>
    <row r="1037" spans="1:20" hidden="1">
      <c r="A1037" s="5" t="s">
        <v>7</v>
      </c>
      <c r="B1037" s="33" t="s">
        <v>1797</v>
      </c>
      <c r="C1037" s="28" t="s">
        <v>81</v>
      </c>
      <c r="D1037" s="38" t="s">
        <v>1320</v>
      </c>
      <c r="E1037" s="32">
        <v>12</v>
      </c>
      <c r="F1037" s="32">
        <v>5</v>
      </c>
      <c r="G1037" s="32">
        <v>2025</v>
      </c>
      <c r="H1037" s="4" t="s">
        <v>86</v>
      </c>
      <c r="I1037" s="29" t="s">
        <v>1698</v>
      </c>
      <c r="J1037" s="28" t="s">
        <v>38</v>
      </c>
      <c r="K1037" s="32" t="s">
        <v>44</v>
      </c>
      <c r="L1037" s="32" t="s">
        <v>44</v>
      </c>
      <c r="M1037" s="28" t="s">
        <v>30</v>
      </c>
      <c r="N1037" s="28" t="s">
        <v>44</v>
      </c>
      <c r="O1037" s="28"/>
      <c r="P1037" s="32"/>
      <c r="Q1037" s="35">
        <v>10</v>
      </c>
      <c r="R1037" s="32" t="s">
        <v>31</v>
      </c>
      <c r="S1037" s="33" t="s">
        <v>63</v>
      </c>
      <c r="T1037" s="4" t="str">
        <f>IF(OR(Tabela1[[#This Row],[Grau de Risco]]="Médio",Tabela1[[#This Row],[Grau de Risco]]="Baixo"),"Não","Sim")</f>
        <v>Não</v>
      </c>
    </row>
    <row r="1038" spans="1:20">
      <c r="A1038" s="4" t="s">
        <v>7</v>
      </c>
      <c r="B1038" s="10" t="s">
        <v>1809</v>
      </c>
      <c r="C1038" s="4" t="s">
        <v>46</v>
      </c>
      <c r="D1038" s="58" t="s">
        <v>1409</v>
      </c>
      <c r="E1038" s="3">
        <v>29</v>
      </c>
      <c r="F1038" s="3">
        <v>5</v>
      </c>
      <c r="G1038" s="3">
        <v>2025</v>
      </c>
      <c r="H1038" s="36" t="s">
        <v>112</v>
      </c>
      <c r="I1038" s="7" t="s">
        <v>1699</v>
      </c>
      <c r="J1038" s="4" t="s">
        <v>290</v>
      </c>
      <c r="K1038" s="3"/>
      <c r="L1038" s="3"/>
      <c r="M1038" s="4"/>
      <c r="N1038" s="4"/>
      <c r="O1038" s="4"/>
      <c r="P1038" s="3" t="s">
        <v>52</v>
      </c>
      <c r="Q1038" s="11">
        <v>13</v>
      </c>
      <c r="R1038" s="3" t="s">
        <v>31</v>
      </c>
      <c r="S1038" s="5" t="s">
        <v>56</v>
      </c>
      <c r="T1038" s="4" t="str">
        <f>IF(OR(Tabela1[[#This Row],[Grau de Risco]]="Médio",Tabela1[[#This Row],[Grau de Risco]]="Baixo"),"Não","Sim")</f>
        <v>Não</v>
      </c>
    </row>
    <row r="1039" spans="1:20">
      <c r="A1039" s="4" t="s">
        <v>9</v>
      </c>
      <c r="B1039" s="10" t="s">
        <v>1809</v>
      </c>
      <c r="C1039" s="4" t="s">
        <v>81</v>
      </c>
      <c r="D1039" s="38" t="s">
        <v>1393</v>
      </c>
      <c r="E1039" s="3">
        <v>10</v>
      </c>
      <c r="F1039" s="3">
        <v>6</v>
      </c>
      <c r="G1039" s="3">
        <v>2025</v>
      </c>
      <c r="H1039" s="5" t="s">
        <v>209</v>
      </c>
      <c r="I1039" s="7" t="s">
        <v>1292</v>
      </c>
      <c r="J1039" s="4" t="s">
        <v>43</v>
      </c>
      <c r="K1039" s="3">
        <v>15</v>
      </c>
      <c r="L1039" s="3">
        <v>0</v>
      </c>
      <c r="M1039" s="4" t="s">
        <v>30</v>
      </c>
      <c r="N1039" s="4"/>
      <c r="O1039" s="4" t="s">
        <v>386</v>
      </c>
      <c r="P1039" s="3" t="s">
        <v>31</v>
      </c>
      <c r="Q1039" s="11">
        <v>4</v>
      </c>
      <c r="R1039" s="3" t="s">
        <v>102</v>
      </c>
      <c r="S1039" s="10" t="s">
        <v>63</v>
      </c>
      <c r="T1039" s="4" t="str">
        <f>IF(OR(Tabela1[[#This Row],[Grau de Risco]]="Médio",Tabela1[[#This Row],[Grau de Risco]]="Baixo"),"Não","Sim")</f>
        <v>Sim</v>
      </c>
    </row>
    <row r="1040" spans="1:20" hidden="1">
      <c r="A1040" s="28" t="s">
        <v>2</v>
      </c>
      <c r="B1040" s="33" t="s">
        <v>1800</v>
      </c>
      <c r="C1040" s="28" t="s">
        <v>41</v>
      </c>
      <c r="D1040" s="38" t="s">
        <v>47</v>
      </c>
      <c r="E1040" s="32">
        <v>27</v>
      </c>
      <c r="F1040" s="32">
        <v>6</v>
      </c>
      <c r="G1040" s="32">
        <v>2025</v>
      </c>
      <c r="H1040" s="38" t="s">
        <v>33</v>
      </c>
      <c r="I1040" s="29" t="s">
        <v>1327</v>
      </c>
      <c r="J1040" s="28" t="s">
        <v>76</v>
      </c>
      <c r="K1040" s="32">
        <v>166</v>
      </c>
      <c r="L1040" s="32">
        <v>600</v>
      </c>
      <c r="M1040" s="28" t="s">
        <v>80</v>
      </c>
      <c r="N1040" s="28" t="s">
        <v>80</v>
      </c>
      <c r="O1040" s="4" t="s">
        <v>159</v>
      </c>
      <c r="P1040" s="32" t="s">
        <v>102</v>
      </c>
      <c r="Q1040" s="35">
        <v>8</v>
      </c>
      <c r="R1040" s="32" t="s">
        <v>102</v>
      </c>
      <c r="S1040" s="33" t="s">
        <v>178</v>
      </c>
      <c r="T1040" s="4" t="str">
        <f>IF(OR(Tabela1[[#This Row],[Grau de Risco]]="Médio",Tabela1[[#This Row],[Grau de Risco]]="Baixo"),"Não","Sim")</f>
        <v>Sim</v>
      </c>
    </row>
    <row r="1041" spans="1:20" hidden="1">
      <c r="A1041" s="28" t="s">
        <v>9</v>
      </c>
      <c r="B1041" s="33" t="s">
        <v>1797</v>
      </c>
      <c r="C1041" s="28" t="s">
        <v>252</v>
      </c>
      <c r="D1041" s="28" t="s">
        <v>1382</v>
      </c>
      <c r="E1041" s="32">
        <v>6</v>
      </c>
      <c r="F1041" s="32">
        <v>8</v>
      </c>
      <c r="G1041" s="32">
        <v>2025</v>
      </c>
      <c r="H1041" s="34" t="s">
        <v>112</v>
      </c>
      <c r="I1041" s="29" t="s">
        <v>1381</v>
      </c>
      <c r="J1041" s="28" t="s">
        <v>29</v>
      </c>
      <c r="K1041" s="32">
        <v>30</v>
      </c>
      <c r="L1041" s="32">
        <v>0</v>
      </c>
      <c r="M1041" s="28" t="s">
        <v>30</v>
      </c>
      <c r="N1041" s="28"/>
      <c r="O1041" s="28" t="s">
        <v>101</v>
      </c>
      <c r="P1041" s="32" t="s">
        <v>31</v>
      </c>
      <c r="Q1041" s="35">
        <v>10</v>
      </c>
      <c r="R1041" s="32" t="s">
        <v>31</v>
      </c>
      <c r="S1041" s="33" t="s">
        <v>63</v>
      </c>
      <c r="T1041" s="4" t="str">
        <f>IF(OR(Tabela1[[#This Row],[Grau de Risco]]="Médio",Tabela1[[#This Row],[Grau de Risco]]="Baixo"),"Não","Sim")</f>
        <v>Não</v>
      </c>
    </row>
    <row r="1042" spans="1:20">
      <c r="A1042" s="4" t="s">
        <v>7</v>
      </c>
      <c r="B1042" s="10" t="s">
        <v>1809</v>
      </c>
      <c r="C1042" s="4" t="s">
        <v>252</v>
      </c>
      <c r="D1042" s="5" t="s">
        <v>1320</v>
      </c>
      <c r="E1042" s="3">
        <v>8</v>
      </c>
      <c r="F1042" s="3">
        <v>8</v>
      </c>
      <c r="G1042" s="3">
        <v>2025</v>
      </c>
      <c r="H1042" s="5" t="s">
        <v>107</v>
      </c>
      <c r="I1042" s="7" t="s">
        <v>1700</v>
      </c>
      <c r="J1042" s="4" t="s">
        <v>50</v>
      </c>
      <c r="K1042" s="3">
        <v>0</v>
      </c>
      <c r="L1042" s="3">
        <v>0</v>
      </c>
      <c r="M1042" s="4" t="s">
        <v>30</v>
      </c>
      <c r="N1042" s="4">
        <v>0</v>
      </c>
      <c r="O1042" s="4"/>
      <c r="P1042" s="3"/>
      <c r="Q1042" s="11">
        <v>11</v>
      </c>
      <c r="R1042" s="3" t="s">
        <v>31</v>
      </c>
      <c r="S1042" s="10" t="s">
        <v>56</v>
      </c>
      <c r="T1042" s="4" t="str">
        <f>IF(OR(Tabela1[[#This Row],[Grau de Risco]]="Médio",Tabela1[[#This Row],[Grau de Risco]]="Baixo"),"Não","Sim")</f>
        <v>Não</v>
      </c>
    </row>
    <row r="1043" spans="1:20" hidden="1">
      <c r="A1043" s="28" t="s">
        <v>7</v>
      </c>
      <c r="B1043" s="33" t="s">
        <v>1797</v>
      </c>
      <c r="C1043" s="28" t="s">
        <v>252</v>
      </c>
      <c r="D1043" s="28" t="s">
        <v>1393</v>
      </c>
      <c r="E1043" s="32">
        <v>16</v>
      </c>
      <c r="F1043" s="32">
        <v>9</v>
      </c>
      <c r="G1043" s="32">
        <v>2025</v>
      </c>
      <c r="H1043" s="34" t="s">
        <v>27</v>
      </c>
      <c r="I1043" s="29" t="s">
        <v>1433</v>
      </c>
      <c r="J1043" s="28" t="s">
        <v>229</v>
      </c>
      <c r="K1043" s="32"/>
      <c r="L1043" s="32"/>
      <c r="M1043" s="28"/>
      <c r="N1043" s="28"/>
      <c r="O1043" s="28" t="s">
        <v>45</v>
      </c>
      <c r="P1043" s="32"/>
      <c r="Q1043" s="35">
        <v>11</v>
      </c>
      <c r="R1043" s="32" t="s">
        <v>31</v>
      </c>
      <c r="S1043" s="10" t="s">
        <v>56</v>
      </c>
      <c r="T1043" s="4" t="str">
        <f>IF(OR(Tabela1[[#This Row],[Grau de Risco]]="Médio",Tabela1[[#This Row],[Grau de Risco]]="Baixo"),"Não","Sim")</f>
        <v>Não</v>
      </c>
    </row>
    <row r="1044" spans="1:20">
      <c r="A1044" s="28" t="s">
        <v>10</v>
      </c>
      <c r="B1044" s="10" t="s">
        <v>1809</v>
      </c>
      <c r="C1044" s="4" t="s">
        <v>26</v>
      </c>
      <c r="D1044" s="4" t="s">
        <v>148</v>
      </c>
      <c r="E1044" s="3">
        <v>16</v>
      </c>
      <c r="F1044" s="3">
        <v>11</v>
      </c>
      <c r="G1044" s="3">
        <v>2025</v>
      </c>
      <c r="H1044" s="21" t="s">
        <v>103</v>
      </c>
      <c r="I1044" s="7" t="s">
        <v>1560</v>
      </c>
      <c r="J1044" s="4" t="s">
        <v>84</v>
      </c>
      <c r="K1044" s="3" t="s">
        <v>44</v>
      </c>
      <c r="L1044" s="3" t="s">
        <v>44</v>
      </c>
      <c r="M1044" s="4"/>
      <c r="N1044" s="4" t="s">
        <v>44</v>
      </c>
      <c r="O1044" s="4" t="s">
        <v>301</v>
      </c>
      <c r="P1044" s="3" t="s">
        <v>52</v>
      </c>
      <c r="Q1044" s="11">
        <v>7</v>
      </c>
      <c r="R1044" s="3" t="str">
        <f>IF(Q1044="","",IF(Q1044&lt;4,"Crítico",IF(Q1044&lt;9,"Alto",IF(Q1044&lt;14,"Médio","Baixo"))))</f>
        <v>Alto</v>
      </c>
      <c r="S1044" s="10" t="s">
        <v>63</v>
      </c>
      <c r="T1044" s="4" t="str">
        <f>IF(OR(Tabela1[[#This Row],[Grau de Risco]]="Médio",Tabela1[[#This Row],[Grau de Risco]]="Baixo"),"Não","Sim")</f>
        <v>Sim</v>
      </c>
    </row>
    <row r="1045" spans="1:20">
      <c r="A1045" s="4" t="s">
        <v>7</v>
      </c>
      <c r="B1045" s="10" t="s">
        <v>1809</v>
      </c>
      <c r="C1045" s="4" t="s">
        <v>252</v>
      </c>
      <c r="D1045" s="78" t="s">
        <v>36</v>
      </c>
      <c r="E1045" s="3">
        <v>1</v>
      </c>
      <c r="F1045" s="3">
        <v>11</v>
      </c>
      <c r="G1045" s="3">
        <v>2025</v>
      </c>
      <c r="H1045" s="78" t="s">
        <v>66</v>
      </c>
      <c r="I1045" s="7" t="s">
        <v>1564</v>
      </c>
      <c r="J1045" s="4" t="s">
        <v>54</v>
      </c>
      <c r="K1045" s="3" t="s">
        <v>1581</v>
      </c>
      <c r="L1045" s="3" t="s">
        <v>44</v>
      </c>
      <c r="M1045" s="4" t="s">
        <v>30</v>
      </c>
      <c r="N1045" s="4" t="s">
        <v>44</v>
      </c>
      <c r="O1045" s="4" t="s">
        <v>44</v>
      </c>
      <c r="P1045" s="3"/>
      <c r="Q1045" s="11">
        <v>2</v>
      </c>
      <c r="R1045" s="3" t="s">
        <v>102</v>
      </c>
      <c r="S1045" s="10" t="s">
        <v>1546</v>
      </c>
      <c r="T1045" s="4" t="str">
        <f>IF(OR(Tabela1[[#This Row],[Grau de Risco]]="Médio",Tabela1[[#This Row],[Grau de Risco]]="Baixo"),"Não","Sim")</f>
        <v>Sim</v>
      </c>
    </row>
    <row r="1046" spans="1:20">
      <c r="A1046" s="4" t="s">
        <v>2</v>
      </c>
      <c r="B1046" s="10" t="s">
        <v>1809</v>
      </c>
      <c r="C1046" s="4" t="s">
        <v>89</v>
      </c>
      <c r="D1046" s="38" t="s">
        <v>1382</v>
      </c>
      <c r="E1046" s="3">
        <v>8</v>
      </c>
      <c r="F1046" s="3">
        <v>1</v>
      </c>
      <c r="G1046" s="3">
        <v>2020</v>
      </c>
      <c r="H1046" s="4" t="s">
        <v>86</v>
      </c>
      <c r="I1046" s="7" t="s">
        <v>105</v>
      </c>
      <c r="J1046" s="4" t="s">
        <v>61</v>
      </c>
      <c r="K1046" s="3">
        <v>2</v>
      </c>
      <c r="L1046" s="3">
        <v>0</v>
      </c>
      <c r="M1046" s="4" t="s">
        <v>30</v>
      </c>
      <c r="N1046" s="4"/>
      <c r="O1046" s="4" t="s">
        <v>4</v>
      </c>
      <c r="P1046" s="3" t="s">
        <v>31</v>
      </c>
      <c r="Q1046" s="11">
        <v>22</v>
      </c>
      <c r="R1046" s="3" t="str">
        <f>IF(Q1046="","",IF(Q1046&lt;4,"Crítico",IF(Q1046&lt;9,"Alto",IF(Q1046&lt;14,"Médio","Baixo"))))</f>
        <v>Baixo</v>
      </c>
      <c r="S1046" s="10" t="s">
        <v>63</v>
      </c>
      <c r="T1046" s="4" t="str">
        <f>IF(OR(Tabela1[[#This Row],[Grau de Risco]]="Médio",Tabela1[[#This Row],[Grau de Risco]]="Baixo"),"Não","Sim")</f>
        <v>Não</v>
      </c>
    </row>
    <row r="1047" spans="1:20">
      <c r="A1047" s="4" t="s">
        <v>7</v>
      </c>
      <c r="B1047" s="10" t="s">
        <v>1809</v>
      </c>
      <c r="C1047" s="4" t="s">
        <v>133</v>
      </c>
      <c r="D1047" s="58" t="s">
        <v>1409</v>
      </c>
      <c r="E1047" s="3">
        <v>23</v>
      </c>
      <c r="F1047" s="3">
        <v>7</v>
      </c>
      <c r="G1047" s="3">
        <v>2020</v>
      </c>
      <c r="H1047" s="36" t="s">
        <v>82</v>
      </c>
      <c r="I1047" s="7" t="s">
        <v>134</v>
      </c>
      <c r="J1047" s="4" t="s">
        <v>135</v>
      </c>
      <c r="K1047" s="3" t="s">
        <v>62</v>
      </c>
      <c r="L1047" s="3" t="s">
        <v>44</v>
      </c>
      <c r="M1047" s="4" t="s">
        <v>30</v>
      </c>
      <c r="N1047" s="4"/>
      <c r="O1047" s="4" t="s">
        <v>77</v>
      </c>
      <c r="P1047" s="3" t="s">
        <v>31</v>
      </c>
      <c r="Q1047" s="11">
        <v>9</v>
      </c>
      <c r="R1047" s="3" t="str">
        <f>IF(Q1047="","",IF(Q1047&lt;4,"Crítico",IF(Q1047&lt;9,"Alto",IF(Q1047&lt;14,"Médio","Baixo"))))</f>
        <v>Médio</v>
      </c>
      <c r="S1047" s="10" t="s">
        <v>63</v>
      </c>
      <c r="T1047" s="4" t="str">
        <f>IF(OR(Tabela1[[#This Row],[Grau de Risco]]="Médio",Tabela1[[#This Row],[Grau de Risco]]="Baixo"),"Não","Sim")</f>
        <v>Não</v>
      </c>
    </row>
    <row r="1048" spans="1:20">
      <c r="A1048" s="4" t="s">
        <v>2</v>
      </c>
      <c r="B1048" s="10" t="s">
        <v>1809</v>
      </c>
      <c r="C1048" s="4"/>
      <c r="D1048" s="38" t="s">
        <v>1382</v>
      </c>
      <c r="E1048" s="3">
        <v>24</v>
      </c>
      <c r="F1048" s="3">
        <v>8</v>
      </c>
      <c r="G1048" s="3">
        <v>2022</v>
      </c>
      <c r="H1048" s="5" t="s">
        <v>123</v>
      </c>
      <c r="I1048" s="7" t="s">
        <v>296</v>
      </c>
      <c r="J1048" s="4" t="s">
        <v>73</v>
      </c>
      <c r="K1048" s="3">
        <v>7</v>
      </c>
      <c r="L1048" s="3">
        <v>0</v>
      </c>
      <c r="M1048" s="4" t="s">
        <v>30</v>
      </c>
      <c r="N1048" s="4"/>
      <c r="O1048" s="4" t="s">
        <v>55</v>
      </c>
      <c r="P1048" s="3" t="s">
        <v>52</v>
      </c>
      <c r="Q1048" s="11">
        <v>18</v>
      </c>
      <c r="R1048" s="3" t="str">
        <f>IF(Q1048="","",IF(Q1048&lt;4,"Crítico",IF(Q1048&lt;9,"Alto",IF(Q1048&lt;14,"Médio","Baixo"))))</f>
        <v>Baixo</v>
      </c>
      <c r="S1048" s="10" t="s">
        <v>63</v>
      </c>
      <c r="T1048" s="4" t="str">
        <f>IF(OR(Tabela1[[#This Row],[Grau de Risco]]="Médio",Tabela1[[#This Row],[Grau de Risco]]="Baixo"),"Não","Sim")</f>
        <v>Não</v>
      </c>
    </row>
    <row r="1049" spans="1:20">
      <c r="A1049" s="5" t="s">
        <v>2</v>
      </c>
      <c r="B1049" s="10" t="s">
        <v>1809</v>
      </c>
      <c r="C1049" s="5" t="s">
        <v>26</v>
      </c>
      <c r="D1049" s="38" t="s">
        <v>47</v>
      </c>
      <c r="E1049" s="3">
        <v>6</v>
      </c>
      <c r="F1049" s="2">
        <v>5</v>
      </c>
      <c r="G1049" s="3">
        <v>2022</v>
      </c>
      <c r="H1049" s="36" t="s">
        <v>82</v>
      </c>
      <c r="I1049" s="7" t="s">
        <v>356</v>
      </c>
      <c r="J1049" s="4" t="s">
        <v>35</v>
      </c>
      <c r="K1049" s="3">
        <v>14</v>
      </c>
      <c r="L1049" s="3">
        <v>0</v>
      </c>
      <c r="M1049" s="5" t="s">
        <v>30</v>
      </c>
      <c r="N1049" s="4">
        <v>14</v>
      </c>
      <c r="O1049" s="4" t="s">
        <v>4</v>
      </c>
      <c r="P1049" s="3" t="s">
        <v>52</v>
      </c>
      <c r="Q1049" s="3">
        <v>17</v>
      </c>
      <c r="R1049" s="2" t="s">
        <v>31</v>
      </c>
      <c r="S1049" s="10" t="s">
        <v>32</v>
      </c>
      <c r="T1049" s="4" t="str">
        <f>IF(OR(Tabela1[[#This Row],[Grau de Risco]]="Médio",Tabela1[[#This Row],[Grau de Risco]]="Baixo"),"Não","Sim")</f>
        <v>Não</v>
      </c>
    </row>
    <row r="1050" spans="1:20">
      <c r="A1050" s="4" t="s">
        <v>2</v>
      </c>
      <c r="B1050" s="10" t="s">
        <v>1809</v>
      </c>
      <c r="C1050" s="4"/>
      <c r="D1050" s="38" t="s">
        <v>47</v>
      </c>
      <c r="E1050" s="3">
        <v>13</v>
      </c>
      <c r="F1050" s="3">
        <v>5</v>
      </c>
      <c r="G1050" s="3">
        <v>2022</v>
      </c>
      <c r="H1050" s="5" t="s">
        <v>48</v>
      </c>
      <c r="I1050" s="7" t="s">
        <v>366</v>
      </c>
      <c r="J1050" s="4" t="s">
        <v>91</v>
      </c>
      <c r="K1050" s="3">
        <v>30</v>
      </c>
      <c r="L1050" s="3">
        <v>0</v>
      </c>
      <c r="M1050" s="4" t="s">
        <v>30</v>
      </c>
      <c r="N1050" s="4"/>
      <c r="O1050" s="4" t="s">
        <v>74</v>
      </c>
      <c r="P1050" s="3" t="s">
        <v>102</v>
      </c>
      <c r="Q1050" s="11">
        <v>10</v>
      </c>
      <c r="R1050" s="3" t="str">
        <f>IF(Q1050="","",IF(Q1050&lt;4,"Crítico",IF(Q1050&lt;9,"Alto",IF(Q1050&lt;14,"Médio","Baixo"))))</f>
        <v>Médio</v>
      </c>
      <c r="S1050" s="5" t="s">
        <v>56</v>
      </c>
      <c r="T1050" s="4" t="str">
        <f>IF(OR(Tabela1[[#This Row],[Grau de Risco]]="Médio",Tabela1[[#This Row],[Grau de Risco]]="Baixo"),"Não","Sim")</f>
        <v>Não</v>
      </c>
    </row>
    <row r="1051" spans="1:20" hidden="1">
      <c r="A1051" s="4" t="s">
        <v>2</v>
      </c>
      <c r="B1051" s="10" t="s">
        <v>1805</v>
      </c>
      <c r="C1051" s="4"/>
      <c r="D1051" s="38" t="s">
        <v>1320</v>
      </c>
      <c r="E1051" s="3">
        <v>1</v>
      </c>
      <c r="F1051" s="3">
        <v>8</v>
      </c>
      <c r="G1051" s="3">
        <v>2022</v>
      </c>
      <c r="H1051" s="4" t="s">
        <v>27</v>
      </c>
      <c r="I1051" s="7" t="s">
        <v>393</v>
      </c>
      <c r="J1051" s="4" t="s">
        <v>93</v>
      </c>
      <c r="K1051" s="3">
        <v>5</v>
      </c>
      <c r="L1051" s="3">
        <v>0</v>
      </c>
      <c r="M1051" s="4" t="s">
        <v>30</v>
      </c>
      <c r="N1051" s="4">
        <v>0</v>
      </c>
      <c r="O1051" s="4" t="s">
        <v>45</v>
      </c>
      <c r="P1051" s="3" t="s">
        <v>52</v>
      </c>
      <c r="Q1051" s="11">
        <v>14</v>
      </c>
      <c r="R1051" s="3" t="s">
        <v>52</v>
      </c>
      <c r="S1051" s="5" t="s">
        <v>56</v>
      </c>
      <c r="T1051" s="4" t="str">
        <f>IF(OR(Tabela1[[#This Row],[Grau de Risco]]="Médio",Tabela1[[#This Row],[Grau de Risco]]="Baixo"),"Não","Sim")</f>
        <v>Não</v>
      </c>
    </row>
    <row r="1052" spans="1:20" hidden="1">
      <c r="A1052" s="4" t="s">
        <v>8</v>
      </c>
      <c r="B1052" s="10" t="s">
        <v>1793</v>
      </c>
      <c r="C1052" s="4" t="s">
        <v>81</v>
      </c>
      <c r="D1052" s="38" t="s">
        <v>1320</v>
      </c>
      <c r="E1052" s="3">
        <v>16</v>
      </c>
      <c r="F1052" s="3">
        <v>10</v>
      </c>
      <c r="G1052" s="3">
        <v>2023</v>
      </c>
      <c r="H1052" s="34" t="s">
        <v>59</v>
      </c>
      <c r="I1052" s="7" t="s">
        <v>420</v>
      </c>
      <c r="J1052" s="4" t="s">
        <v>93</v>
      </c>
      <c r="K1052" s="3" t="s">
        <v>62</v>
      </c>
      <c r="L1052" s="3">
        <v>0</v>
      </c>
      <c r="M1052" s="4" t="s">
        <v>30</v>
      </c>
      <c r="N1052" s="4">
        <v>0</v>
      </c>
      <c r="O1052" s="4" t="s">
        <v>51</v>
      </c>
      <c r="P1052" s="3" t="s">
        <v>52</v>
      </c>
      <c r="Q1052" s="11">
        <v>11</v>
      </c>
      <c r="R1052" s="3" t="s">
        <v>31</v>
      </c>
      <c r="S1052" s="10" t="s">
        <v>32</v>
      </c>
      <c r="T1052" s="4" t="str">
        <f>IF(OR(Tabela1[[#This Row],[Grau de Risco]]="Médio",Tabela1[[#This Row],[Grau de Risco]]="Baixo"),"Não","Sim")</f>
        <v>Não</v>
      </c>
    </row>
    <row r="1053" spans="1:20">
      <c r="A1053" s="4" t="s">
        <v>8</v>
      </c>
      <c r="B1053" s="10" t="s">
        <v>1809</v>
      </c>
      <c r="C1053" s="5" t="s">
        <v>26</v>
      </c>
      <c r="D1053" s="5" t="s">
        <v>148</v>
      </c>
      <c r="E1053" s="3">
        <v>16</v>
      </c>
      <c r="F1053" s="3">
        <v>7</v>
      </c>
      <c r="G1053" s="3">
        <v>2023</v>
      </c>
      <c r="H1053" s="5" t="s">
        <v>123</v>
      </c>
      <c r="I1053" s="7" t="s">
        <v>430</v>
      </c>
      <c r="J1053" s="4" t="s">
        <v>54</v>
      </c>
      <c r="K1053" s="3">
        <v>0</v>
      </c>
      <c r="L1053" s="3"/>
      <c r="M1053" s="4"/>
      <c r="N1053" s="4"/>
      <c r="O1053" s="4" t="s">
        <v>45</v>
      </c>
      <c r="P1053" s="3" t="s">
        <v>52</v>
      </c>
      <c r="Q1053" s="11">
        <v>15</v>
      </c>
      <c r="R1053" s="3" t="s">
        <v>52</v>
      </c>
      <c r="S1053" s="5" t="s">
        <v>56</v>
      </c>
      <c r="T1053" s="4" t="str">
        <f>IF(OR(Tabela1[[#This Row],[Grau de Risco]]="Médio",Tabela1[[#This Row],[Grau de Risco]]="Baixo"),"Não","Sim")</f>
        <v>Não</v>
      </c>
    </row>
    <row r="1054" spans="1:20">
      <c r="A1054" s="4" t="s">
        <v>2</v>
      </c>
      <c r="B1054" s="10" t="s">
        <v>1809</v>
      </c>
      <c r="C1054" s="4" t="s">
        <v>26</v>
      </c>
      <c r="D1054" s="38" t="s">
        <v>1382</v>
      </c>
      <c r="E1054" s="3">
        <v>1</v>
      </c>
      <c r="F1054" s="3">
        <v>3</v>
      </c>
      <c r="G1054" s="3">
        <v>2023</v>
      </c>
      <c r="H1054" s="4" t="s">
        <v>27</v>
      </c>
      <c r="I1054" s="7" t="s">
        <v>452</v>
      </c>
      <c r="J1054" s="4" t="s">
        <v>38</v>
      </c>
      <c r="K1054" s="3">
        <v>14</v>
      </c>
      <c r="L1054" s="3">
        <v>0</v>
      </c>
      <c r="M1054" s="4" t="s">
        <v>30</v>
      </c>
      <c r="N1054" s="4">
        <v>0</v>
      </c>
      <c r="O1054" s="4" t="s">
        <v>45</v>
      </c>
      <c r="P1054" s="3" t="s">
        <v>31</v>
      </c>
      <c r="Q1054" s="11">
        <v>11</v>
      </c>
      <c r="R1054" s="2" t="s">
        <v>31</v>
      </c>
      <c r="S1054" s="5" t="s">
        <v>56</v>
      </c>
      <c r="T1054" s="4" t="str">
        <f>IF(OR(Tabela1[[#This Row],[Grau de Risco]]="Médio",Tabela1[[#This Row],[Grau de Risco]]="Baixo"),"Não","Sim")</f>
        <v>Não</v>
      </c>
    </row>
    <row r="1055" spans="1:20">
      <c r="A1055" s="4" t="s">
        <v>8</v>
      </c>
      <c r="B1055" s="10" t="s">
        <v>1809</v>
      </c>
      <c r="C1055" s="4" t="s">
        <v>97</v>
      </c>
      <c r="D1055" s="38" t="s">
        <v>47</v>
      </c>
      <c r="E1055" s="3">
        <v>16</v>
      </c>
      <c r="F1055" s="3">
        <v>6</v>
      </c>
      <c r="G1055" s="3">
        <v>2023</v>
      </c>
      <c r="H1055" s="36" t="s">
        <v>107</v>
      </c>
      <c r="I1055" s="7" t="s">
        <v>458</v>
      </c>
      <c r="J1055" s="4" t="s">
        <v>290</v>
      </c>
      <c r="K1055" s="3">
        <v>0</v>
      </c>
      <c r="L1055" s="3">
        <v>0</v>
      </c>
      <c r="M1055" s="4" t="s">
        <v>30</v>
      </c>
      <c r="N1055" s="4"/>
      <c r="O1055" s="4" t="s">
        <v>45</v>
      </c>
      <c r="P1055" s="3" t="s">
        <v>52</v>
      </c>
      <c r="Q1055" s="11">
        <v>2</v>
      </c>
      <c r="R1055" s="3" t="str">
        <f>IF(Q1055="","",IF(Q1055&lt;4,"Crítico",IF(Q1055&lt;9,"Alto",IF(Q1055&lt;14,"Médio","Baixo"))))</f>
        <v>Crítico</v>
      </c>
      <c r="S1055" s="10" t="s">
        <v>63</v>
      </c>
      <c r="T1055" s="4" t="str">
        <f>IF(OR(Tabela1[[#This Row],[Grau de Risco]]="Médio",Tabela1[[#This Row],[Grau de Risco]]="Baixo"),"Não","Sim")</f>
        <v>Sim</v>
      </c>
    </row>
    <row r="1056" spans="1:20" hidden="1">
      <c r="A1056" s="4" t="s">
        <v>2</v>
      </c>
      <c r="B1056" s="10" t="s">
        <v>1805</v>
      </c>
      <c r="C1056" s="5" t="s">
        <v>26</v>
      </c>
      <c r="D1056" s="38" t="s">
        <v>1320</v>
      </c>
      <c r="E1056" s="3">
        <v>29</v>
      </c>
      <c r="F1056" s="3">
        <v>5</v>
      </c>
      <c r="G1056" s="3">
        <v>2023</v>
      </c>
      <c r="H1056" s="36" t="s">
        <v>82</v>
      </c>
      <c r="I1056" s="7" t="s">
        <v>460</v>
      </c>
      <c r="J1056" s="4" t="s">
        <v>50</v>
      </c>
      <c r="K1056" s="3">
        <v>3</v>
      </c>
      <c r="L1056" s="3">
        <v>0</v>
      </c>
      <c r="M1056" s="4" t="s">
        <v>30</v>
      </c>
      <c r="N1056" s="4">
        <v>3</v>
      </c>
      <c r="O1056" s="4" t="s">
        <v>85</v>
      </c>
      <c r="P1056" s="3" t="s">
        <v>31</v>
      </c>
      <c r="Q1056" s="11">
        <v>7</v>
      </c>
      <c r="R1056" s="3" t="s">
        <v>102</v>
      </c>
      <c r="S1056" s="5" t="s">
        <v>40</v>
      </c>
      <c r="T1056" s="4" t="str">
        <f>IF(OR(Tabela1[[#This Row],[Grau de Risco]]="Médio",Tabela1[[#This Row],[Grau de Risco]]="Baixo"),"Não","Sim")</f>
        <v>Sim</v>
      </c>
    </row>
    <row r="1057" spans="1:20" hidden="1">
      <c r="A1057" s="4" t="s">
        <v>9</v>
      </c>
      <c r="B1057" s="10" t="s">
        <v>1793</v>
      </c>
      <c r="C1057" s="4" t="s">
        <v>252</v>
      </c>
      <c r="D1057" s="5" t="s">
        <v>36</v>
      </c>
      <c r="E1057" s="3">
        <v>19</v>
      </c>
      <c r="F1057" s="3">
        <v>8</v>
      </c>
      <c r="G1057" s="3">
        <v>2023</v>
      </c>
      <c r="H1057" s="4" t="s">
        <v>86</v>
      </c>
      <c r="I1057" s="7" t="s">
        <v>476</v>
      </c>
      <c r="J1057" s="4" t="s">
        <v>61</v>
      </c>
      <c r="K1057" s="3">
        <v>15</v>
      </c>
      <c r="L1057" s="3">
        <v>0</v>
      </c>
      <c r="M1057" s="4" t="s">
        <v>30</v>
      </c>
      <c r="N1057" s="4"/>
      <c r="O1057" s="4" t="s">
        <v>386</v>
      </c>
      <c r="P1057" s="3" t="s">
        <v>31</v>
      </c>
      <c r="Q1057" s="11">
        <v>2</v>
      </c>
      <c r="R1057" s="3" t="str">
        <f>IF(Q1057="","",IF(Q1057&lt;4,"Crítico",IF(Q1057&lt;9,"Alto",IF(Q1057&lt;14,"Médio","Baixo"))))</f>
        <v>Crítico</v>
      </c>
      <c r="S1057" s="10" t="s">
        <v>63</v>
      </c>
      <c r="T1057" s="4" t="str">
        <f>IF(OR(Tabela1[[#This Row],[Grau de Risco]]="Médio",Tabela1[[#This Row],[Grau de Risco]]="Baixo"),"Não","Sim")</f>
        <v>Sim</v>
      </c>
    </row>
    <row r="1058" spans="1:20">
      <c r="A1058" s="4" t="s">
        <v>8</v>
      </c>
      <c r="B1058" s="10" t="s">
        <v>1809</v>
      </c>
      <c r="C1058" s="4" t="s">
        <v>81</v>
      </c>
      <c r="D1058" s="38" t="s">
        <v>1393</v>
      </c>
      <c r="E1058" s="3">
        <v>26</v>
      </c>
      <c r="F1058" s="3">
        <v>9</v>
      </c>
      <c r="G1058" s="3">
        <v>2023</v>
      </c>
      <c r="H1058" s="4" t="s">
        <v>27</v>
      </c>
      <c r="I1058" s="7" t="s">
        <v>490</v>
      </c>
      <c r="J1058" s="4" t="s">
        <v>69</v>
      </c>
      <c r="K1058" s="3">
        <v>0</v>
      </c>
      <c r="L1058" s="3">
        <v>0</v>
      </c>
      <c r="M1058" s="4" t="s">
        <v>30</v>
      </c>
      <c r="N1058" s="4" t="s">
        <v>44</v>
      </c>
      <c r="O1058" s="4" t="s">
        <v>51</v>
      </c>
      <c r="P1058" s="3" t="s">
        <v>52</v>
      </c>
      <c r="Q1058" s="11">
        <v>11</v>
      </c>
      <c r="R1058" s="2" t="s">
        <v>31</v>
      </c>
      <c r="S1058" s="5" t="s">
        <v>56</v>
      </c>
      <c r="T1058" s="4" t="str">
        <f>IF(OR(Tabela1[[#This Row],[Grau de Risco]]="Médio",Tabela1[[#This Row],[Grau de Risco]]="Baixo"),"Não","Sim")</f>
        <v>Não</v>
      </c>
    </row>
    <row r="1059" spans="1:20">
      <c r="A1059" s="4" t="s">
        <v>7</v>
      </c>
      <c r="B1059" s="10" t="s">
        <v>1809</v>
      </c>
      <c r="C1059" s="4" t="s">
        <v>26</v>
      </c>
      <c r="D1059" s="38" t="s">
        <v>1320</v>
      </c>
      <c r="E1059" s="3">
        <v>23</v>
      </c>
      <c r="F1059" s="3">
        <v>10</v>
      </c>
      <c r="G1059" s="3">
        <v>2023</v>
      </c>
      <c r="H1059" s="36" t="s">
        <v>107</v>
      </c>
      <c r="I1059" s="7" t="s">
        <v>534</v>
      </c>
      <c r="J1059" s="4" t="s">
        <v>61</v>
      </c>
      <c r="K1059" s="3">
        <v>0</v>
      </c>
      <c r="L1059" s="3">
        <v>0</v>
      </c>
      <c r="M1059" s="4" t="s">
        <v>30</v>
      </c>
      <c r="N1059" s="4">
        <v>0</v>
      </c>
      <c r="O1059" s="4" t="s">
        <v>51</v>
      </c>
      <c r="P1059" s="3" t="s">
        <v>52</v>
      </c>
      <c r="Q1059" s="11">
        <v>15</v>
      </c>
      <c r="R1059" s="3" t="str">
        <f>IF(Q1059="","",IF(Q1059&lt;4,"Crítico",IF(Q1059&lt;9,"Alto",IF(Q1059&lt;14,"Médio","Baixo"))))</f>
        <v>Baixo</v>
      </c>
      <c r="S1059" s="10" t="s">
        <v>63</v>
      </c>
      <c r="T1059" s="4" t="str">
        <f>IF(OR(Tabela1[[#This Row],[Grau de Risco]]="Médio",Tabela1[[#This Row],[Grau de Risco]]="Baixo"),"Não","Sim")</f>
        <v>Não</v>
      </c>
    </row>
    <row r="1060" spans="1:20" ht="43.2">
      <c r="A1060" s="4" t="s">
        <v>10</v>
      </c>
      <c r="B1060" s="10" t="s">
        <v>1809</v>
      </c>
      <c r="C1060" s="4" t="s">
        <v>26</v>
      </c>
      <c r="D1060" s="58" t="s">
        <v>1409</v>
      </c>
      <c r="E1060" s="3">
        <v>6</v>
      </c>
      <c r="F1060" s="3">
        <v>7</v>
      </c>
      <c r="G1060" s="3">
        <v>2023</v>
      </c>
      <c r="H1060" s="5" t="s">
        <v>71</v>
      </c>
      <c r="I1060" s="108" t="s">
        <v>1827</v>
      </c>
      <c r="J1060" s="4" t="s">
        <v>79</v>
      </c>
      <c r="K1060" s="3" t="s">
        <v>62</v>
      </c>
      <c r="L1060" s="3">
        <v>0</v>
      </c>
      <c r="M1060" s="4" t="s">
        <v>30</v>
      </c>
      <c r="N1060" s="4">
        <v>0</v>
      </c>
      <c r="O1060" s="4" t="s">
        <v>386</v>
      </c>
      <c r="P1060" s="3" t="s">
        <v>52</v>
      </c>
      <c r="Q1060" s="11">
        <v>14</v>
      </c>
      <c r="R1060" s="3" t="s">
        <v>52</v>
      </c>
      <c r="S1060" s="10" t="s">
        <v>63</v>
      </c>
      <c r="T1060" s="4" t="str">
        <f>IF(OR(Tabela1[[#This Row],[Grau de Risco]]="Médio",Tabela1[[#This Row],[Grau de Risco]]="Baixo"),"Não","Sim")</f>
        <v>Não</v>
      </c>
    </row>
    <row r="1061" spans="1:20" hidden="1">
      <c r="A1061" s="4" t="s">
        <v>2</v>
      </c>
      <c r="B1061" s="10" t="s">
        <v>1800</v>
      </c>
      <c r="C1061" s="4" t="s">
        <v>41</v>
      </c>
      <c r="D1061" s="58" t="s">
        <v>1409</v>
      </c>
      <c r="E1061" s="3">
        <v>19</v>
      </c>
      <c r="F1061" s="3">
        <v>10</v>
      </c>
      <c r="G1061" s="3">
        <v>2023</v>
      </c>
      <c r="H1061" s="36" t="s">
        <v>66</v>
      </c>
      <c r="I1061" s="7" t="s">
        <v>605</v>
      </c>
      <c r="J1061" s="4" t="s">
        <v>54</v>
      </c>
      <c r="K1061" s="3">
        <v>8</v>
      </c>
      <c r="L1061" s="3"/>
      <c r="M1061" s="4"/>
      <c r="N1061" s="4"/>
      <c r="O1061" s="4" t="s">
        <v>4</v>
      </c>
      <c r="P1061" s="3" t="s">
        <v>31</v>
      </c>
      <c r="Q1061" s="11">
        <v>11</v>
      </c>
      <c r="R1061" s="3" t="s">
        <v>31</v>
      </c>
      <c r="S1061" s="5" t="s">
        <v>56</v>
      </c>
      <c r="T1061" s="4" t="str">
        <f>IF(OR(Tabela1[[#This Row],[Grau de Risco]]="Médio",Tabela1[[#This Row],[Grau de Risco]]="Baixo"),"Não","Sim")</f>
        <v>Não</v>
      </c>
    </row>
    <row r="1062" spans="1:20">
      <c r="A1062" s="4" t="s">
        <v>7</v>
      </c>
      <c r="B1062" s="10" t="s">
        <v>1809</v>
      </c>
      <c r="C1062" s="4" t="s">
        <v>97</v>
      </c>
      <c r="D1062" s="58" t="s">
        <v>1409</v>
      </c>
      <c r="E1062" s="3">
        <v>9</v>
      </c>
      <c r="F1062" s="3">
        <v>3</v>
      </c>
      <c r="G1062" s="3">
        <v>2023</v>
      </c>
      <c r="H1062" s="5" t="s">
        <v>71</v>
      </c>
      <c r="I1062" s="7" t="s">
        <v>647</v>
      </c>
      <c r="J1062" s="4" t="s">
        <v>115</v>
      </c>
      <c r="K1062" s="3" t="s">
        <v>62</v>
      </c>
      <c r="L1062" s="3" t="s">
        <v>44</v>
      </c>
      <c r="M1062" s="4" t="s">
        <v>30</v>
      </c>
      <c r="N1062" s="4"/>
      <c r="O1062" s="4" t="s">
        <v>45</v>
      </c>
      <c r="P1062" s="3" t="s">
        <v>52</v>
      </c>
      <c r="Q1062" s="11">
        <v>11</v>
      </c>
      <c r="R1062" s="3" t="str">
        <f>IF(Q1062="","",IF(Q1062&lt;4,"Crítico",IF(Q1062&lt;9,"Alto",IF(Q1062&lt;14,"Médio","Baixo"))))</f>
        <v>Médio</v>
      </c>
      <c r="S1062" s="10" t="s">
        <v>63</v>
      </c>
      <c r="T1062" s="4" t="str">
        <f>IF(OR(Tabela1[[#This Row],[Grau de Risco]]="Médio",Tabela1[[#This Row],[Grau de Risco]]="Baixo"),"Não","Sim")</f>
        <v>Não</v>
      </c>
    </row>
    <row r="1063" spans="1:20">
      <c r="A1063" s="4" t="s">
        <v>2</v>
      </c>
      <c r="B1063" s="10" t="s">
        <v>1809</v>
      </c>
      <c r="C1063" s="5" t="s">
        <v>26</v>
      </c>
      <c r="D1063" s="38" t="s">
        <v>47</v>
      </c>
      <c r="E1063" s="3">
        <v>1</v>
      </c>
      <c r="F1063" s="3">
        <v>9</v>
      </c>
      <c r="G1063" s="3">
        <v>2023</v>
      </c>
      <c r="H1063" s="36" t="s">
        <v>82</v>
      </c>
      <c r="I1063" s="7" t="s">
        <v>658</v>
      </c>
      <c r="J1063" s="4" t="s">
        <v>43</v>
      </c>
      <c r="K1063" s="3">
        <v>15</v>
      </c>
      <c r="L1063" s="3">
        <v>0</v>
      </c>
      <c r="M1063" s="4" t="s">
        <v>30</v>
      </c>
      <c r="N1063" s="4">
        <v>69</v>
      </c>
      <c r="O1063" s="4" t="s">
        <v>55</v>
      </c>
      <c r="P1063" s="3" t="s">
        <v>52</v>
      </c>
      <c r="Q1063" s="11">
        <v>11</v>
      </c>
      <c r="R1063" s="2" t="s">
        <v>31</v>
      </c>
      <c r="S1063" s="5" t="s">
        <v>56</v>
      </c>
      <c r="T1063" s="4" t="str">
        <f>IF(OR(Tabela1[[#This Row],[Grau de Risco]]="Médio",Tabela1[[#This Row],[Grau de Risco]]="Baixo"),"Não","Sim")</f>
        <v>Não</v>
      </c>
    </row>
    <row r="1064" spans="1:20" hidden="1">
      <c r="A1064" s="4" t="s">
        <v>7</v>
      </c>
      <c r="B1064" s="10" t="s">
        <v>1805</v>
      </c>
      <c r="C1064" s="4" t="s">
        <v>41</v>
      </c>
      <c r="D1064" s="38" t="s">
        <v>1393</v>
      </c>
      <c r="E1064" s="3">
        <v>10</v>
      </c>
      <c r="F1064" s="3">
        <v>10</v>
      </c>
      <c r="G1064" s="3">
        <v>2023</v>
      </c>
      <c r="H1064" s="36" t="s">
        <v>33</v>
      </c>
      <c r="I1064" s="7" t="s">
        <v>692</v>
      </c>
      <c r="J1064" s="4" t="s">
        <v>93</v>
      </c>
      <c r="K1064" s="3" t="s">
        <v>62</v>
      </c>
      <c r="L1064" s="3">
        <v>0</v>
      </c>
      <c r="M1064" s="4" t="s">
        <v>30</v>
      </c>
      <c r="N1064" s="4">
        <v>0</v>
      </c>
      <c r="O1064" s="4" t="s">
        <v>45</v>
      </c>
      <c r="P1064" s="3" t="s">
        <v>52</v>
      </c>
      <c r="Q1064" s="11">
        <v>11</v>
      </c>
      <c r="R1064" s="3" t="s">
        <v>31</v>
      </c>
      <c r="S1064" s="5" t="s">
        <v>56</v>
      </c>
      <c r="T1064" s="4" t="str">
        <f>IF(OR(Tabela1[[#This Row],[Grau de Risco]]="Médio",Tabela1[[#This Row],[Grau de Risco]]="Baixo"),"Não","Sim")</f>
        <v>Não</v>
      </c>
    </row>
    <row r="1065" spans="1:20">
      <c r="A1065" s="47" t="s">
        <v>6</v>
      </c>
      <c r="B1065" s="10" t="s">
        <v>1809</v>
      </c>
      <c r="C1065" s="4" t="s">
        <v>81</v>
      </c>
      <c r="D1065" s="38" t="s">
        <v>1393</v>
      </c>
      <c r="E1065" s="3">
        <v>5</v>
      </c>
      <c r="F1065" s="3">
        <v>11</v>
      </c>
      <c r="G1065" s="3">
        <v>2024</v>
      </c>
      <c r="H1065" s="36" t="s">
        <v>33</v>
      </c>
      <c r="I1065" s="7" t="s">
        <v>709</v>
      </c>
      <c r="J1065" s="4" t="s">
        <v>91</v>
      </c>
      <c r="K1065" s="3"/>
      <c r="L1065" s="3"/>
      <c r="M1065" s="4"/>
      <c r="N1065" s="4"/>
      <c r="O1065" s="4" t="s">
        <v>4</v>
      </c>
      <c r="P1065" s="3"/>
      <c r="Q1065" s="11">
        <v>11</v>
      </c>
      <c r="R1065" s="3" t="s">
        <v>31</v>
      </c>
      <c r="S1065" s="10" t="s">
        <v>141</v>
      </c>
      <c r="T1065" s="4" t="str">
        <f>IF(OR(Tabela1[[#This Row],[Grau de Risco]]="Médio",Tabela1[[#This Row],[Grau de Risco]]="Baixo"),"Não","Sim")</f>
        <v>Não</v>
      </c>
    </row>
    <row r="1066" spans="1:20">
      <c r="A1066" s="4" t="s">
        <v>10</v>
      </c>
      <c r="B1066" s="10" t="s">
        <v>1809</v>
      </c>
      <c r="C1066" s="4" t="s">
        <v>26</v>
      </c>
      <c r="D1066" s="38" t="s">
        <v>1320</v>
      </c>
      <c r="E1066" s="3">
        <v>27</v>
      </c>
      <c r="F1066" s="3">
        <v>5</v>
      </c>
      <c r="G1066" s="3">
        <v>2024</v>
      </c>
      <c r="H1066" s="36" t="s">
        <v>112</v>
      </c>
      <c r="I1066" s="7" t="s">
        <v>736</v>
      </c>
      <c r="J1066" s="4" t="s">
        <v>100</v>
      </c>
      <c r="K1066" s="3">
        <v>0</v>
      </c>
      <c r="L1066" s="3">
        <v>0</v>
      </c>
      <c r="M1066" s="4" t="s">
        <v>30</v>
      </c>
      <c r="N1066" s="4">
        <v>0</v>
      </c>
      <c r="O1066" s="4" t="s">
        <v>386</v>
      </c>
      <c r="P1066" s="3" t="s">
        <v>52</v>
      </c>
      <c r="Q1066" s="11">
        <v>11</v>
      </c>
      <c r="R1066" s="3" t="s">
        <v>31</v>
      </c>
      <c r="S1066" s="10" t="s">
        <v>63</v>
      </c>
      <c r="T1066" s="4" t="str">
        <f>IF(OR(Tabela1[[#This Row],[Grau de Risco]]="Médio",Tabela1[[#This Row],[Grau de Risco]]="Baixo"),"Não","Sim")</f>
        <v>Não</v>
      </c>
    </row>
    <row r="1067" spans="1:20">
      <c r="A1067" s="4" t="s">
        <v>8</v>
      </c>
      <c r="B1067" s="10" t="s">
        <v>1809</v>
      </c>
      <c r="C1067" s="4" t="s">
        <v>740</v>
      </c>
      <c r="D1067" s="38" t="s">
        <v>1382</v>
      </c>
      <c r="E1067" s="3">
        <v>17</v>
      </c>
      <c r="F1067" s="3">
        <v>7</v>
      </c>
      <c r="G1067" s="3">
        <v>2024</v>
      </c>
      <c r="H1067" s="36" t="s">
        <v>66</v>
      </c>
      <c r="I1067" s="7" t="s">
        <v>741</v>
      </c>
      <c r="J1067" s="4" t="s">
        <v>29</v>
      </c>
      <c r="K1067" s="3" t="s">
        <v>44</v>
      </c>
      <c r="L1067" s="3" t="s">
        <v>44</v>
      </c>
      <c r="M1067" s="4"/>
      <c r="N1067" s="4" t="s">
        <v>44</v>
      </c>
      <c r="O1067" s="4"/>
      <c r="P1067" s="3" t="s">
        <v>52</v>
      </c>
      <c r="Q1067" s="11">
        <v>11</v>
      </c>
      <c r="R1067" s="3" t="s">
        <v>31</v>
      </c>
      <c r="S1067" s="10" t="s">
        <v>178</v>
      </c>
      <c r="T1067" s="4" t="str">
        <f>IF(OR(Tabela1[[#This Row],[Grau de Risco]]="Médio",Tabela1[[#This Row],[Grau de Risco]]="Baixo"),"Não","Sim")</f>
        <v>Não</v>
      </c>
    </row>
    <row r="1068" spans="1:20">
      <c r="A1068" s="4" t="s">
        <v>7</v>
      </c>
      <c r="B1068" s="10" t="s">
        <v>1809</v>
      </c>
      <c r="C1068" s="4" t="s">
        <v>97</v>
      </c>
      <c r="D1068" s="38" t="s">
        <v>1320</v>
      </c>
      <c r="E1068" s="3">
        <v>24</v>
      </c>
      <c r="F1068" s="3">
        <v>6</v>
      </c>
      <c r="G1068" s="3">
        <v>2024</v>
      </c>
      <c r="H1068" s="36" t="s">
        <v>66</v>
      </c>
      <c r="I1068" s="7" t="s">
        <v>1701</v>
      </c>
      <c r="J1068" s="4" t="s">
        <v>154</v>
      </c>
      <c r="K1068" s="3" t="s">
        <v>44</v>
      </c>
      <c r="L1068" s="3" t="s">
        <v>44</v>
      </c>
      <c r="M1068" s="4"/>
      <c r="N1068" s="4" t="s">
        <v>44</v>
      </c>
      <c r="O1068" s="4"/>
      <c r="P1068" s="3"/>
      <c r="Q1068" s="11">
        <v>11</v>
      </c>
      <c r="R1068" s="3" t="s">
        <v>31</v>
      </c>
      <c r="S1068" s="5" t="s">
        <v>40</v>
      </c>
      <c r="T1068" s="4" t="str">
        <f>IF(OR(Tabela1[[#This Row],[Grau de Risco]]="Médio",Tabela1[[#This Row],[Grau de Risco]]="Baixo"),"Não","Sim")</f>
        <v>Não</v>
      </c>
    </row>
    <row r="1069" spans="1:20" hidden="1">
      <c r="A1069" s="4" t="s">
        <v>8</v>
      </c>
      <c r="B1069" s="10" t="s">
        <v>1793</v>
      </c>
      <c r="C1069" s="4" t="s">
        <v>26</v>
      </c>
      <c r="D1069" s="58" t="s">
        <v>1409</v>
      </c>
      <c r="E1069" s="3">
        <v>9</v>
      </c>
      <c r="F1069" s="3">
        <v>5</v>
      </c>
      <c r="G1069" s="3">
        <v>2024</v>
      </c>
      <c r="H1069" s="4" t="s">
        <v>27</v>
      </c>
      <c r="I1069" s="7" t="s">
        <v>744</v>
      </c>
      <c r="J1069" s="4" t="s">
        <v>154</v>
      </c>
      <c r="K1069" s="3">
        <v>0</v>
      </c>
      <c r="L1069" s="3">
        <v>0</v>
      </c>
      <c r="M1069" s="4" t="s">
        <v>30</v>
      </c>
      <c r="N1069" s="4">
        <v>0</v>
      </c>
      <c r="O1069" s="4" t="s">
        <v>55</v>
      </c>
      <c r="P1069" s="3" t="s">
        <v>52</v>
      </c>
      <c r="Q1069" s="11">
        <v>15</v>
      </c>
      <c r="R1069" s="3" t="s">
        <v>52</v>
      </c>
      <c r="S1069" s="10" t="s">
        <v>178</v>
      </c>
      <c r="T1069" s="4" t="str">
        <f>IF(OR(Tabela1[[#This Row],[Grau de Risco]]="Médio",Tabela1[[#This Row],[Grau de Risco]]="Baixo"),"Não","Sim")</f>
        <v>Não</v>
      </c>
    </row>
    <row r="1070" spans="1:20">
      <c r="A1070" s="4" t="s">
        <v>7</v>
      </c>
      <c r="B1070" s="10" t="s">
        <v>1809</v>
      </c>
      <c r="C1070" s="4" t="s">
        <v>26</v>
      </c>
      <c r="D1070" s="58" t="s">
        <v>1409</v>
      </c>
      <c r="E1070" s="3">
        <v>12</v>
      </c>
      <c r="F1070" s="3">
        <v>9</v>
      </c>
      <c r="G1070" s="3">
        <v>2024</v>
      </c>
      <c r="H1070" s="5" t="s">
        <v>48</v>
      </c>
      <c r="I1070" s="7" t="s">
        <v>1702</v>
      </c>
      <c r="J1070" s="4" t="s">
        <v>115</v>
      </c>
      <c r="K1070" s="3"/>
      <c r="L1070" s="3"/>
      <c r="M1070" s="4"/>
      <c r="N1070" s="4"/>
      <c r="O1070" s="4"/>
      <c r="P1070" s="3"/>
      <c r="Q1070" s="11">
        <v>15</v>
      </c>
      <c r="R1070" s="3" t="s">
        <v>52</v>
      </c>
      <c r="S1070" s="10" t="s">
        <v>63</v>
      </c>
      <c r="T1070" s="4" t="str">
        <f>IF(OR(Tabela1[[#This Row],[Grau de Risco]]="Médio",Tabela1[[#This Row],[Grau de Risco]]="Baixo"),"Não","Sim")</f>
        <v>Não</v>
      </c>
    </row>
    <row r="1071" spans="1:20" hidden="1">
      <c r="A1071" s="4" t="s">
        <v>9</v>
      </c>
      <c r="B1071" s="10" t="s">
        <v>1797</v>
      </c>
      <c r="C1071" s="4" t="s">
        <v>252</v>
      </c>
      <c r="D1071" s="38" t="s">
        <v>47</v>
      </c>
      <c r="E1071" s="3">
        <v>4</v>
      </c>
      <c r="F1071" s="3">
        <v>10</v>
      </c>
      <c r="G1071" s="3">
        <v>2024</v>
      </c>
      <c r="H1071" s="36" t="s">
        <v>375</v>
      </c>
      <c r="I1071" s="7" t="s">
        <v>761</v>
      </c>
      <c r="J1071" s="4" t="s">
        <v>38</v>
      </c>
      <c r="K1071" s="3">
        <v>3</v>
      </c>
      <c r="L1071" s="3" t="s">
        <v>30</v>
      </c>
      <c r="M1071" s="4" t="s">
        <v>30</v>
      </c>
      <c r="N1071" s="4" t="s">
        <v>44</v>
      </c>
      <c r="O1071" s="4" t="s">
        <v>301</v>
      </c>
      <c r="P1071" s="3" t="s">
        <v>31</v>
      </c>
      <c r="Q1071" s="11">
        <v>11</v>
      </c>
      <c r="R1071" s="3" t="s">
        <v>31</v>
      </c>
      <c r="S1071" s="10" t="s">
        <v>63</v>
      </c>
      <c r="T1071" s="4" t="str">
        <f>IF(OR(Tabela1[[#This Row],[Grau de Risco]]="Médio",Tabela1[[#This Row],[Grau de Risco]]="Baixo"),"Não","Sim")</f>
        <v>Não</v>
      </c>
    </row>
    <row r="1072" spans="1:20">
      <c r="A1072" s="4" t="s">
        <v>7</v>
      </c>
      <c r="B1072" s="10" t="s">
        <v>1809</v>
      </c>
      <c r="C1072" s="4" t="s">
        <v>81</v>
      </c>
      <c r="D1072" s="38" t="s">
        <v>1393</v>
      </c>
      <c r="E1072" s="3">
        <v>1</v>
      </c>
      <c r="F1072" s="3">
        <v>10</v>
      </c>
      <c r="G1072" s="3">
        <v>2024</v>
      </c>
      <c r="H1072" s="36" t="s">
        <v>82</v>
      </c>
      <c r="I1072" s="7" t="s">
        <v>769</v>
      </c>
      <c r="J1072" s="4" t="s">
        <v>43</v>
      </c>
      <c r="K1072" s="3" t="s">
        <v>44</v>
      </c>
      <c r="L1072" s="3" t="s">
        <v>44</v>
      </c>
      <c r="M1072" s="4"/>
      <c r="N1072" s="4" t="s">
        <v>44</v>
      </c>
      <c r="O1072" s="4"/>
      <c r="P1072" s="3"/>
      <c r="Q1072" s="11">
        <v>4</v>
      </c>
      <c r="R1072" s="3" t="s">
        <v>102</v>
      </c>
      <c r="S1072" s="10" t="s">
        <v>63</v>
      </c>
      <c r="T1072" s="4" t="str">
        <f>IF(OR(Tabela1[[#This Row],[Grau de Risco]]="Médio",Tabela1[[#This Row],[Grau de Risco]]="Baixo"),"Não","Sim")</f>
        <v>Sim</v>
      </c>
    </row>
    <row r="1073" spans="1:20">
      <c r="A1073" s="5" t="s">
        <v>7</v>
      </c>
      <c r="B1073" s="10" t="s">
        <v>1809</v>
      </c>
      <c r="C1073" s="4" t="s">
        <v>26</v>
      </c>
      <c r="D1073" s="38" t="s">
        <v>1382</v>
      </c>
      <c r="E1073" s="3">
        <v>10</v>
      </c>
      <c r="F1073" s="3">
        <v>4</v>
      </c>
      <c r="G1073" s="3">
        <v>2024</v>
      </c>
      <c r="H1073" s="36" t="s">
        <v>112</v>
      </c>
      <c r="I1073" s="7" t="s">
        <v>776</v>
      </c>
      <c r="J1073" s="4" t="s">
        <v>54</v>
      </c>
      <c r="K1073" s="3" t="s">
        <v>44</v>
      </c>
      <c r="L1073" s="3" t="s">
        <v>30</v>
      </c>
      <c r="M1073" s="4" t="s">
        <v>30</v>
      </c>
      <c r="N1073" s="4" t="s">
        <v>44</v>
      </c>
      <c r="O1073" s="4" t="s">
        <v>77</v>
      </c>
      <c r="P1073" s="3"/>
      <c r="Q1073" s="11">
        <v>11</v>
      </c>
      <c r="R1073" s="3" t="s">
        <v>31</v>
      </c>
      <c r="S1073" s="10" t="s">
        <v>63</v>
      </c>
      <c r="T1073" s="4" t="str">
        <f>IF(OR(Tabela1[[#This Row],[Grau de Risco]]="Médio",Tabela1[[#This Row],[Grau de Risco]]="Baixo"),"Não","Sim")</f>
        <v>Não</v>
      </c>
    </row>
    <row r="1074" spans="1:20" hidden="1">
      <c r="A1074" s="4" t="s">
        <v>8</v>
      </c>
      <c r="B1074" s="10" t="s">
        <v>1797</v>
      </c>
      <c r="C1074" s="4" t="s">
        <v>252</v>
      </c>
      <c r="D1074" s="38" t="s">
        <v>1382</v>
      </c>
      <c r="E1074" s="3">
        <v>10</v>
      </c>
      <c r="F1074" s="3">
        <v>4</v>
      </c>
      <c r="G1074" s="3">
        <v>2024</v>
      </c>
      <c r="H1074" s="36" t="s">
        <v>82</v>
      </c>
      <c r="I1074" s="7" t="s">
        <v>834</v>
      </c>
      <c r="J1074" s="4" t="s">
        <v>29</v>
      </c>
      <c r="K1074" s="3" t="s">
        <v>44</v>
      </c>
      <c r="L1074" s="3" t="s">
        <v>44</v>
      </c>
      <c r="M1074" s="4"/>
      <c r="N1074" s="4" t="s">
        <v>44</v>
      </c>
      <c r="O1074" s="4"/>
      <c r="P1074" s="3" t="s">
        <v>52</v>
      </c>
      <c r="Q1074" s="11">
        <v>15</v>
      </c>
      <c r="R1074" s="3" t="s">
        <v>52</v>
      </c>
      <c r="S1074" s="10" t="s">
        <v>32</v>
      </c>
      <c r="T1074" s="4" t="str">
        <f>IF(OR(Tabela1[[#This Row],[Grau de Risco]]="Médio",Tabela1[[#This Row],[Grau de Risco]]="Baixo"),"Não","Sim")</f>
        <v>Não</v>
      </c>
    </row>
    <row r="1075" spans="1:20" hidden="1">
      <c r="A1075" s="4" t="s">
        <v>7</v>
      </c>
      <c r="B1075" s="10" t="s">
        <v>1805</v>
      </c>
      <c r="C1075" s="4" t="s">
        <v>46</v>
      </c>
      <c r="D1075" s="58" t="s">
        <v>1409</v>
      </c>
      <c r="E1075" s="3">
        <v>12</v>
      </c>
      <c r="F1075" s="3">
        <v>9</v>
      </c>
      <c r="G1075" s="3">
        <v>2024</v>
      </c>
      <c r="H1075" s="5" t="s">
        <v>123</v>
      </c>
      <c r="I1075" s="7" t="s">
        <v>1703</v>
      </c>
      <c r="J1075" s="4" t="s">
        <v>79</v>
      </c>
      <c r="K1075" s="3" t="s">
        <v>44</v>
      </c>
      <c r="L1075" s="3" t="s">
        <v>44</v>
      </c>
      <c r="M1075" s="4"/>
      <c r="N1075" s="4" t="s">
        <v>44</v>
      </c>
      <c r="O1075" s="4"/>
      <c r="P1075" s="3" t="s">
        <v>52</v>
      </c>
      <c r="Q1075" s="11">
        <v>15</v>
      </c>
      <c r="R1075" s="3" t="s">
        <v>52</v>
      </c>
      <c r="S1075" s="5" t="s">
        <v>56</v>
      </c>
      <c r="T1075" s="4" t="str">
        <f>IF(OR(Tabela1[[#This Row],[Grau de Risco]]="Médio",Tabela1[[#This Row],[Grau de Risco]]="Baixo"),"Não","Sim")</f>
        <v>Não</v>
      </c>
    </row>
    <row r="1076" spans="1:20" hidden="1">
      <c r="A1076" s="4" t="s">
        <v>7</v>
      </c>
      <c r="B1076" s="10" t="s">
        <v>1797</v>
      </c>
      <c r="C1076" s="4" t="s">
        <v>252</v>
      </c>
      <c r="D1076" s="38" t="s">
        <v>1320</v>
      </c>
      <c r="E1076" s="3">
        <v>8</v>
      </c>
      <c r="F1076" s="3">
        <v>4</v>
      </c>
      <c r="G1076" s="3">
        <v>2024</v>
      </c>
      <c r="H1076" s="36" t="s">
        <v>112</v>
      </c>
      <c r="I1076" s="7" t="s">
        <v>940</v>
      </c>
      <c r="J1076" s="4" t="s">
        <v>111</v>
      </c>
      <c r="K1076" s="3" t="s">
        <v>62</v>
      </c>
      <c r="L1076" s="3"/>
      <c r="M1076" s="4"/>
      <c r="N1076" s="4"/>
      <c r="O1076" s="4" t="s">
        <v>498</v>
      </c>
      <c r="P1076" s="3"/>
      <c r="Q1076" s="11">
        <v>16</v>
      </c>
      <c r="R1076" s="3" t="s">
        <v>52</v>
      </c>
      <c r="S1076" s="10" t="s">
        <v>4</v>
      </c>
      <c r="T1076" s="4" t="str">
        <f>IF(OR(Tabela1[[#This Row],[Grau de Risco]]="Médio",Tabela1[[#This Row],[Grau de Risco]]="Baixo"),"Não","Sim")</f>
        <v>Não</v>
      </c>
    </row>
    <row r="1077" spans="1:20" hidden="1">
      <c r="A1077" s="28" t="s">
        <v>8</v>
      </c>
      <c r="B1077" s="33" t="s">
        <v>1800</v>
      </c>
      <c r="C1077" s="28" t="s">
        <v>81</v>
      </c>
      <c r="D1077" s="38" t="s">
        <v>1320</v>
      </c>
      <c r="E1077" s="32">
        <v>29</v>
      </c>
      <c r="F1077" s="32">
        <v>7</v>
      </c>
      <c r="G1077" s="32">
        <v>2024</v>
      </c>
      <c r="H1077" s="5" t="s">
        <v>71</v>
      </c>
      <c r="I1077" s="29" t="s">
        <v>1704</v>
      </c>
      <c r="J1077" s="28" t="s">
        <v>61</v>
      </c>
      <c r="K1077" s="3">
        <v>0</v>
      </c>
      <c r="L1077" s="32" t="s">
        <v>80</v>
      </c>
      <c r="M1077" s="28" t="s">
        <v>30</v>
      </c>
      <c r="N1077" s="28"/>
      <c r="O1077" s="28"/>
      <c r="P1077" s="32" t="s">
        <v>52</v>
      </c>
      <c r="Q1077" s="35">
        <v>11</v>
      </c>
      <c r="R1077" s="32" t="s">
        <v>31</v>
      </c>
      <c r="S1077" s="33" t="s">
        <v>4</v>
      </c>
      <c r="T1077" s="4" t="str">
        <f>IF(OR(Tabela1[[#This Row],[Grau de Risco]]="Médio",Tabela1[[#This Row],[Grau de Risco]]="Baixo"),"Não","Sim")</f>
        <v>Não</v>
      </c>
    </row>
    <row r="1078" spans="1:20" hidden="1">
      <c r="A1078" s="4" t="s">
        <v>8</v>
      </c>
      <c r="B1078" s="10" t="s">
        <v>1805</v>
      </c>
      <c r="C1078" s="4" t="s">
        <v>252</v>
      </c>
      <c r="D1078" s="38" t="s">
        <v>47</v>
      </c>
      <c r="E1078" s="3">
        <v>26</v>
      </c>
      <c r="F1078" s="3">
        <v>1</v>
      </c>
      <c r="G1078" s="3">
        <v>2024</v>
      </c>
      <c r="H1078" s="4" t="s">
        <v>27</v>
      </c>
      <c r="I1078" s="7" t="s">
        <v>1065</v>
      </c>
      <c r="J1078" s="4" t="s">
        <v>61</v>
      </c>
      <c r="K1078" s="3" t="s">
        <v>62</v>
      </c>
      <c r="L1078" s="3">
        <v>0</v>
      </c>
      <c r="M1078" s="4" t="s">
        <v>30</v>
      </c>
      <c r="N1078" s="4">
        <v>0</v>
      </c>
      <c r="O1078" s="4" t="s">
        <v>159</v>
      </c>
      <c r="P1078" s="3" t="s">
        <v>52</v>
      </c>
      <c r="Q1078" s="11">
        <v>15</v>
      </c>
      <c r="R1078" s="3" t="s">
        <v>52</v>
      </c>
      <c r="S1078" s="10" t="s">
        <v>63</v>
      </c>
      <c r="T1078" s="4" t="str">
        <f>IF(OR(Tabela1[[#This Row],[Grau de Risco]]="Médio",Tabela1[[#This Row],[Grau de Risco]]="Baixo"),"Não","Sim")</f>
        <v>Não</v>
      </c>
    </row>
    <row r="1079" spans="1:20" hidden="1">
      <c r="A1079" s="4" t="s">
        <v>8</v>
      </c>
      <c r="B1079" s="10" t="s">
        <v>1805</v>
      </c>
      <c r="C1079" s="4" t="s">
        <v>252</v>
      </c>
      <c r="D1079" s="38" t="s">
        <v>1382</v>
      </c>
      <c r="E1079" s="3">
        <v>26</v>
      </c>
      <c r="F1079" s="3">
        <v>6</v>
      </c>
      <c r="G1079" s="3">
        <v>2024</v>
      </c>
      <c r="H1079" s="36" t="s">
        <v>107</v>
      </c>
      <c r="I1079" s="7" t="s">
        <v>1085</v>
      </c>
      <c r="J1079" s="4" t="s">
        <v>93</v>
      </c>
      <c r="K1079" s="3">
        <v>0</v>
      </c>
      <c r="L1079" s="3">
        <v>0</v>
      </c>
      <c r="M1079" s="4" t="s">
        <v>30</v>
      </c>
      <c r="N1079" s="4">
        <v>0</v>
      </c>
      <c r="O1079" s="4" t="s">
        <v>88</v>
      </c>
      <c r="P1079" s="3" t="s">
        <v>52</v>
      </c>
      <c r="Q1079" s="11">
        <v>15</v>
      </c>
      <c r="R1079" s="3" t="s">
        <v>52</v>
      </c>
      <c r="S1079" s="5" t="s">
        <v>56</v>
      </c>
      <c r="T1079" s="4" t="str">
        <f>IF(OR(Tabela1[[#This Row],[Grau de Risco]]="Médio",Tabela1[[#This Row],[Grau de Risco]]="Baixo"),"Não","Sim")</f>
        <v>Não</v>
      </c>
    </row>
    <row r="1080" spans="1:20" hidden="1">
      <c r="A1080" s="4" t="s">
        <v>9</v>
      </c>
      <c r="B1080" s="10" t="s">
        <v>1805</v>
      </c>
      <c r="C1080" s="4" t="s">
        <v>41</v>
      </c>
      <c r="D1080" s="58" t="s">
        <v>1409</v>
      </c>
      <c r="E1080" s="3">
        <v>16</v>
      </c>
      <c r="F1080" s="3">
        <v>5</v>
      </c>
      <c r="G1080" s="3">
        <v>2024</v>
      </c>
      <c r="H1080" s="5" t="s">
        <v>209</v>
      </c>
      <c r="I1080" s="7" t="s">
        <v>1095</v>
      </c>
      <c r="J1080" s="4" t="s">
        <v>61</v>
      </c>
      <c r="K1080" s="3">
        <v>15</v>
      </c>
      <c r="L1080" s="3">
        <v>0</v>
      </c>
      <c r="M1080" s="4" t="s">
        <v>30</v>
      </c>
      <c r="N1080" s="4">
        <v>0</v>
      </c>
      <c r="O1080" s="4" t="s">
        <v>386</v>
      </c>
      <c r="P1080" s="3" t="s">
        <v>52</v>
      </c>
      <c r="Q1080" s="11">
        <v>11</v>
      </c>
      <c r="R1080" s="3" t="s">
        <v>31</v>
      </c>
      <c r="S1080" s="10" t="s">
        <v>63</v>
      </c>
      <c r="T1080" s="4" t="str">
        <f>IF(OR(Tabela1[[#This Row],[Grau de Risco]]="Médio",Tabela1[[#This Row],[Grau de Risco]]="Baixo"),"Não","Sim")</f>
        <v>Não</v>
      </c>
    </row>
    <row r="1081" spans="1:20">
      <c r="A1081" s="4" t="s">
        <v>7</v>
      </c>
      <c r="B1081" s="10" t="s">
        <v>1809</v>
      </c>
      <c r="C1081" s="4"/>
      <c r="D1081" s="58" t="s">
        <v>1409</v>
      </c>
      <c r="E1081" s="3">
        <v>1</v>
      </c>
      <c r="F1081" s="3">
        <v>8</v>
      </c>
      <c r="G1081" s="3">
        <v>2024</v>
      </c>
      <c r="H1081" s="36" t="s">
        <v>33</v>
      </c>
      <c r="I1081" s="7" t="s">
        <v>1096</v>
      </c>
      <c r="J1081" s="4" t="s">
        <v>61</v>
      </c>
      <c r="K1081" s="3" t="s">
        <v>62</v>
      </c>
      <c r="L1081" s="3"/>
      <c r="M1081" s="4"/>
      <c r="N1081" s="4"/>
      <c r="O1081" s="4" t="s">
        <v>85</v>
      </c>
      <c r="P1081" s="3"/>
      <c r="Q1081" s="11">
        <v>15</v>
      </c>
      <c r="R1081" s="3" t="s">
        <v>52</v>
      </c>
      <c r="S1081" s="5" t="s">
        <v>40</v>
      </c>
      <c r="T1081" s="4" t="str">
        <f>IF(OR(Tabela1[[#This Row],[Grau de Risco]]="Médio",Tabela1[[#This Row],[Grau de Risco]]="Baixo"),"Não","Sim")</f>
        <v>Não</v>
      </c>
    </row>
    <row r="1082" spans="1:20" hidden="1">
      <c r="A1082" s="5" t="s">
        <v>7</v>
      </c>
      <c r="B1082" s="10" t="s">
        <v>1800</v>
      </c>
      <c r="C1082" s="4" t="s">
        <v>81</v>
      </c>
      <c r="D1082" s="38" t="s">
        <v>1320</v>
      </c>
      <c r="E1082" s="3">
        <v>21</v>
      </c>
      <c r="F1082" s="3">
        <v>10</v>
      </c>
      <c r="G1082" s="3">
        <v>2024</v>
      </c>
      <c r="H1082" s="36" t="s">
        <v>66</v>
      </c>
      <c r="I1082" s="7" t="s">
        <v>1705</v>
      </c>
      <c r="J1082" s="4" t="s">
        <v>43</v>
      </c>
      <c r="K1082" s="3" t="s">
        <v>80</v>
      </c>
      <c r="L1082" s="3" t="s">
        <v>80</v>
      </c>
      <c r="M1082" s="4" t="s">
        <v>30</v>
      </c>
      <c r="N1082" s="4" t="s">
        <v>80</v>
      </c>
      <c r="O1082" s="4"/>
      <c r="P1082" s="3"/>
      <c r="Q1082" s="11">
        <v>13</v>
      </c>
      <c r="R1082" s="3" t="s">
        <v>31</v>
      </c>
      <c r="S1082" s="10" t="s">
        <v>4</v>
      </c>
      <c r="T1082" s="4" t="str">
        <f>IF(OR(Tabela1[[#This Row],[Grau de Risco]]="Médio",Tabela1[[#This Row],[Grau de Risco]]="Baixo"),"Não","Sim")</f>
        <v>Não</v>
      </c>
    </row>
    <row r="1083" spans="1:20" hidden="1">
      <c r="A1083" s="4" t="s">
        <v>2</v>
      </c>
      <c r="B1083" s="10" t="s">
        <v>1797</v>
      </c>
      <c r="C1083" s="4" t="s">
        <v>252</v>
      </c>
      <c r="D1083" s="38" t="s">
        <v>47</v>
      </c>
      <c r="E1083" s="3">
        <v>4</v>
      </c>
      <c r="F1083" s="3">
        <v>10</v>
      </c>
      <c r="G1083" s="3">
        <v>2024</v>
      </c>
      <c r="H1083" s="36" t="s">
        <v>33</v>
      </c>
      <c r="I1083" s="7" t="s">
        <v>1098</v>
      </c>
      <c r="J1083" s="4" t="s">
        <v>79</v>
      </c>
      <c r="K1083" s="3">
        <v>14</v>
      </c>
      <c r="L1083" s="3">
        <v>0</v>
      </c>
      <c r="M1083" s="4"/>
      <c r="N1083" s="4"/>
      <c r="O1083" s="4" t="s">
        <v>45</v>
      </c>
      <c r="P1083" s="3" t="s">
        <v>31</v>
      </c>
      <c r="Q1083" s="11">
        <v>11</v>
      </c>
      <c r="R1083" s="3" t="s">
        <v>31</v>
      </c>
      <c r="S1083" s="5" t="s">
        <v>56</v>
      </c>
      <c r="T1083" s="4" t="str">
        <f>IF(OR(Tabela1[[#This Row],[Grau de Risco]]="Médio",Tabela1[[#This Row],[Grau de Risco]]="Baixo"),"Não","Sim")</f>
        <v>Não</v>
      </c>
    </row>
    <row r="1084" spans="1:20">
      <c r="A1084" s="28" t="s">
        <v>7</v>
      </c>
      <c r="B1084" s="10" t="s">
        <v>1809</v>
      </c>
      <c r="C1084" s="28" t="s">
        <v>26</v>
      </c>
      <c r="D1084" s="5" t="s">
        <v>36</v>
      </c>
      <c r="E1084" s="32">
        <v>8</v>
      </c>
      <c r="F1084" s="32">
        <v>2</v>
      </c>
      <c r="G1084" s="32">
        <v>2025</v>
      </c>
      <c r="H1084" s="4" t="s">
        <v>27</v>
      </c>
      <c r="I1084" s="29" t="s">
        <v>1150</v>
      </c>
      <c r="J1084" s="28" t="s">
        <v>229</v>
      </c>
      <c r="K1084" s="32"/>
      <c r="L1084" s="32"/>
      <c r="M1084" s="28"/>
      <c r="N1084" s="28"/>
      <c r="O1084" s="28" t="s">
        <v>4</v>
      </c>
      <c r="P1084" s="32"/>
      <c r="Q1084" s="11">
        <v>16</v>
      </c>
      <c r="R1084" s="3" t="s">
        <v>52</v>
      </c>
      <c r="S1084" s="5" t="s">
        <v>56</v>
      </c>
      <c r="T1084" s="4" t="str">
        <f>IF(OR(Tabela1[[#This Row],[Grau de Risco]]="Médio",Tabela1[[#This Row],[Grau de Risco]]="Baixo"),"Não","Sim")</f>
        <v>Não</v>
      </c>
    </row>
    <row r="1085" spans="1:20">
      <c r="A1085" s="28" t="s">
        <v>7</v>
      </c>
      <c r="B1085" s="10" t="s">
        <v>1809</v>
      </c>
      <c r="C1085" s="28" t="s">
        <v>252</v>
      </c>
      <c r="D1085" s="38" t="s">
        <v>1320</v>
      </c>
      <c r="E1085" s="32">
        <v>17</v>
      </c>
      <c r="F1085" s="32">
        <v>3</v>
      </c>
      <c r="G1085" s="32">
        <v>2025</v>
      </c>
      <c r="H1085" s="34" t="s">
        <v>59</v>
      </c>
      <c r="I1085" s="29" t="s">
        <v>1191</v>
      </c>
      <c r="J1085" s="28" t="s">
        <v>61</v>
      </c>
      <c r="K1085" s="32"/>
      <c r="L1085" s="32"/>
      <c r="M1085" s="28"/>
      <c r="N1085" s="28"/>
      <c r="O1085" s="28" t="s">
        <v>4</v>
      </c>
      <c r="P1085" s="32"/>
      <c r="Q1085" s="35">
        <v>14</v>
      </c>
      <c r="R1085" s="32" t="s">
        <v>52</v>
      </c>
      <c r="S1085" s="10" t="s">
        <v>141</v>
      </c>
      <c r="T1085" s="4" t="str">
        <f>IF(OR(Tabela1[[#This Row],[Grau de Risco]]="Médio",Tabela1[[#This Row],[Grau de Risco]]="Baixo"),"Não","Sim")</f>
        <v>Não</v>
      </c>
    </row>
    <row r="1086" spans="1:20" hidden="1">
      <c r="A1086" s="4" t="s">
        <v>2</v>
      </c>
      <c r="B1086" s="10" t="s">
        <v>1805</v>
      </c>
      <c r="C1086" s="4" t="s">
        <v>26</v>
      </c>
      <c r="D1086" s="38" t="s">
        <v>1382</v>
      </c>
      <c r="E1086" s="3">
        <v>26</v>
      </c>
      <c r="F1086" s="3">
        <v>3</v>
      </c>
      <c r="G1086" s="3">
        <v>2025</v>
      </c>
      <c r="H1086" s="36" t="s">
        <v>82</v>
      </c>
      <c r="I1086" s="7" t="s">
        <v>1202</v>
      </c>
      <c r="J1086" s="4" t="s">
        <v>69</v>
      </c>
      <c r="K1086" s="3">
        <v>2</v>
      </c>
      <c r="L1086" s="3">
        <v>0</v>
      </c>
      <c r="M1086" s="4" t="s">
        <v>30</v>
      </c>
      <c r="N1086" s="4">
        <v>0</v>
      </c>
      <c r="O1086" s="4" t="s">
        <v>159</v>
      </c>
      <c r="P1086" s="3" t="s">
        <v>52</v>
      </c>
      <c r="Q1086" s="11">
        <v>14</v>
      </c>
      <c r="R1086" s="3" t="s">
        <v>52</v>
      </c>
      <c r="S1086" s="5" t="s">
        <v>56</v>
      </c>
      <c r="T1086" s="4" t="str">
        <f>IF(OR(Tabela1[[#This Row],[Grau de Risco]]="Médio",Tabela1[[#This Row],[Grau de Risco]]="Baixo"),"Não","Sim")</f>
        <v>Não</v>
      </c>
    </row>
    <row r="1087" spans="1:20" hidden="1">
      <c r="A1087" s="28" t="s">
        <v>8</v>
      </c>
      <c r="B1087" s="33" t="s">
        <v>1800</v>
      </c>
      <c r="C1087" s="4" t="s">
        <v>41</v>
      </c>
      <c r="D1087" s="38" t="s">
        <v>148</v>
      </c>
      <c r="E1087" s="32">
        <v>1</v>
      </c>
      <c r="F1087" s="32">
        <v>5</v>
      </c>
      <c r="G1087" s="32">
        <v>2025</v>
      </c>
      <c r="H1087" s="38" t="s">
        <v>66</v>
      </c>
      <c r="I1087" s="29" t="s">
        <v>1243</v>
      </c>
      <c r="J1087" s="28" t="s">
        <v>69</v>
      </c>
      <c r="K1087" s="32" t="s">
        <v>80</v>
      </c>
      <c r="L1087" s="32" t="s">
        <v>80</v>
      </c>
      <c r="M1087" s="28" t="s">
        <v>30</v>
      </c>
      <c r="N1087" s="28" t="s">
        <v>80</v>
      </c>
      <c r="O1087" s="4" t="s">
        <v>4</v>
      </c>
      <c r="P1087" s="32" t="s">
        <v>52</v>
      </c>
      <c r="Q1087" s="35">
        <v>10</v>
      </c>
      <c r="R1087" s="32" t="s">
        <v>31</v>
      </c>
      <c r="S1087" s="33" t="s">
        <v>32</v>
      </c>
      <c r="T1087" s="4" t="str">
        <f>IF(OR(Tabela1[[#This Row],[Grau de Risco]]="Médio",Tabela1[[#This Row],[Grau de Risco]]="Baixo"),"Não","Sim")</f>
        <v>Não</v>
      </c>
    </row>
    <row r="1088" spans="1:20" hidden="1">
      <c r="A1088" s="28" t="s">
        <v>6</v>
      </c>
      <c r="B1088" s="33" t="s">
        <v>1797</v>
      </c>
      <c r="C1088" s="28" t="s">
        <v>125</v>
      </c>
      <c r="D1088" s="38" t="s">
        <v>47</v>
      </c>
      <c r="E1088" s="32">
        <v>27</v>
      </c>
      <c r="F1088" s="32">
        <v>6</v>
      </c>
      <c r="G1088" s="32">
        <v>2025</v>
      </c>
      <c r="H1088" s="21" t="s">
        <v>27</v>
      </c>
      <c r="I1088" s="29" t="s">
        <v>1328</v>
      </c>
      <c r="J1088" s="28" t="s">
        <v>38</v>
      </c>
      <c r="K1088" s="32"/>
      <c r="L1088" s="32" t="s">
        <v>44</v>
      </c>
      <c r="M1088" s="28" t="s">
        <v>30</v>
      </c>
      <c r="N1088" s="28" t="s">
        <v>44</v>
      </c>
      <c r="O1088" s="28"/>
      <c r="P1088" s="32"/>
      <c r="Q1088" s="35">
        <v>4</v>
      </c>
      <c r="R1088" s="32" t="s">
        <v>102</v>
      </c>
      <c r="S1088" s="33" t="s">
        <v>141</v>
      </c>
      <c r="T1088" s="4" t="str">
        <f>IF(OR(Tabela1[[#This Row],[Grau de Risco]]="Médio",Tabela1[[#This Row],[Grau de Risco]]="Baixo"),"Não","Sim")</f>
        <v>Sim</v>
      </c>
    </row>
    <row r="1089" spans="1:20">
      <c r="A1089" s="4" t="s">
        <v>7</v>
      </c>
      <c r="B1089" s="10" t="s">
        <v>1809</v>
      </c>
      <c r="C1089" s="4" t="s">
        <v>26</v>
      </c>
      <c r="D1089" s="5" t="s">
        <v>36</v>
      </c>
      <c r="E1089" s="3">
        <v>10</v>
      </c>
      <c r="F1089" s="3">
        <v>5</v>
      </c>
      <c r="G1089" s="3">
        <v>2025</v>
      </c>
      <c r="H1089" s="34" t="s">
        <v>59</v>
      </c>
      <c r="I1089" s="7" t="s">
        <v>1706</v>
      </c>
      <c r="J1089" s="4" t="s">
        <v>76</v>
      </c>
      <c r="K1089" s="3" t="s">
        <v>44</v>
      </c>
      <c r="L1089" s="3" t="s">
        <v>44</v>
      </c>
      <c r="M1089" s="4"/>
      <c r="N1089" s="4"/>
      <c r="O1089" s="4"/>
      <c r="P1089" s="3"/>
      <c r="Q1089" s="11">
        <v>11</v>
      </c>
      <c r="R1089" s="3" t="s">
        <v>31</v>
      </c>
      <c r="S1089" s="10" t="s">
        <v>63</v>
      </c>
      <c r="T1089" s="4" t="str">
        <f>IF(OR(Tabela1[[#This Row],[Grau de Risco]]="Médio",Tabela1[[#This Row],[Grau de Risco]]="Baixo"),"Não","Sim")</f>
        <v>Não</v>
      </c>
    </row>
    <row r="1090" spans="1:20">
      <c r="A1090" s="4" t="s">
        <v>7</v>
      </c>
      <c r="B1090" s="10" t="s">
        <v>1809</v>
      </c>
      <c r="C1090" s="4" t="s">
        <v>46</v>
      </c>
      <c r="D1090" s="38" t="s">
        <v>47</v>
      </c>
      <c r="E1090" s="3">
        <v>23</v>
      </c>
      <c r="F1090" s="3">
        <v>5</v>
      </c>
      <c r="G1090" s="3">
        <v>2025</v>
      </c>
      <c r="H1090" s="5" t="s">
        <v>209</v>
      </c>
      <c r="I1090" s="7" t="s">
        <v>1267</v>
      </c>
      <c r="J1090" s="4" t="s">
        <v>76</v>
      </c>
      <c r="K1090" s="3" t="s">
        <v>44</v>
      </c>
      <c r="L1090" s="3" t="s">
        <v>44</v>
      </c>
      <c r="M1090" s="4"/>
      <c r="N1090" s="4" t="s">
        <v>44</v>
      </c>
      <c r="O1090" s="4"/>
      <c r="P1090" s="3"/>
      <c r="Q1090" s="11">
        <v>11</v>
      </c>
      <c r="R1090" s="3" t="s">
        <v>31</v>
      </c>
      <c r="S1090" s="10" t="s">
        <v>63</v>
      </c>
      <c r="T1090" s="4" t="str">
        <f>IF(OR(Tabela1[[#This Row],[Grau de Risco]]="Médio",Tabela1[[#This Row],[Grau de Risco]]="Baixo"),"Não","Sim")</f>
        <v>Não</v>
      </c>
    </row>
    <row r="1091" spans="1:20">
      <c r="A1091" s="28" t="s">
        <v>7</v>
      </c>
      <c r="B1091" s="10" t="s">
        <v>1809</v>
      </c>
      <c r="C1091" s="28" t="s">
        <v>26</v>
      </c>
      <c r="D1091" s="38" t="s">
        <v>1320</v>
      </c>
      <c r="E1091" s="32">
        <v>9</v>
      </c>
      <c r="F1091" s="32">
        <v>6</v>
      </c>
      <c r="G1091" s="32">
        <v>2025</v>
      </c>
      <c r="H1091" s="36" t="s">
        <v>112</v>
      </c>
      <c r="I1091" s="29" t="s">
        <v>1288</v>
      </c>
      <c r="J1091" s="28" t="s">
        <v>61</v>
      </c>
      <c r="K1091" s="32"/>
      <c r="L1091" s="32"/>
      <c r="M1091" s="28"/>
      <c r="N1091" s="28"/>
      <c r="O1091" s="28" t="s">
        <v>77</v>
      </c>
      <c r="P1091" s="32"/>
      <c r="Q1091" s="11">
        <v>10</v>
      </c>
      <c r="R1091" s="32" t="s">
        <v>31</v>
      </c>
      <c r="S1091" s="10" t="s">
        <v>63</v>
      </c>
      <c r="T1091" s="4" t="str">
        <f>IF(OR(Tabela1[[#This Row],[Grau de Risco]]="Médio",Tabela1[[#This Row],[Grau de Risco]]="Baixo"),"Não","Sim")</f>
        <v>Não</v>
      </c>
    </row>
    <row r="1092" spans="1:20">
      <c r="A1092" s="4" t="s">
        <v>2</v>
      </c>
      <c r="B1092" s="10" t="s">
        <v>1809</v>
      </c>
      <c r="C1092" s="4" t="s">
        <v>46</v>
      </c>
      <c r="D1092" s="5" t="s">
        <v>148</v>
      </c>
      <c r="E1092" s="3">
        <v>22</v>
      </c>
      <c r="F1092" s="3">
        <v>6</v>
      </c>
      <c r="G1092" s="3">
        <v>2025</v>
      </c>
      <c r="H1092" s="4" t="s">
        <v>27</v>
      </c>
      <c r="I1092" s="7" t="s">
        <v>1319</v>
      </c>
      <c r="J1092" s="4" t="s">
        <v>290</v>
      </c>
      <c r="K1092" s="3">
        <v>1</v>
      </c>
      <c r="L1092" s="3">
        <v>0</v>
      </c>
      <c r="M1092" s="4" t="s">
        <v>25</v>
      </c>
      <c r="N1092" s="4">
        <v>23</v>
      </c>
      <c r="O1092" s="4" t="s">
        <v>70</v>
      </c>
      <c r="P1092" s="3" t="s">
        <v>31</v>
      </c>
      <c r="Q1092" s="11">
        <v>11</v>
      </c>
      <c r="R1092" s="3" t="s">
        <v>31</v>
      </c>
      <c r="S1092" s="5" t="s">
        <v>56</v>
      </c>
      <c r="T1092" s="4" t="str">
        <f>IF(OR(Tabela1[[#This Row],[Grau de Risco]]="Médio",Tabela1[[#This Row],[Grau de Risco]]="Baixo"),"Não","Sim")</f>
        <v>Não</v>
      </c>
    </row>
    <row r="1093" spans="1:20" hidden="1">
      <c r="A1093" s="4" t="s">
        <v>9</v>
      </c>
      <c r="B1093" s="10" t="s">
        <v>1805</v>
      </c>
      <c r="C1093" s="4" t="s">
        <v>252</v>
      </c>
      <c r="D1093" s="38" t="s">
        <v>1393</v>
      </c>
      <c r="E1093" s="3">
        <v>24</v>
      </c>
      <c r="F1093" s="3">
        <v>6</v>
      </c>
      <c r="G1093" s="3">
        <v>2025</v>
      </c>
      <c r="H1093" s="36" t="s">
        <v>375</v>
      </c>
      <c r="I1093" s="7" t="s">
        <v>1707</v>
      </c>
      <c r="J1093" s="4" t="s">
        <v>150</v>
      </c>
      <c r="K1093" s="3">
        <v>2</v>
      </c>
      <c r="L1093" s="3">
        <v>0</v>
      </c>
      <c r="M1093" s="4" t="s">
        <v>25</v>
      </c>
      <c r="N1093" s="4">
        <v>8</v>
      </c>
      <c r="O1093" s="4"/>
      <c r="P1093" s="3" t="s">
        <v>31</v>
      </c>
      <c r="Q1093" s="11">
        <v>11</v>
      </c>
      <c r="R1093" s="3" t="s">
        <v>31</v>
      </c>
      <c r="S1093" s="10" t="s">
        <v>63</v>
      </c>
      <c r="T1093" s="4" t="str">
        <f>IF(OR(Tabela1[[#This Row],[Grau de Risco]]="Médio",Tabela1[[#This Row],[Grau de Risco]]="Baixo"),"Não","Sim")</f>
        <v>Não</v>
      </c>
    </row>
    <row r="1094" spans="1:20">
      <c r="A1094" s="28" t="s">
        <v>7</v>
      </c>
      <c r="B1094" s="10" t="s">
        <v>1809</v>
      </c>
      <c r="C1094" s="28" t="s">
        <v>46</v>
      </c>
      <c r="D1094" s="36" t="s">
        <v>1382</v>
      </c>
      <c r="E1094" s="32">
        <v>2</v>
      </c>
      <c r="F1094" s="32">
        <v>7</v>
      </c>
      <c r="G1094" s="32">
        <v>2025</v>
      </c>
      <c r="H1094" s="36" t="s">
        <v>33</v>
      </c>
      <c r="I1094" s="29" t="s">
        <v>1828</v>
      </c>
      <c r="J1094" s="28" t="s">
        <v>54</v>
      </c>
      <c r="K1094" s="32" t="s">
        <v>44</v>
      </c>
      <c r="L1094" s="32" t="s">
        <v>44</v>
      </c>
      <c r="M1094" s="28" t="s">
        <v>30</v>
      </c>
      <c r="N1094" s="28" t="s">
        <v>44</v>
      </c>
      <c r="O1094" s="28"/>
      <c r="P1094" s="32"/>
      <c r="Q1094" s="35">
        <v>11</v>
      </c>
      <c r="R1094" s="32" t="s">
        <v>31</v>
      </c>
      <c r="S1094" s="33" t="s">
        <v>63</v>
      </c>
      <c r="T1094" s="4" t="str">
        <f>IF(OR(Tabela1[[#This Row],[Grau de Risco]]="Médio",Tabela1[[#This Row],[Grau de Risco]]="Baixo"),"Não","Sim")</f>
        <v>Não</v>
      </c>
    </row>
    <row r="1095" spans="1:20" hidden="1">
      <c r="A1095" s="28" t="s">
        <v>2</v>
      </c>
      <c r="B1095" s="33" t="s">
        <v>1797</v>
      </c>
      <c r="C1095" s="28" t="s">
        <v>252</v>
      </c>
      <c r="D1095" s="58" t="s">
        <v>1409</v>
      </c>
      <c r="E1095" s="32">
        <v>17</v>
      </c>
      <c r="F1095" s="32">
        <v>7</v>
      </c>
      <c r="G1095" s="32">
        <v>2025</v>
      </c>
      <c r="H1095" s="4" t="s">
        <v>27</v>
      </c>
      <c r="I1095" s="29" t="s">
        <v>1357</v>
      </c>
      <c r="J1095" s="28" t="s">
        <v>61</v>
      </c>
      <c r="K1095" s="32">
        <v>2</v>
      </c>
      <c r="L1095" s="32"/>
      <c r="M1095" s="28"/>
      <c r="N1095" s="28"/>
      <c r="O1095" s="28" t="s">
        <v>4</v>
      </c>
      <c r="P1095" s="32" t="s">
        <v>52</v>
      </c>
      <c r="Q1095" s="35">
        <v>14</v>
      </c>
      <c r="R1095" s="32" t="s">
        <v>52</v>
      </c>
      <c r="S1095" s="5" t="s">
        <v>56</v>
      </c>
      <c r="T1095" s="4" t="str">
        <f>IF(OR(Tabela1[[#This Row],[Grau de Risco]]="Médio",Tabela1[[#This Row],[Grau de Risco]]="Baixo"),"Não","Sim")</f>
        <v>Não</v>
      </c>
    </row>
    <row r="1096" spans="1:20" hidden="1">
      <c r="A1096" s="28" t="s">
        <v>10</v>
      </c>
      <c r="B1096" s="33" t="s">
        <v>1797</v>
      </c>
      <c r="C1096" s="28" t="s">
        <v>26</v>
      </c>
      <c r="D1096" s="28" t="s">
        <v>1382</v>
      </c>
      <c r="E1096" s="32">
        <v>13</v>
      </c>
      <c r="F1096" s="32">
        <v>8</v>
      </c>
      <c r="G1096" s="32">
        <v>2025</v>
      </c>
      <c r="H1096" s="34" t="s">
        <v>66</v>
      </c>
      <c r="I1096" s="29" t="s">
        <v>1407</v>
      </c>
      <c r="J1096" s="28" t="s">
        <v>111</v>
      </c>
      <c r="K1096" s="32"/>
      <c r="L1096" s="32"/>
      <c r="M1096" s="28" t="s">
        <v>25</v>
      </c>
      <c r="N1096" s="28"/>
      <c r="O1096" s="28" t="s">
        <v>129</v>
      </c>
      <c r="P1096" s="32" t="s">
        <v>52</v>
      </c>
      <c r="Q1096" s="35">
        <v>11</v>
      </c>
      <c r="R1096" s="32" t="s">
        <v>31</v>
      </c>
      <c r="S1096" s="33" t="s">
        <v>4</v>
      </c>
      <c r="T1096" s="4" t="str">
        <f>IF(OR(Tabela1[[#This Row],[Grau de Risco]]="Médio",Tabela1[[#This Row],[Grau de Risco]]="Baixo"),"Não","Sim")</f>
        <v>Não</v>
      </c>
    </row>
    <row r="1097" spans="1:20">
      <c r="A1097" s="28" t="s">
        <v>7</v>
      </c>
      <c r="B1097" s="10" t="s">
        <v>1809</v>
      </c>
      <c r="C1097" s="28" t="s">
        <v>26</v>
      </c>
      <c r="D1097" s="28" t="s">
        <v>1382</v>
      </c>
      <c r="E1097" s="32">
        <v>17</v>
      </c>
      <c r="F1097" s="32">
        <v>9</v>
      </c>
      <c r="G1097" s="32">
        <v>2025</v>
      </c>
      <c r="H1097" s="34" t="s">
        <v>59</v>
      </c>
      <c r="I1097" s="29" t="s">
        <v>1440</v>
      </c>
      <c r="J1097" s="28" t="s">
        <v>111</v>
      </c>
      <c r="K1097" s="32"/>
      <c r="L1097" s="32"/>
      <c r="M1097" s="28"/>
      <c r="N1097" s="28"/>
      <c r="O1097" s="28" t="s">
        <v>4</v>
      </c>
      <c r="P1097" s="32"/>
      <c r="Q1097" s="35">
        <v>15</v>
      </c>
      <c r="R1097" s="32" t="s">
        <v>52</v>
      </c>
      <c r="S1097" s="5" t="s">
        <v>40</v>
      </c>
      <c r="T1097" s="4" t="str">
        <f>IF(OR(Tabela1[[#This Row],[Grau de Risco]]="Médio",Tabela1[[#This Row],[Grau de Risco]]="Baixo"),"Não","Sim")</f>
        <v>Não</v>
      </c>
    </row>
    <row r="1098" spans="1:20" hidden="1">
      <c r="A1098" s="28" t="s">
        <v>1110</v>
      </c>
      <c r="B1098" s="33" t="s">
        <v>1805</v>
      </c>
      <c r="C1098" s="28" t="s">
        <v>125</v>
      </c>
      <c r="D1098" s="28" t="s">
        <v>148</v>
      </c>
      <c r="E1098" s="32">
        <v>26</v>
      </c>
      <c r="F1098" s="32">
        <v>9</v>
      </c>
      <c r="G1098" s="32">
        <v>2025</v>
      </c>
      <c r="H1098" s="34" t="s">
        <v>107</v>
      </c>
      <c r="I1098" s="29" t="s">
        <v>1708</v>
      </c>
      <c r="J1098" s="28" t="s">
        <v>69</v>
      </c>
      <c r="K1098" s="32" t="s">
        <v>44</v>
      </c>
      <c r="L1098" s="32" t="s">
        <v>44</v>
      </c>
      <c r="M1098" s="28"/>
      <c r="N1098" s="28" t="s">
        <v>44</v>
      </c>
      <c r="O1098" s="28"/>
      <c r="P1098" s="32"/>
      <c r="Q1098" s="35">
        <v>14</v>
      </c>
      <c r="R1098" s="3" t="s">
        <v>52</v>
      </c>
      <c r="S1098" s="33" t="s">
        <v>56</v>
      </c>
      <c r="T1098" s="4" t="str">
        <f>IF(OR(Tabela1[[#This Row],[Grau de Risco]]="Médio",Tabela1[[#This Row],[Grau de Risco]]="Baixo"),"Não","Sim")</f>
        <v>Não</v>
      </c>
    </row>
    <row r="1099" spans="1:20" hidden="1">
      <c r="A1099" s="28" t="s">
        <v>1110</v>
      </c>
      <c r="B1099" s="10" t="s">
        <v>1805</v>
      </c>
      <c r="C1099" s="4" t="s">
        <v>46</v>
      </c>
      <c r="D1099" s="4" t="s">
        <v>1320</v>
      </c>
      <c r="E1099" s="3">
        <v>1</v>
      </c>
      <c r="F1099" s="3">
        <v>9</v>
      </c>
      <c r="G1099" s="3">
        <v>2025</v>
      </c>
      <c r="H1099" s="21" t="s">
        <v>107</v>
      </c>
      <c r="I1099" s="7" t="s">
        <v>1462</v>
      </c>
      <c r="J1099" s="4" t="s">
        <v>76</v>
      </c>
      <c r="K1099" s="3" t="s">
        <v>44</v>
      </c>
      <c r="L1099" s="3" t="s">
        <v>44</v>
      </c>
      <c r="M1099" s="4"/>
      <c r="N1099" s="4" t="s">
        <v>44</v>
      </c>
      <c r="O1099" s="4"/>
      <c r="P1099" s="3"/>
      <c r="Q1099" s="11">
        <v>14</v>
      </c>
      <c r="R1099" s="3" t="str">
        <f>IF(Q1099="","",IF(Q1099&lt;4,"Crítico",IF(Q1099&lt;9,"Alto",IF(Q1099&lt;14,"Médio","Baixo"))))</f>
        <v>Baixo</v>
      </c>
      <c r="S1099" s="10" t="s">
        <v>56</v>
      </c>
      <c r="T1099" s="4" t="str">
        <f>IF(OR(Tabela1[[#This Row],[Grau de Risco]]="Médio",Tabela1[[#This Row],[Grau de Risco]]="Baixo"),"Não","Sim")</f>
        <v>Não</v>
      </c>
    </row>
    <row r="1100" spans="1:20">
      <c r="A1100" s="4" t="s">
        <v>10</v>
      </c>
      <c r="B1100" s="10" t="s">
        <v>1809</v>
      </c>
      <c r="C1100" s="4" t="s">
        <v>26</v>
      </c>
      <c r="D1100" s="5" t="s">
        <v>1382</v>
      </c>
      <c r="E1100" s="3">
        <v>24</v>
      </c>
      <c r="F1100" s="3">
        <v>9</v>
      </c>
      <c r="G1100" s="3">
        <v>2025</v>
      </c>
      <c r="H1100" s="5" t="s">
        <v>127</v>
      </c>
      <c r="I1100" s="7" t="s">
        <v>1530</v>
      </c>
      <c r="J1100" s="4" t="s">
        <v>35</v>
      </c>
      <c r="K1100" s="3" t="s">
        <v>44</v>
      </c>
      <c r="L1100" s="3" t="s">
        <v>44</v>
      </c>
      <c r="M1100" s="4" t="s">
        <v>25</v>
      </c>
      <c r="N1100" s="4"/>
      <c r="O1100" s="4" t="s">
        <v>715</v>
      </c>
      <c r="P1100" s="3" t="s">
        <v>52</v>
      </c>
      <c r="Q1100" s="11">
        <v>5</v>
      </c>
      <c r="R1100" s="3" t="s">
        <v>102</v>
      </c>
      <c r="S1100" s="10" t="s">
        <v>63</v>
      </c>
      <c r="T1100" s="4" t="str">
        <f>IF(OR(Tabela1[[#This Row],[Grau de Risco]]="Médio",Tabela1[[#This Row],[Grau de Risco]]="Baixo"),"Não","Sim")</f>
        <v>Sim</v>
      </c>
    </row>
    <row r="1101" spans="1:20" hidden="1">
      <c r="A1101" s="4" t="s">
        <v>2</v>
      </c>
      <c r="B1101" s="10" t="s">
        <v>1805</v>
      </c>
      <c r="C1101" s="4" t="s">
        <v>26</v>
      </c>
      <c r="D1101" s="5" t="s">
        <v>148</v>
      </c>
      <c r="E1101" s="3">
        <v>2</v>
      </c>
      <c r="F1101" s="3">
        <v>7</v>
      </c>
      <c r="G1101" s="3">
        <v>2021</v>
      </c>
      <c r="H1101" s="4" t="s">
        <v>27</v>
      </c>
      <c r="I1101" s="7" t="s">
        <v>149</v>
      </c>
      <c r="J1101" s="4" t="s">
        <v>150</v>
      </c>
      <c r="K1101" s="3">
        <v>8</v>
      </c>
      <c r="L1101" s="3">
        <v>0</v>
      </c>
      <c r="M1101" s="4" t="s">
        <v>30</v>
      </c>
      <c r="N1101" s="4">
        <v>0</v>
      </c>
      <c r="O1101" s="4" t="s">
        <v>55</v>
      </c>
      <c r="P1101" s="3" t="s">
        <v>52</v>
      </c>
      <c r="Q1101" s="11">
        <v>18</v>
      </c>
      <c r="R1101" s="3" t="s">
        <v>52</v>
      </c>
      <c r="S1101" s="5" t="s">
        <v>56</v>
      </c>
      <c r="T1101" s="4" t="str">
        <f>IF(OR(Tabela1[[#This Row],[Grau de Risco]]="Médio",Tabela1[[#This Row],[Grau de Risco]]="Baixo"),"Não","Sim")</f>
        <v>Não</v>
      </c>
    </row>
    <row r="1102" spans="1:20">
      <c r="A1102" s="5" t="s">
        <v>2</v>
      </c>
      <c r="B1102" s="10" t="s">
        <v>1809</v>
      </c>
      <c r="C1102" s="5" t="s">
        <v>26</v>
      </c>
      <c r="D1102" s="38" t="s">
        <v>1382</v>
      </c>
      <c r="E1102" s="3">
        <v>28</v>
      </c>
      <c r="F1102" s="3">
        <v>4</v>
      </c>
      <c r="G1102" s="3">
        <v>2021</v>
      </c>
      <c r="H1102" s="36" t="s">
        <v>33</v>
      </c>
      <c r="I1102" s="7" t="s">
        <v>164</v>
      </c>
      <c r="J1102" s="4" t="s">
        <v>76</v>
      </c>
      <c r="K1102" s="3">
        <v>2</v>
      </c>
      <c r="L1102" s="3">
        <v>0</v>
      </c>
      <c r="M1102" s="5" t="s">
        <v>30</v>
      </c>
      <c r="N1102" s="4">
        <v>2</v>
      </c>
      <c r="O1102" s="4" t="s">
        <v>39</v>
      </c>
      <c r="P1102" s="3" t="s">
        <v>31</v>
      </c>
      <c r="Q1102" s="3">
        <v>17</v>
      </c>
      <c r="R1102" s="2" t="s">
        <v>31</v>
      </c>
      <c r="S1102" s="10" t="s">
        <v>32</v>
      </c>
      <c r="T1102" s="4" t="str">
        <f>IF(OR(Tabela1[[#This Row],[Grau de Risco]]="Médio",Tabela1[[#This Row],[Grau de Risco]]="Baixo"),"Não","Sim")</f>
        <v>Não</v>
      </c>
    </row>
    <row r="1103" spans="1:20" hidden="1">
      <c r="A1103" s="5" t="s">
        <v>2</v>
      </c>
      <c r="B1103" s="6" t="s">
        <v>1805</v>
      </c>
      <c r="C1103" s="5" t="s">
        <v>26</v>
      </c>
      <c r="D1103" s="38" t="s">
        <v>1382</v>
      </c>
      <c r="E1103" s="2">
        <v>7</v>
      </c>
      <c r="F1103" s="2">
        <v>7</v>
      </c>
      <c r="G1103" s="2">
        <v>2021</v>
      </c>
      <c r="H1103" s="4" t="s">
        <v>27</v>
      </c>
      <c r="I1103" s="5" t="s">
        <v>168</v>
      </c>
      <c r="J1103" s="5" t="s">
        <v>169</v>
      </c>
      <c r="K1103" s="2">
        <v>24</v>
      </c>
      <c r="L1103" s="2">
        <v>0</v>
      </c>
      <c r="M1103" s="5" t="s">
        <v>30</v>
      </c>
      <c r="N1103" s="5">
        <v>0</v>
      </c>
      <c r="O1103" s="5" t="s">
        <v>167</v>
      </c>
      <c r="P1103" s="2" t="s">
        <v>31</v>
      </c>
      <c r="Q1103" s="2">
        <v>13</v>
      </c>
      <c r="R1103" s="2" t="s">
        <v>31</v>
      </c>
      <c r="S1103" s="5" t="s">
        <v>56</v>
      </c>
      <c r="T1103" s="4" t="str">
        <f>IF(OR(Tabela1[[#This Row],[Grau de Risco]]="Médio",Tabela1[[#This Row],[Grau de Risco]]="Baixo"),"Não","Sim")</f>
        <v>Não</v>
      </c>
    </row>
    <row r="1104" spans="1:20" hidden="1">
      <c r="A1104" s="5" t="s">
        <v>175</v>
      </c>
      <c r="B1104" s="6" t="s">
        <v>1805</v>
      </c>
      <c r="C1104" s="5" t="s">
        <v>26</v>
      </c>
      <c r="D1104" s="38" t="s">
        <v>1393</v>
      </c>
      <c r="E1104" s="2">
        <v>4</v>
      </c>
      <c r="F1104" s="2">
        <v>10</v>
      </c>
      <c r="G1104" s="2">
        <v>2021</v>
      </c>
      <c r="H1104" s="36" t="s">
        <v>66</v>
      </c>
      <c r="I1104" s="5" t="s">
        <v>176</v>
      </c>
      <c r="J1104" s="5" t="s">
        <v>54</v>
      </c>
      <c r="K1104" s="2">
        <v>0</v>
      </c>
      <c r="L1104" s="2">
        <v>0</v>
      </c>
      <c r="M1104" s="5" t="s">
        <v>30</v>
      </c>
      <c r="N1104" s="5">
        <v>0</v>
      </c>
      <c r="O1104" s="5" t="s">
        <v>4</v>
      </c>
      <c r="P1104" s="2" t="s">
        <v>31</v>
      </c>
      <c r="Q1104" s="2">
        <v>13</v>
      </c>
      <c r="R1104" s="2" t="s">
        <v>31</v>
      </c>
      <c r="S1104" s="5" t="s">
        <v>180</v>
      </c>
      <c r="T1104" s="4" t="str">
        <f>IF(OR(Tabela1[[#This Row],[Grau de Risco]]="Médio",Tabela1[[#This Row],[Grau de Risco]]="Baixo"),"Não","Sim")</f>
        <v>Não</v>
      </c>
    </row>
    <row r="1105" spans="1:20" hidden="1">
      <c r="A1105" s="4" t="s">
        <v>2</v>
      </c>
      <c r="B1105" s="10" t="s">
        <v>1805</v>
      </c>
      <c r="C1105" s="4" t="s">
        <v>26</v>
      </c>
      <c r="D1105" s="38" t="s">
        <v>1320</v>
      </c>
      <c r="E1105" s="3">
        <v>19</v>
      </c>
      <c r="F1105" s="3">
        <v>7</v>
      </c>
      <c r="G1105" s="3">
        <v>2021</v>
      </c>
      <c r="H1105" s="36" t="s">
        <v>82</v>
      </c>
      <c r="I1105" s="7" t="s">
        <v>190</v>
      </c>
      <c r="J1105" s="4" t="s">
        <v>150</v>
      </c>
      <c r="K1105" s="3">
        <v>15</v>
      </c>
      <c r="L1105" s="3">
        <v>0</v>
      </c>
      <c r="M1105" s="4" t="s">
        <v>30</v>
      </c>
      <c r="N1105" s="4">
        <v>0</v>
      </c>
      <c r="O1105" s="4" t="s">
        <v>45</v>
      </c>
      <c r="P1105" s="3" t="s">
        <v>102</v>
      </c>
      <c r="Q1105" s="11">
        <v>9</v>
      </c>
      <c r="R1105" s="3" t="s">
        <v>31</v>
      </c>
      <c r="S1105" s="5" t="s">
        <v>56</v>
      </c>
      <c r="T1105" s="4" t="str">
        <f>IF(OR(Tabela1[[#This Row],[Grau de Risco]]="Médio",Tabela1[[#This Row],[Grau de Risco]]="Baixo"),"Não","Sim")</f>
        <v>Não</v>
      </c>
    </row>
    <row r="1106" spans="1:20">
      <c r="A1106" s="4" t="s">
        <v>10</v>
      </c>
      <c r="B1106" s="10" t="s">
        <v>1809</v>
      </c>
      <c r="C1106" s="4"/>
      <c r="D1106" s="38" t="s">
        <v>1393</v>
      </c>
      <c r="E1106" s="3">
        <v>22</v>
      </c>
      <c r="F1106" s="3">
        <v>6</v>
      </c>
      <c r="G1106" s="3">
        <v>2021</v>
      </c>
      <c r="H1106" s="34" t="s">
        <v>59</v>
      </c>
      <c r="I1106" s="7" t="s">
        <v>218</v>
      </c>
      <c r="J1106" s="4" t="s">
        <v>50</v>
      </c>
      <c r="K1106" s="3" t="s">
        <v>62</v>
      </c>
      <c r="L1106" s="3">
        <v>0</v>
      </c>
      <c r="M1106" s="4" t="s">
        <v>30</v>
      </c>
      <c r="N1106" s="4">
        <v>0</v>
      </c>
      <c r="O1106" s="4" t="s">
        <v>51</v>
      </c>
      <c r="P1106" s="3" t="s">
        <v>52</v>
      </c>
      <c r="Q1106" s="11">
        <v>18</v>
      </c>
      <c r="R1106" s="3" t="s">
        <v>52</v>
      </c>
      <c r="S1106" s="5" t="s">
        <v>56</v>
      </c>
      <c r="T1106" s="4" t="str">
        <f>IF(OR(Tabela1[[#This Row],[Grau de Risco]]="Médio",Tabela1[[#This Row],[Grau de Risco]]="Baixo"),"Não","Sim")</f>
        <v>Não</v>
      </c>
    </row>
    <row r="1107" spans="1:20" hidden="1">
      <c r="A1107" s="5" t="s">
        <v>2</v>
      </c>
      <c r="B1107" s="4" t="s">
        <v>1800</v>
      </c>
      <c r="C1107" s="4" t="s">
        <v>41</v>
      </c>
      <c r="D1107" s="4" t="s">
        <v>148</v>
      </c>
      <c r="E1107" s="3">
        <v>8</v>
      </c>
      <c r="F1107" s="2">
        <v>8</v>
      </c>
      <c r="G1107" s="3">
        <v>2021</v>
      </c>
      <c r="H1107" s="4" t="s">
        <v>86</v>
      </c>
      <c r="I1107" s="7" t="s">
        <v>221</v>
      </c>
      <c r="J1107" s="4" t="s">
        <v>76</v>
      </c>
      <c r="K1107" s="3">
        <v>114</v>
      </c>
      <c r="L1107" s="3">
        <v>0</v>
      </c>
      <c r="M1107" s="5" t="s">
        <v>30</v>
      </c>
      <c r="N1107" s="4">
        <v>114</v>
      </c>
      <c r="O1107" s="4" t="s">
        <v>70</v>
      </c>
      <c r="P1107" s="3" t="s">
        <v>31</v>
      </c>
      <c r="Q1107" s="3">
        <v>9</v>
      </c>
      <c r="R1107" s="2" t="s">
        <v>31</v>
      </c>
      <c r="S1107" s="10" t="s">
        <v>32</v>
      </c>
      <c r="T1107" s="4" t="str">
        <f>IF(OR(Tabela1[[#This Row],[Grau de Risco]]="Médio",Tabela1[[#This Row],[Grau de Risco]]="Baixo"),"Não","Sim")</f>
        <v>Não</v>
      </c>
    </row>
    <row r="1108" spans="1:20" hidden="1">
      <c r="A1108" s="5" t="s">
        <v>2</v>
      </c>
      <c r="B1108" s="4" t="s">
        <v>1803</v>
      </c>
      <c r="C1108" s="4" t="s">
        <v>41</v>
      </c>
      <c r="D1108" s="38" t="s">
        <v>1382</v>
      </c>
      <c r="E1108" s="3">
        <v>24</v>
      </c>
      <c r="F1108" s="2">
        <v>11</v>
      </c>
      <c r="G1108" s="3">
        <v>2021</v>
      </c>
      <c r="H1108" s="36" t="s">
        <v>33</v>
      </c>
      <c r="I1108" s="7" t="s">
        <v>224</v>
      </c>
      <c r="J1108" s="4" t="s">
        <v>69</v>
      </c>
      <c r="K1108" s="3">
        <v>15</v>
      </c>
      <c r="L1108" s="3">
        <v>0</v>
      </c>
      <c r="M1108" s="5" t="s">
        <v>30</v>
      </c>
      <c r="N1108" s="4">
        <v>15</v>
      </c>
      <c r="O1108" s="4" t="s">
        <v>45</v>
      </c>
      <c r="P1108" s="3" t="s">
        <v>31</v>
      </c>
      <c r="Q1108" s="3">
        <v>13</v>
      </c>
      <c r="R1108" s="2" t="s">
        <v>31</v>
      </c>
      <c r="S1108" s="10" t="s">
        <v>32</v>
      </c>
      <c r="T1108" s="4" t="str">
        <f>IF(OR(Tabela1[[#This Row],[Grau de Risco]]="Médio",Tabela1[[#This Row],[Grau de Risco]]="Baixo"),"Não","Sim")</f>
        <v>Não</v>
      </c>
    </row>
    <row r="1109" spans="1:20" hidden="1">
      <c r="A1109" s="5" t="s">
        <v>2</v>
      </c>
      <c r="B1109" s="6" t="s">
        <v>1805</v>
      </c>
      <c r="C1109" s="5" t="s">
        <v>26</v>
      </c>
      <c r="D1109" s="38" t="s">
        <v>47</v>
      </c>
      <c r="E1109" s="2">
        <v>17</v>
      </c>
      <c r="F1109" s="2">
        <v>6</v>
      </c>
      <c r="G1109" s="2">
        <v>2022</v>
      </c>
      <c r="H1109" s="36" t="s">
        <v>107</v>
      </c>
      <c r="I1109" s="5" t="s">
        <v>273</v>
      </c>
      <c r="J1109" s="5" t="s">
        <v>54</v>
      </c>
      <c r="K1109" s="2">
        <v>5</v>
      </c>
      <c r="L1109" s="2">
        <v>0</v>
      </c>
      <c r="M1109" s="5" t="s">
        <v>30</v>
      </c>
      <c r="N1109" s="5">
        <v>0</v>
      </c>
      <c r="O1109" s="5" t="s">
        <v>70</v>
      </c>
      <c r="P1109" s="2" t="s">
        <v>31</v>
      </c>
      <c r="Q1109" s="2">
        <v>12</v>
      </c>
      <c r="R1109" s="2" t="s">
        <v>31</v>
      </c>
      <c r="S1109" s="5" t="s">
        <v>56</v>
      </c>
      <c r="T1109" s="4" t="str">
        <f>IF(OR(Tabela1[[#This Row],[Grau de Risco]]="Médio",Tabela1[[#This Row],[Grau de Risco]]="Baixo"),"Não","Sim")</f>
        <v>Não</v>
      </c>
    </row>
    <row r="1110" spans="1:20" hidden="1">
      <c r="A1110" s="4" t="s">
        <v>7</v>
      </c>
      <c r="B1110" s="10" t="s">
        <v>1805</v>
      </c>
      <c r="C1110" s="4" t="s">
        <v>97</v>
      </c>
      <c r="D1110" s="38" t="s">
        <v>1382</v>
      </c>
      <c r="E1110" s="3">
        <v>20</v>
      </c>
      <c r="F1110" s="3">
        <v>7</v>
      </c>
      <c r="G1110" s="3">
        <v>2022</v>
      </c>
      <c r="H1110" s="34" t="s">
        <v>59</v>
      </c>
      <c r="I1110" s="7" t="s">
        <v>327</v>
      </c>
      <c r="J1110" s="4" t="s">
        <v>61</v>
      </c>
      <c r="K1110" s="3" t="s">
        <v>62</v>
      </c>
      <c r="L1110" s="3" t="s">
        <v>44</v>
      </c>
      <c r="M1110" s="4" t="s">
        <v>30</v>
      </c>
      <c r="N1110" s="4"/>
      <c r="O1110" s="4" t="s">
        <v>101</v>
      </c>
      <c r="P1110" s="3" t="s">
        <v>52</v>
      </c>
      <c r="Q1110" s="11">
        <v>9</v>
      </c>
      <c r="R1110" s="3" t="str">
        <f>IF(Q1110="","",IF(Q1110&lt;4,"Crítico",IF(Q1110&lt;9,"Alto",IF(Q1110&lt;14,"Médio","Baixo"))))</f>
        <v>Médio</v>
      </c>
      <c r="S1110" s="10" t="s">
        <v>63</v>
      </c>
      <c r="T1110" s="4" t="str">
        <f>IF(OR(Tabela1[[#This Row],[Grau de Risco]]="Médio",Tabela1[[#This Row],[Grau de Risco]]="Baixo"),"Não","Sim")</f>
        <v>Não</v>
      </c>
    </row>
    <row r="1111" spans="1:20" hidden="1">
      <c r="A1111" s="4" t="s">
        <v>2</v>
      </c>
      <c r="B1111" s="10" t="s">
        <v>1793</v>
      </c>
      <c r="C1111" s="4" t="s">
        <v>89</v>
      </c>
      <c r="D1111" s="58" t="s">
        <v>1409</v>
      </c>
      <c r="E1111" s="3">
        <v>3</v>
      </c>
      <c r="F1111" s="3">
        <v>3</v>
      </c>
      <c r="G1111" s="3">
        <v>2022</v>
      </c>
      <c r="H1111" s="36" t="s">
        <v>112</v>
      </c>
      <c r="I1111" s="7" t="s">
        <v>342</v>
      </c>
      <c r="J1111" s="4" t="s">
        <v>111</v>
      </c>
      <c r="K1111" s="3">
        <v>7</v>
      </c>
      <c r="L1111" s="3">
        <v>0</v>
      </c>
      <c r="M1111" s="4" t="s">
        <v>30</v>
      </c>
      <c r="N1111" s="4"/>
      <c r="O1111" s="4" t="s">
        <v>55</v>
      </c>
      <c r="P1111" s="3" t="s">
        <v>31</v>
      </c>
      <c r="Q1111" s="11">
        <v>20</v>
      </c>
      <c r="R1111" s="3" t="str">
        <f>IF(Q1111="","",IF(Q1111&lt;4,"Crítico",IF(Q1111&lt;9,"Alto",IF(Q1111&lt;14,"Médio","Baixo"))))</f>
        <v>Baixo</v>
      </c>
      <c r="S1111" s="5" t="s">
        <v>56</v>
      </c>
      <c r="T1111" s="4" t="str">
        <f>IF(OR(Tabela1[[#This Row],[Grau de Risco]]="Médio",Tabela1[[#This Row],[Grau de Risco]]="Baixo"),"Não","Sim")</f>
        <v>Não</v>
      </c>
    </row>
    <row r="1112" spans="1:20" hidden="1">
      <c r="A1112" s="5" t="s">
        <v>2</v>
      </c>
      <c r="B1112" s="6" t="s">
        <v>1805</v>
      </c>
      <c r="C1112" s="5" t="s">
        <v>26</v>
      </c>
      <c r="D1112" s="38" t="s">
        <v>1320</v>
      </c>
      <c r="E1112" s="2">
        <v>28</v>
      </c>
      <c r="F1112" s="2">
        <v>11</v>
      </c>
      <c r="G1112" s="2">
        <v>2022</v>
      </c>
      <c r="H1112" s="5" t="s">
        <v>127</v>
      </c>
      <c r="I1112" s="5" t="s">
        <v>363</v>
      </c>
      <c r="J1112" s="5" t="s">
        <v>54</v>
      </c>
      <c r="K1112" s="2">
        <v>6</v>
      </c>
      <c r="L1112" s="2">
        <v>0</v>
      </c>
      <c r="M1112" s="5" t="s">
        <v>30</v>
      </c>
      <c r="N1112" s="5">
        <v>0</v>
      </c>
      <c r="O1112" s="5" t="s">
        <v>51</v>
      </c>
      <c r="P1112" s="2" t="s">
        <v>31</v>
      </c>
      <c r="Q1112" s="2">
        <v>6</v>
      </c>
      <c r="R1112" s="2" t="s">
        <v>31</v>
      </c>
      <c r="S1112" s="5" t="s">
        <v>177</v>
      </c>
      <c r="T1112" s="4" t="str">
        <f>IF(OR(Tabela1[[#This Row],[Grau de Risco]]="Médio",Tabela1[[#This Row],[Grau de Risco]]="Baixo"),"Não","Sim")</f>
        <v>Não</v>
      </c>
    </row>
    <row r="1113" spans="1:20" hidden="1">
      <c r="A1113" s="4" t="s">
        <v>7</v>
      </c>
      <c r="B1113" s="10" t="s">
        <v>1793</v>
      </c>
      <c r="C1113" s="4" t="s">
        <v>133</v>
      </c>
      <c r="D1113" s="38" t="s">
        <v>1320</v>
      </c>
      <c r="E1113" s="3">
        <v>12</v>
      </c>
      <c r="F1113" s="3">
        <v>12</v>
      </c>
      <c r="G1113" s="3">
        <v>2022</v>
      </c>
      <c r="H1113" s="36" t="s">
        <v>112</v>
      </c>
      <c r="I1113" s="7" t="s">
        <v>382</v>
      </c>
      <c r="J1113" s="4" t="s">
        <v>61</v>
      </c>
      <c r="K1113" s="3" t="s">
        <v>62</v>
      </c>
      <c r="L1113" s="3" t="s">
        <v>44</v>
      </c>
      <c r="M1113" s="4" t="s">
        <v>30</v>
      </c>
      <c r="N1113" s="4"/>
      <c r="O1113" s="4" t="s">
        <v>4</v>
      </c>
      <c r="P1113" s="3" t="s">
        <v>52</v>
      </c>
      <c r="Q1113" s="11">
        <v>4</v>
      </c>
      <c r="R1113" s="3" t="str">
        <f>IF(Q1113="","",IF(Q1113&lt;4,"Crítico",IF(Q1113&lt;9,"Alto",IF(Q1113&lt;14,"Médio","Baixo"))))</f>
        <v>Alto</v>
      </c>
      <c r="S1113" s="10" t="s">
        <v>63</v>
      </c>
      <c r="T1113" s="4" t="str">
        <f>IF(OR(Tabela1[[#This Row],[Grau de Risco]]="Médio",Tabela1[[#This Row],[Grau de Risco]]="Baixo"),"Não","Sim")</f>
        <v>Sim</v>
      </c>
    </row>
    <row r="1114" spans="1:20" hidden="1">
      <c r="A1114" s="4" t="s">
        <v>8</v>
      </c>
      <c r="B1114" s="10" t="s">
        <v>1805</v>
      </c>
      <c r="C1114" s="4"/>
      <c r="D1114" s="38" t="s">
        <v>1320</v>
      </c>
      <c r="E1114" s="3">
        <v>22</v>
      </c>
      <c r="F1114" s="3">
        <v>5</v>
      </c>
      <c r="G1114" s="3">
        <v>2023</v>
      </c>
      <c r="H1114" s="4" t="s">
        <v>86</v>
      </c>
      <c r="I1114" s="7" t="s">
        <v>397</v>
      </c>
      <c r="J1114" s="4" t="s">
        <v>61</v>
      </c>
      <c r="K1114" s="3">
        <v>0</v>
      </c>
      <c r="L1114" s="3">
        <v>0</v>
      </c>
      <c r="M1114" s="4" t="s">
        <v>30</v>
      </c>
      <c r="N1114" s="4"/>
      <c r="O1114" s="4" t="s">
        <v>45</v>
      </c>
      <c r="P1114" s="3" t="s">
        <v>52</v>
      </c>
      <c r="Q1114" s="11">
        <v>15</v>
      </c>
      <c r="R1114" s="3" t="str">
        <f>IF(Q1114="","",IF(Q1114&lt;4,"Crítico",IF(Q1114&lt;9,"Alto",IF(Q1114&lt;14,"Médio","Baixo"))))</f>
        <v>Baixo</v>
      </c>
      <c r="S1114" s="5" t="s">
        <v>56</v>
      </c>
      <c r="T1114" s="4" t="str">
        <f>IF(OR(Tabela1[[#This Row],[Grau de Risco]]="Médio",Tabela1[[#This Row],[Grau de Risco]]="Baixo"),"Não","Sim")</f>
        <v>Não</v>
      </c>
    </row>
    <row r="1115" spans="1:20">
      <c r="A1115" s="4" t="s">
        <v>7</v>
      </c>
      <c r="B1115" s="10" t="s">
        <v>1809</v>
      </c>
      <c r="C1115" s="4" t="s">
        <v>97</v>
      </c>
      <c r="D1115" s="4" t="s">
        <v>148</v>
      </c>
      <c r="E1115" s="3">
        <v>18</v>
      </c>
      <c r="F1115" s="3">
        <v>6</v>
      </c>
      <c r="G1115" s="3">
        <v>2023</v>
      </c>
      <c r="H1115" s="4" t="s">
        <v>86</v>
      </c>
      <c r="I1115" s="7" t="s">
        <v>434</v>
      </c>
      <c r="J1115" s="4" t="s">
        <v>115</v>
      </c>
      <c r="K1115" s="3" t="s">
        <v>62</v>
      </c>
      <c r="L1115" s="3" t="s">
        <v>44</v>
      </c>
      <c r="M1115" s="4" t="s">
        <v>30</v>
      </c>
      <c r="N1115" s="4"/>
      <c r="O1115" s="4" t="s">
        <v>301</v>
      </c>
      <c r="P1115" s="3" t="s">
        <v>52</v>
      </c>
      <c r="Q1115" s="11">
        <v>2</v>
      </c>
      <c r="R1115" s="3" t="str">
        <f>IF(Q1115="","",IF(Q1115&lt;4,"Crítico",IF(Q1115&lt;9,"Alto",IF(Q1115&lt;14,"Médio","Baixo"))))</f>
        <v>Crítico</v>
      </c>
      <c r="S1115" s="10" t="s">
        <v>63</v>
      </c>
      <c r="T1115" s="4" t="str">
        <f>IF(OR(Tabela1[[#This Row],[Grau de Risco]]="Médio",Tabela1[[#This Row],[Grau de Risco]]="Baixo"),"Não","Sim")</f>
        <v>Sim</v>
      </c>
    </row>
    <row r="1116" spans="1:20">
      <c r="A1116" s="4" t="s">
        <v>2</v>
      </c>
      <c r="B1116" s="10" t="s">
        <v>1809</v>
      </c>
      <c r="C1116" s="5" t="s">
        <v>26</v>
      </c>
      <c r="D1116" s="58" t="s">
        <v>1409</v>
      </c>
      <c r="E1116" s="3">
        <v>14</v>
      </c>
      <c r="F1116" s="3">
        <v>9</v>
      </c>
      <c r="G1116" s="3">
        <v>2023</v>
      </c>
      <c r="H1116" s="5" t="s">
        <v>71</v>
      </c>
      <c r="I1116" s="7" t="s">
        <v>509</v>
      </c>
      <c r="J1116" s="4" t="s">
        <v>35</v>
      </c>
      <c r="K1116" s="3">
        <v>5</v>
      </c>
      <c r="L1116" s="3">
        <v>0</v>
      </c>
      <c r="M1116" s="4" t="s">
        <v>30</v>
      </c>
      <c r="N1116" s="4">
        <v>0</v>
      </c>
      <c r="O1116" s="4" t="s">
        <v>55</v>
      </c>
      <c r="P1116" s="3" t="s">
        <v>52</v>
      </c>
      <c r="Q1116" s="11">
        <v>11</v>
      </c>
      <c r="R1116" s="2" t="s">
        <v>31</v>
      </c>
      <c r="S1116" s="10" t="s">
        <v>32</v>
      </c>
      <c r="T1116" s="4" t="str">
        <f>IF(OR(Tabela1[[#This Row],[Grau de Risco]]="Médio",Tabela1[[#This Row],[Grau de Risco]]="Baixo"),"Não","Sim")</f>
        <v>Não</v>
      </c>
    </row>
    <row r="1117" spans="1:20" hidden="1">
      <c r="A1117" s="5" t="s">
        <v>2</v>
      </c>
      <c r="B1117" s="6" t="s">
        <v>1805</v>
      </c>
      <c r="C1117" s="5" t="s">
        <v>125</v>
      </c>
      <c r="D1117" s="38" t="s">
        <v>1382</v>
      </c>
      <c r="E1117" s="2">
        <v>28</v>
      </c>
      <c r="F1117" s="2">
        <v>6</v>
      </c>
      <c r="G1117" s="2">
        <v>2023</v>
      </c>
      <c r="H1117" s="5" t="s">
        <v>123</v>
      </c>
      <c r="I1117" s="5" t="s">
        <v>537</v>
      </c>
      <c r="J1117" s="5" t="s">
        <v>76</v>
      </c>
      <c r="K1117" s="2">
        <v>7</v>
      </c>
      <c r="L1117" s="2">
        <v>0</v>
      </c>
      <c r="M1117" s="5" t="s">
        <v>30</v>
      </c>
      <c r="N1117" s="5">
        <v>0</v>
      </c>
      <c r="O1117" s="5" t="s">
        <v>55</v>
      </c>
      <c r="P1117" s="2" t="s">
        <v>31</v>
      </c>
      <c r="Q1117" s="2">
        <v>13</v>
      </c>
      <c r="R1117" s="2" t="s">
        <v>31</v>
      </c>
      <c r="S1117" s="10" t="s">
        <v>32</v>
      </c>
      <c r="T1117" s="4" t="str">
        <f>IF(OR(Tabela1[[#This Row],[Grau de Risco]]="Médio",Tabela1[[#This Row],[Grau de Risco]]="Baixo"),"Não","Sim")</f>
        <v>Não</v>
      </c>
    </row>
    <row r="1118" spans="1:20" hidden="1">
      <c r="A1118" s="4" t="s">
        <v>7</v>
      </c>
      <c r="B1118" s="10" t="s">
        <v>1793</v>
      </c>
      <c r="C1118" s="4" t="s">
        <v>97</v>
      </c>
      <c r="D1118" s="38" t="s">
        <v>1320</v>
      </c>
      <c r="E1118" s="3">
        <v>13</v>
      </c>
      <c r="F1118" s="3">
        <v>2</v>
      </c>
      <c r="G1118" s="3">
        <v>2023</v>
      </c>
      <c r="H1118" s="5" t="s">
        <v>71</v>
      </c>
      <c r="I1118" s="7" t="s">
        <v>566</v>
      </c>
      <c r="J1118" s="4" t="s">
        <v>111</v>
      </c>
      <c r="K1118" s="3" t="s">
        <v>62</v>
      </c>
      <c r="L1118" s="3" t="s">
        <v>44</v>
      </c>
      <c r="M1118" s="4" t="s">
        <v>30</v>
      </c>
      <c r="N1118" s="4"/>
      <c r="O1118" s="4" t="s">
        <v>129</v>
      </c>
      <c r="P1118" s="3" t="s">
        <v>52</v>
      </c>
      <c r="Q1118" s="11">
        <v>11</v>
      </c>
      <c r="R1118" s="3" t="str">
        <f>IF(Q1118="","",IF(Q1118&lt;4,"Crítico",IF(Q1118&lt;9,"Alto",IF(Q1118&lt;14,"Médio","Baixo"))))</f>
        <v>Médio</v>
      </c>
      <c r="S1118" s="5" t="s">
        <v>56</v>
      </c>
      <c r="T1118" s="4" t="str">
        <f>IF(OR(Tabela1[[#This Row],[Grau de Risco]]="Médio",Tabela1[[#This Row],[Grau de Risco]]="Baixo"),"Não","Sim")</f>
        <v>Não</v>
      </c>
    </row>
    <row r="1119" spans="1:20" hidden="1">
      <c r="A1119" s="4" t="s">
        <v>9</v>
      </c>
      <c r="B1119" s="10" t="s">
        <v>1805</v>
      </c>
      <c r="C1119" s="5" t="s">
        <v>26</v>
      </c>
      <c r="D1119" s="38" t="s">
        <v>1320</v>
      </c>
      <c r="E1119" s="3">
        <v>14</v>
      </c>
      <c r="F1119" s="3">
        <v>8</v>
      </c>
      <c r="G1119" s="3">
        <v>2023</v>
      </c>
      <c r="H1119" s="5" t="s">
        <v>48</v>
      </c>
      <c r="I1119" s="7" t="s">
        <v>582</v>
      </c>
      <c r="J1119" s="4" t="s">
        <v>35</v>
      </c>
      <c r="K1119" s="3">
        <v>15</v>
      </c>
      <c r="L1119" s="3">
        <v>0</v>
      </c>
      <c r="M1119" s="4" t="s">
        <v>30</v>
      </c>
      <c r="N1119" s="4">
        <v>0</v>
      </c>
      <c r="O1119" s="4" t="s">
        <v>101</v>
      </c>
      <c r="P1119" s="3" t="s">
        <v>31</v>
      </c>
      <c r="Q1119" s="11">
        <v>7</v>
      </c>
      <c r="R1119" s="3" t="s">
        <v>102</v>
      </c>
      <c r="S1119" s="10" t="s">
        <v>63</v>
      </c>
      <c r="T1119" s="4" t="str">
        <f>IF(OR(Tabela1[[#This Row],[Grau de Risco]]="Médio",Tabela1[[#This Row],[Grau de Risco]]="Baixo"),"Não","Sim")</f>
        <v>Sim</v>
      </c>
    </row>
    <row r="1120" spans="1:20">
      <c r="A1120" s="4" t="s">
        <v>8</v>
      </c>
      <c r="B1120" s="10" t="s">
        <v>1809</v>
      </c>
      <c r="C1120" s="4" t="s">
        <v>252</v>
      </c>
      <c r="D1120" s="38" t="s">
        <v>47</v>
      </c>
      <c r="E1120" s="3">
        <v>8</v>
      </c>
      <c r="F1120" s="3">
        <v>12</v>
      </c>
      <c r="G1120" s="3">
        <v>2023</v>
      </c>
      <c r="H1120" s="36" t="s">
        <v>107</v>
      </c>
      <c r="I1120" s="7" t="s">
        <v>1709</v>
      </c>
      <c r="J1120" s="4" t="s">
        <v>35</v>
      </c>
      <c r="K1120" s="3">
        <v>0</v>
      </c>
      <c r="L1120" s="3" t="s">
        <v>44</v>
      </c>
      <c r="M1120" s="4" t="s">
        <v>30</v>
      </c>
      <c r="N1120" s="4" t="s">
        <v>44</v>
      </c>
      <c r="O1120" s="4"/>
      <c r="P1120" s="3" t="s">
        <v>52</v>
      </c>
      <c r="Q1120" s="3">
        <v>11</v>
      </c>
      <c r="R1120" s="11" t="s">
        <v>31</v>
      </c>
      <c r="S1120" s="5" t="s">
        <v>56</v>
      </c>
      <c r="T1120" s="4" t="str">
        <f>IF(OR(Tabela1[[#This Row],[Grau de Risco]]="Médio",Tabela1[[#This Row],[Grau de Risco]]="Baixo"),"Não","Sim")</f>
        <v>Não</v>
      </c>
    </row>
    <row r="1121" spans="1:20" hidden="1">
      <c r="A1121" s="4" t="s">
        <v>8</v>
      </c>
      <c r="B1121" s="10" t="s">
        <v>1800</v>
      </c>
      <c r="C1121" s="4" t="s">
        <v>81</v>
      </c>
      <c r="D1121" s="38" t="s">
        <v>1382</v>
      </c>
      <c r="E1121" s="22">
        <v>11</v>
      </c>
      <c r="F1121" s="3">
        <v>10</v>
      </c>
      <c r="G1121" s="3">
        <v>2023</v>
      </c>
      <c r="H1121" s="36" t="s">
        <v>33</v>
      </c>
      <c r="I1121" s="7" t="s">
        <v>636</v>
      </c>
      <c r="J1121" s="4" t="s">
        <v>54</v>
      </c>
      <c r="K1121" s="3">
        <v>0</v>
      </c>
      <c r="L1121" s="3"/>
      <c r="M1121" s="4"/>
      <c r="N1121" s="4"/>
      <c r="O1121" s="4" t="s">
        <v>45</v>
      </c>
      <c r="P1121" s="3" t="s">
        <v>52</v>
      </c>
      <c r="Q1121" s="11">
        <v>11</v>
      </c>
      <c r="R1121" s="3" t="s">
        <v>31</v>
      </c>
      <c r="S1121" s="10" t="s">
        <v>63</v>
      </c>
      <c r="T1121" s="4" t="str">
        <f>IF(OR(Tabela1[[#This Row],[Grau de Risco]]="Médio",Tabela1[[#This Row],[Grau de Risco]]="Baixo"),"Não","Sim")</f>
        <v>Não</v>
      </c>
    </row>
    <row r="1122" spans="1:20" hidden="1">
      <c r="A1122" s="5" t="s">
        <v>7</v>
      </c>
      <c r="B1122" s="10" t="s">
        <v>1800</v>
      </c>
      <c r="C1122" s="4" t="s">
        <v>81</v>
      </c>
      <c r="D1122" s="5" t="s">
        <v>148</v>
      </c>
      <c r="E1122" s="3">
        <v>22</v>
      </c>
      <c r="F1122" s="3">
        <v>10</v>
      </c>
      <c r="G1122" s="3">
        <v>2023</v>
      </c>
      <c r="H1122" s="4" t="s">
        <v>171</v>
      </c>
      <c r="I1122" s="7" t="s">
        <v>639</v>
      </c>
      <c r="J1122" s="4" t="s">
        <v>54</v>
      </c>
      <c r="K1122" s="3" t="s">
        <v>44</v>
      </c>
      <c r="L1122" s="3"/>
      <c r="M1122" s="4"/>
      <c r="N1122" s="4"/>
      <c r="O1122" s="4" t="s">
        <v>74</v>
      </c>
      <c r="P1122" s="3"/>
      <c r="Q1122" s="11">
        <v>15</v>
      </c>
      <c r="R1122" s="3" t="s">
        <v>52</v>
      </c>
      <c r="S1122" s="5" t="s">
        <v>56</v>
      </c>
      <c r="T1122" s="4" t="str">
        <f>IF(OR(Tabela1[[#This Row],[Grau de Risco]]="Médio",Tabela1[[#This Row],[Grau de Risco]]="Baixo"),"Não","Sim")</f>
        <v>Não</v>
      </c>
    </row>
    <row r="1123" spans="1:20" hidden="1">
      <c r="A1123" s="4" t="s">
        <v>8</v>
      </c>
      <c r="B1123" s="10" t="s">
        <v>1800</v>
      </c>
      <c r="C1123" s="4" t="s">
        <v>81</v>
      </c>
      <c r="D1123" s="5" t="s">
        <v>36</v>
      </c>
      <c r="E1123" s="3">
        <v>9</v>
      </c>
      <c r="F1123" s="3">
        <v>12</v>
      </c>
      <c r="G1123" s="3">
        <v>2023</v>
      </c>
      <c r="H1123" s="36" t="s">
        <v>82</v>
      </c>
      <c r="I1123" s="7" t="s">
        <v>641</v>
      </c>
      <c r="J1123" s="5" t="s">
        <v>54</v>
      </c>
      <c r="K1123" s="3">
        <v>0</v>
      </c>
      <c r="L1123" s="3"/>
      <c r="M1123" s="4"/>
      <c r="N1123" s="4"/>
      <c r="O1123" s="4" t="s">
        <v>325</v>
      </c>
      <c r="P1123" s="3" t="s">
        <v>52</v>
      </c>
      <c r="Q1123" s="3">
        <v>11</v>
      </c>
      <c r="R1123" s="11" t="s">
        <v>31</v>
      </c>
      <c r="S1123" s="5" t="s">
        <v>56</v>
      </c>
      <c r="T1123" s="4" t="str">
        <f>IF(OR(Tabela1[[#This Row],[Grau de Risco]]="Médio",Tabela1[[#This Row],[Grau de Risco]]="Baixo"),"Não","Sim")</f>
        <v>Não</v>
      </c>
    </row>
    <row r="1124" spans="1:20" hidden="1">
      <c r="A1124" s="4" t="s">
        <v>7</v>
      </c>
      <c r="B1124" s="10" t="s">
        <v>1805</v>
      </c>
      <c r="C1124" s="4" t="s">
        <v>89</v>
      </c>
      <c r="D1124" s="38" t="s">
        <v>1320</v>
      </c>
      <c r="E1124" s="3">
        <v>22</v>
      </c>
      <c r="F1124" s="3">
        <v>5</v>
      </c>
      <c r="G1124" s="3">
        <v>2023</v>
      </c>
      <c r="H1124" s="36" t="s">
        <v>112</v>
      </c>
      <c r="I1124" s="7" t="s">
        <v>668</v>
      </c>
      <c r="J1124" s="4" t="s">
        <v>61</v>
      </c>
      <c r="K1124" s="3" t="s">
        <v>62</v>
      </c>
      <c r="L1124" s="3" t="s">
        <v>44</v>
      </c>
      <c r="M1124" s="4" t="s">
        <v>30</v>
      </c>
      <c r="N1124" s="4"/>
      <c r="O1124" s="4" t="s">
        <v>51</v>
      </c>
      <c r="P1124" s="3" t="s">
        <v>52</v>
      </c>
      <c r="Q1124" s="11">
        <v>11</v>
      </c>
      <c r="R1124" s="3" t="str">
        <f>IF(Q1124="","",IF(Q1124&lt;4,"Crítico",IF(Q1124&lt;9,"Alto",IF(Q1124&lt;14,"Médio","Baixo"))))</f>
        <v>Médio</v>
      </c>
      <c r="S1124" s="10" t="s">
        <v>63</v>
      </c>
      <c r="T1124" s="4" t="str">
        <f>IF(OR(Tabela1[[#This Row],[Grau de Risco]]="Médio",Tabela1[[#This Row],[Grau de Risco]]="Baixo"),"Não","Sim")</f>
        <v>Não</v>
      </c>
    </row>
    <row r="1125" spans="1:20" hidden="1">
      <c r="A1125" s="4" t="s">
        <v>7</v>
      </c>
      <c r="B1125" s="10" t="s">
        <v>1797</v>
      </c>
      <c r="C1125" s="4" t="s">
        <v>81</v>
      </c>
      <c r="D1125" s="38" t="s">
        <v>47</v>
      </c>
      <c r="E1125" s="3">
        <v>9</v>
      </c>
      <c r="F1125" s="3">
        <v>8</v>
      </c>
      <c r="G1125" s="3">
        <v>2024</v>
      </c>
      <c r="H1125" s="5" t="s">
        <v>123</v>
      </c>
      <c r="I1125" s="7" t="s">
        <v>1710</v>
      </c>
      <c r="J1125" s="4" t="s">
        <v>76</v>
      </c>
      <c r="K1125" s="3" t="s">
        <v>44</v>
      </c>
      <c r="L1125" s="3" t="s">
        <v>44</v>
      </c>
      <c r="M1125" s="4"/>
      <c r="N1125" s="4" t="s">
        <v>44</v>
      </c>
      <c r="O1125" s="4"/>
      <c r="P1125" s="3" t="s">
        <v>52</v>
      </c>
      <c r="Q1125" s="11">
        <v>15</v>
      </c>
      <c r="R1125" s="3" t="s">
        <v>52</v>
      </c>
      <c r="S1125" s="10" t="s">
        <v>63</v>
      </c>
      <c r="T1125" s="4" t="str">
        <f>IF(OR(Tabela1[[#This Row],[Grau de Risco]]="Médio",Tabela1[[#This Row],[Grau de Risco]]="Baixo"),"Não","Sim")</f>
        <v>Não</v>
      </c>
    </row>
    <row r="1126" spans="1:20">
      <c r="A1126" s="4" t="s">
        <v>7</v>
      </c>
      <c r="B1126" s="10" t="s">
        <v>1809</v>
      </c>
      <c r="C1126" s="4" t="s">
        <v>26</v>
      </c>
      <c r="D1126" s="38" t="s">
        <v>1393</v>
      </c>
      <c r="E1126" s="3">
        <v>27</v>
      </c>
      <c r="F1126" s="3">
        <v>8</v>
      </c>
      <c r="G1126" s="3">
        <v>2024</v>
      </c>
      <c r="H1126" s="36" t="s">
        <v>107</v>
      </c>
      <c r="I1126" s="7" t="s">
        <v>1636</v>
      </c>
      <c r="J1126" s="4" t="s">
        <v>93</v>
      </c>
      <c r="K1126" s="3"/>
      <c r="L1126" s="3"/>
      <c r="M1126" s="4" t="s">
        <v>30</v>
      </c>
      <c r="N1126" s="4">
        <v>0</v>
      </c>
      <c r="O1126" s="4"/>
      <c r="P1126" s="3" t="s">
        <v>52</v>
      </c>
      <c r="Q1126" s="11">
        <v>16</v>
      </c>
      <c r="R1126" s="3" t="s">
        <v>52</v>
      </c>
      <c r="S1126" s="5" t="s">
        <v>56</v>
      </c>
      <c r="T1126" s="4" t="str">
        <f>IF(OR(Tabela1[[#This Row],[Grau de Risco]]="Médio",Tabela1[[#This Row],[Grau de Risco]]="Baixo"),"Não","Sim")</f>
        <v>Não</v>
      </c>
    </row>
    <row r="1127" spans="1:20">
      <c r="A1127" s="4" t="s">
        <v>7</v>
      </c>
      <c r="B1127" s="10" t="s">
        <v>1809</v>
      </c>
      <c r="C1127" s="4" t="s">
        <v>252</v>
      </c>
      <c r="D1127" s="38" t="s">
        <v>1393</v>
      </c>
      <c r="E1127" s="3">
        <v>26</v>
      </c>
      <c r="F1127" s="3">
        <v>11</v>
      </c>
      <c r="G1127" s="3">
        <v>2024</v>
      </c>
      <c r="H1127" s="36" t="s">
        <v>33</v>
      </c>
      <c r="I1127" s="7" t="s">
        <v>725</v>
      </c>
      <c r="J1127" s="4" t="s">
        <v>93</v>
      </c>
      <c r="K1127" s="3"/>
      <c r="L1127" s="3"/>
      <c r="M1127" s="4"/>
      <c r="N1127" s="4"/>
      <c r="O1127" s="4"/>
      <c r="P1127" s="3" t="s">
        <v>52</v>
      </c>
      <c r="Q1127" s="11">
        <v>16</v>
      </c>
      <c r="R1127" s="3" t="s">
        <v>52</v>
      </c>
      <c r="S1127" s="5" t="s">
        <v>56</v>
      </c>
      <c r="T1127" s="4" t="str">
        <f>IF(OR(Tabela1[[#This Row],[Grau de Risco]]="Médio",Tabela1[[#This Row],[Grau de Risco]]="Baixo"),"Não","Sim")</f>
        <v>Não</v>
      </c>
    </row>
    <row r="1128" spans="1:20">
      <c r="A1128" s="47" t="s">
        <v>6</v>
      </c>
      <c r="B1128" s="10" t="s">
        <v>1809</v>
      </c>
      <c r="C1128" s="4" t="s">
        <v>41</v>
      </c>
      <c r="D1128" s="58" t="s">
        <v>1409</v>
      </c>
      <c r="E1128" s="3">
        <v>14</v>
      </c>
      <c r="F1128" s="3">
        <v>11</v>
      </c>
      <c r="G1128" s="3">
        <v>2024</v>
      </c>
      <c r="H1128" s="36" t="s">
        <v>82</v>
      </c>
      <c r="I1128" s="7" t="s">
        <v>726</v>
      </c>
      <c r="J1128" s="4" t="s">
        <v>93</v>
      </c>
      <c r="K1128" s="3"/>
      <c r="L1128" s="3"/>
      <c r="M1128" s="4"/>
      <c r="N1128" s="4"/>
      <c r="O1128" s="4"/>
      <c r="P1128" s="3" t="s">
        <v>52</v>
      </c>
      <c r="Q1128" s="11">
        <v>10</v>
      </c>
      <c r="R1128" s="3" t="s">
        <v>31</v>
      </c>
      <c r="S1128" s="5" t="s">
        <v>56</v>
      </c>
      <c r="T1128" s="4" t="str">
        <f>IF(OR(Tabela1[[#This Row],[Grau de Risco]]="Médio",Tabela1[[#This Row],[Grau de Risco]]="Baixo"),"Não","Sim")</f>
        <v>Não</v>
      </c>
    </row>
    <row r="1129" spans="1:20">
      <c r="A1129" s="4" t="s">
        <v>8</v>
      </c>
      <c r="B1129" s="10" t="s">
        <v>1809</v>
      </c>
      <c r="C1129" s="4" t="s">
        <v>46</v>
      </c>
      <c r="D1129" s="38" t="s">
        <v>1320</v>
      </c>
      <c r="E1129" s="3">
        <v>2</v>
      </c>
      <c r="F1129" s="3">
        <v>12</v>
      </c>
      <c r="G1129" s="3">
        <v>2024</v>
      </c>
      <c r="H1129" s="36" t="s">
        <v>107</v>
      </c>
      <c r="I1129" s="7" t="s">
        <v>786</v>
      </c>
      <c r="J1129" s="4" t="s">
        <v>76</v>
      </c>
      <c r="K1129" s="3" t="s">
        <v>44</v>
      </c>
      <c r="L1129" s="3" t="s">
        <v>44</v>
      </c>
      <c r="M1129" s="4" t="s">
        <v>30</v>
      </c>
      <c r="N1129" s="4" t="s">
        <v>44</v>
      </c>
      <c r="O1129" s="4" t="s">
        <v>117</v>
      </c>
      <c r="P1129" s="3" t="s">
        <v>31</v>
      </c>
      <c r="Q1129" s="11">
        <v>10</v>
      </c>
      <c r="R1129" s="3" t="s">
        <v>31</v>
      </c>
      <c r="S1129" s="5" t="s">
        <v>56</v>
      </c>
      <c r="T1129" s="4" t="str">
        <f>IF(OR(Tabela1[[#This Row],[Grau de Risco]]="Médio",Tabela1[[#This Row],[Grau de Risco]]="Baixo"),"Não","Sim")</f>
        <v>Não</v>
      </c>
    </row>
    <row r="1130" spans="1:20" hidden="1">
      <c r="A1130" s="4" t="s">
        <v>7</v>
      </c>
      <c r="B1130" s="10" t="s">
        <v>1797</v>
      </c>
      <c r="C1130" s="4" t="s">
        <v>46</v>
      </c>
      <c r="D1130" s="38" t="s">
        <v>1393</v>
      </c>
      <c r="E1130" s="3">
        <v>3</v>
      </c>
      <c r="F1130" s="3">
        <v>9</v>
      </c>
      <c r="G1130" s="3">
        <v>2024</v>
      </c>
      <c r="H1130" s="36" t="s">
        <v>112</v>
      </c>
      <c r="I1130" s="7" t="s">
        <v>1571</v>
      </c>
      <c r="J1130" s="4" t="s">
        <v>192</v>
      </c>
      <c r="K1130" s="3"/>
      <c r="L1130" s="3"/>
      <c r="M1130" s="4"/>
      <c r="N1130" s="4"/>
      <c r="O1130" s="4" t="s">
        <v>4</v>
      </c>
      <c r="P1130" s="3"/>
      <c r="Q1130" s="11">
        <v>15</v>
      </c>
      <c r="R1130" s="3" t="s">
        <v>52</v>
      </c>
      <c r="S1130" s="10" t="s">
        <v>63</v>
      </c>
      <c r="T1130" s="4" t="str">
        <f>IF(OR(Tabela1[[#This Row],[Grau de Risco]]="Médio",Tabela1[[#This Row],[Grau de Risco]]="Baixo"),"Não","Sim")</f>
        <v>Não</v>
      </c>
    </row>
    <row r="1131" spans="1:20">
      <c r="A1131" s="4" t="s">
        <v>2</v>
      </c>
      <c r="B1131" s="10" t="s">
        <v>1809</v>
      </c>
      <c r="C1131" s="4" t="s">
        <v>26</v>
      </c>
      <c r="D1131" s="58" t="s">
        <v>1409</v>
      </c>
      <c r="E1131" s="3">
        <v>18</v>
      </c>
      <c r="F1131" s="3">
        <v>1</v>
      </c>
      <c r="G1131" s="3">
        <v>2024</v>
      </c>
      <c r="H1131" s="36" t="s">
        <v>82</v>
      </c>
      <c r="I1131" s="7" t="s">
        <v>1829</v>
      </c>
      <c r="J1131" s="4" t="s">
        <v>835</v>
      </c>
      <c r="K1131" s="3">
        <v>13</v>
      </c>
      <c r="L1131" s="3">
        <v>0</v>
      </c>
      <c r="M1131" s="4" t="s">
        <v>30</v>
      </c>
      <c r="N1131" s="4">
        <v>0</v>
      </c>
      <c r="O1131" s="4" t="s">
        <v>413</v>
      </c>
      <c r="P1131" s="3" t="s">
        <v>31</v>
      </c>
      <c r="Q1131" s="11">
        <v>11</v>
      </c>
      <c r="R1131" s="3" t="s">
        <v>31</v>
      </c>
      <c r="S1131" s="10" t="s">
        <v>141</v>
      </c>
      <c r="T1131" s="4" t="str">
        <f>IF(OR(Tabela1[[#This Row],[Grau de Risco]]="Médio",Tabela1[[#This Row],[Grau de Risco]]="Baixo"),"Não","Sim")</f>
        <v>Não</v>
      </c>
    </row>
    <row r="1132" spans="1:20" hidden="1">
      <c r="A1132" s="4" t="s">
        <v>8</v>
      </c>
      <c r="B1132" s="10" t="s">
        <v>1793</v>
      </c>
      <c r="C1132" s="4" t="s">
        <v>89</v>
      </c>
      <c r="D1132" s="38" t="s">
        <v>1393</v>
      </c>
      <c r="E1132" s="3">
        <v>14</v>
      </c>
      <c r="F1132" s="3">
        <v>5</v>
      </c>
      <c r="G1132" s="3">
        <v>2024</v>
      </c>
      <c r="H1132" s="5" t="s">
        <v>123</v>
      </c>
      <c r="I1132" s="7" t="s">
        <v>1034</v>
      </c>
      <c r="J1132" s="4" t="s">
        <v>76</v>
      </c>
      <c r="K1132" s="3" t="s">
        <v>44</v>
      </c>
      <c r="L1132" s="3" t="s">
        <v>44</v>
      </c>
      <c r="M1132" s="4" t="s">
        <v>30</v>
      </c>
      <c r="N1132" s="4" t="s">
        <v>44</v>
      </c>
      <c r="O1132" s="4" t="s">
        <v>55</v>
      </c>
      <c r="P1132" s="3" t="s">
        <v>52</v>
      </c>
      <c r="Q1132" s="11">
        <v>14</v>
      </c>
      <c r="R1132" s="3" t="s">
        <v>52</v>
      </c>
      <c r="S1132" s="10" t="s">
        <v>32</v>
      </c>
      <c r="T1132" s="4" t="str">
        <f>IF(OR(Tabela1[[#This Row],[Grau de Risco]]="Médio",Tabela1[[#This Row],[Grau de Risco]]="Baixo"),"Não","Sim")</f>
        <v>Não</v>
      </c>
    </row>
    <row r="1133" spans="1:20" hidden="1">
      <c r="A1133" s="4" t="s">
        <v>2</v>
      </c>
      <c r="B1133" s="10" t="s">
        <v>1797</v>
      </c>
      <c r="C1133" s="4" t="s">
        <v>46</v>
      </c>
      <c r="D1133" s="38" t="s">
        <v>1320</v>
      </c>
      <c r="E1133" s="3">
        <v>10</v>
      </c>
      <c r="F1133" s="3">
        <v>2</v>
      </c>
      <c r="G1133" s="3">
        <v>2025</v>
      </c>
      <c r="H1133" s="36" t="s">
        <v>33</v>
      </c>
      <c r="I1133" s="7" t="s">
        <v>1151</v>
      </c>
      <c r="J1133" s="4" t="s">
        <v>79</v>
      </c>
      <c r="K1133" s="3">
        <v>1</v>
      </c>
      <c r="L1133" s="3">
        <v>0</v>
      </c>
      <c r="M1133" s="4" t="s">
        <v>30</v>
      </c>
      <c r="N1133" s="4">
        <v>0</v>
      </c>
      <c r="O1133" s="4" t="s">
        <v>51</v>
      </c>
      <c r="P1133" s="3" t="s">
        <v>52</v>
      </c>
      <c r="Q1133" s="11">
        <v>14</v>
      </c>
      <c r="R1133" s="3" t="s">
        <v>52</v>
      </c>
      <c r="S1133" s="10" t="s">
        <v>4</v>
      </c>
      <c r="T1133" s="4" t="str">
        <f>IF(OR(Tabela1[[#This Row],[Grau de Risco]]="Médio",Tabela1[[#This Row],[Grau de Risco]]="Baixo"),"Não","Sim")</f>
        <v>Não</v>
      </c>
    </row>
    <row r="1134" spans="1:20">
      <c r="A1134" s="28" t="s">
        <v>7</v>
      </c>
      <c r="B1134" s="10" t="s">
        <v>1809</v>
      </c>
      <c r="C1134" s="28" t="s">
        <v>252</v>
      </c>
      <c r="D1134" s="38" t="s">
        <v>47</v>
      </c>
      <c r="E1134" s="32">
        <v>21</v>
      </c>
      <c r="F1134" s="32">
        <v>3</v>
      </c>
      <c r="G1134" s="32">
        <v>2025</v>
      </c>
      <c r="H1134" s="5" t="s">
        <v>71</v>
      </c>
      <c r="I1134" s="29" t="s">
        <v>1197</v>
      </c>
      <c r="J1134" s="28" t="s">
        <v>111</v>
      </c>
      <c r="K1134" s="32"/>
      <c r="L1134" s="32"/>
      <c r="M1134" s="28"/>
      <c r="N1134" s="28"/>
      <c r="O1134" s="28" t="s">
        <v>4</v>
      </c>
      <c r="P1134" s="32"/>
      <c r="Q1134" s="35">
        <v>14</v>
      </c>
      <c r="R1134" s="32" t="s">
        <v>52</v>
      </c>
      <c r="S1134" s="5" t="s">
        <v>56</v>
      </c>
      <c r="T1134" s="4" t="str">
        <f>IF(OR(Tabela1[[#This Row],[Grau de Risco]]="Médio",Tabela1[[#This Row],[Grau de Risco]]="Baixo"),"Não","Sim")</f>
        <v>Não</v>
      </c>
    </row>
    <row r="1135" spans="1:20">
      <c r="A1135" s="28" t="s">
        <v>8</v>
      </c>
      <c r="B1135" s="10" t="s">
        <v>1809</v>
      </c>
      <c r="C1135" s="28" t="s">
        <v>41</v>
      </c>
      <c r="D1135" s="28" t="s">
        <v>1382</v>
      </c>
      <c r="E1135" s="32">
        <v>3</v>
      </c>
      <c r="F1135" s="32">
        <v>9</v>
      </c>
      <c r="G1135" s="32">
        <v>2025</v>
      </c>
      <c r="H1135" s="34" t="s">
        <v>33</v>
      </c>
      <c r="I1135" s="29" t="s">
        <v>1830</v>
      </c>
      <c r="J1135" s="28" t="s">
        <v>111</v>
      </c>
      <c r="K1135" s="32"/>
      <c r="L1135" s="32"/>
      <c r="M1135" s="28"/>
      <c r="N1135" s="28"/>
      <c r="O1135" s="28" t="s">
        <v>51</v>
      </c>
      <c r="P1135" s="32" t="s">
        <v>31</v>
      </c>
      <c r="Q1135" s="35">
        <v>10</v>
      </c>
      <c r="R1135" s="32" t="s">
        <v>31</v>
      </c>
      <c r="S1135" s="10" t="s">
        <v>56</v>
      </c>
      <c r="T1135" s="4" t="str">
        <f>IF(OR(Tabela1[[#This Row],[Grau de Risco]]="Médio",Tabela1[[#This Row],[Grau de Risco]]="Baixo"),"Não","Sim")</f>
        <v>Não</v>
      </c>
    </row>
    <row r="1136" spans="1:20">
      <c r="A1136" s="4" t="s">
        <v>7</v>
      </c>
      <c r="B1136" s="10" t="s">
        <v>1809</v>
      </c>
      <c r="C1136" s="4" t="s">
        <v>26</v>
      </c>
      <c r="D1136" s="38" t="s">
        <v>1382</v>
      </c>
      <c r="E1136" s="3">
        <v>9</v>
      </c>
      <c r="F1136" s="3">
        <v>4</v>
      </c>
      <c r="G1136" s="3">
        <v>2025</v>
      </c>
      <c r="I1136" s="7" t="s">
        <v>1711</v>
      </c>
      <c r="J1136" s="4" t="s">
        <v>50</v>
      </c>
      <c r="K1136" s="3">
        <v>0</v>
      </c>
      <c r="L1136" s="3">
        <v>0</v>
      </c>
      <c r="M1136" s="4" t="s">
        <v>30</v>
      </c>
      <c r="N1136" s="4">
        <v>0</v>
      </c>
      <c r="O1136" s="4"/>
      <c r="P1136" s="3" t="s">
        <v>52</v>
      </c>
      <c r="Q1136" s="11">
        <v>15</v>
      </c>
      <c r="R1136" s="3" t="s">
        <v>52</v>
      </c>
      <c r="S1136" s="10" t="s">
        <v>56</v>
      </c>
      <c r="T1136" s="4" t="str">
        <f>IF(OR(Tabela1[[#This Row],[Grau de Risco]]="Médio",Tabela1[[#This Row],[Grau de Risco]]="Baixo"),"Não","Sim")</f>
        <v>Não</v>
      </c>
    </row>
    <row r="1137" spans="1:20" hidden="1">
      <c r="A1137" s="28" t="s">
        <v>10</v>
      </c>
      <c r="B1137" s="56" t="s">
        <v>1793</v>
      </c>
      <c r="C1137" s="28" t="s">
        <v>26</v>
      </c>
      <c r="D1137" s="38" t="s">
        <v>1382</v>
      </c>
      <c r="E1137" s="32">
        <v>23</v>
      </c>
      <c r="F1137" s="32">
        <v>4</v>
      </c>
      <c r="G1137" s="32">
        <v>2025</v>
      </c>
      <c r="H1137" s="36" t="s">
        <v>66</v>
      </c>
      <c r="I1137" s="29" t="s">
        <v>1232</v>
      </c>
      <c r="J1137" s="28" t="s">
        <v>111</v>
      </c>
      <c r="K1137" s="32"/>
      <c r="L1137" s="32"/>
      <c r="M1137" s="28"/>
      <c r="N1137" s="28"/>
      <c r="O1137" s="28" t="s">
        <v>386</v>
      </c>
      <c r="P1137" s="32" t="s">
        <v>31</v>
      </c>
      <c r="Q1137" s="11">
        <v>13</v>
      </c>
      <c r="R1137" s="3" t="s">
        <v>31</v>
      </c>
      <c r="S1137" s="10" t="s">
        <v>63</v>
      </c>
      <c r="T1137" s="4" t="str">
        <f>IF(OR(Tabela1[[#This Row],[Grau de Risco]]="Médio",Tabela1[[#This Row],[Grau de Risco]]="Baixo"),"Não","Sim")</f>
        <v>Não</v>
      </c>
    </row>
    <row r="1138" spans="1:20" hidden="1">
      <c r="A1138" s="4" t="s">
        <v>7</v>
      </c>
      <c r="B1138" s="10" t="s">
        <v>1797</v>
      </c>
      <c r="C1138" s="4" t="s">
        <v>46</v>
      </c>
      <c r="D1138" s="38" t="s">
        <v>47</v>
      </c>
      <c r="E1138" s="3">
        <v>16</v>
      </c>
      <c r="F1138" s="3">
        <v>5</v>
      </c>
      <c r="G1138" s="3">
        <v>2025</v>
      </c>
      <c r="H1138" s="5" t="s">
        <v>269</v>
      </c>
      <c r="I1138" s="7" t="s">
        <v>1712</v>
      </c>
      <c r="J1138" s="4" t="s">
        <v>290</v>
      </c>
      <c r="K1138" s="3"/>
      <c r="L1138" s="3"/>
      <c r="M1138" s="4"/>
      <c r="N1138" s="4"/>
      <c r="O1138" s="4"/>
      <c r="P1138" s="3"/>
      <c r="Q1138" s="11">
        <v>4</v>
      </c>
      <c r="R1138" s="3" t="s">
        <v>102</v>
      </c>
      <c r="S1138" s="10" t="s">
        <v>4</v>
      </c>
      <c r="T1138" s="4" t="str">
        <f>IF(OR(Tabela1[[#This Row],[Grau de Risco]]="Médio",Tabela1[[#This Row],[Grau de Risco]]="Baixo"),"Não","Sim")</f>
        <v>Sim</v>
      </c>
    </row>
    <row r="1139" spans="1:20">
      <c r="A1139" s="4" t="s">
        <v>9</v>
      </c>
      <c r="B1139" s="10" t="s">
        <v>1809</v>
      </c>
      <c r="C1139" s="4" t="s">
        <v>26</v>
      </c>
      <c r="D1139" s="38" t="s">
        <v>1393</v>
      </c>
      <c r="E1139" s="3">
        <v>27</v>
      </c>
      <c r="F1139" s="3">
        <v>5</v>
      </c>
      <c r="G1139" s="3">
        <v>2025</v>
      </c>
      <c r="H1139" s="36" t="s">
        <v>112</v>
      </c>
      <c r="I1139" s="7" t="s">
        <v>1270</v>
      </c>
      <c r="J1139" s="4" t="s">
        <v>76</v>
      </c>
      <c r="K1139" s="3">
        <v>14</v>
      </c>
      <c r="L1139" s="3">
        <v>0</v>
      </c>
      <c r="M1139" s="4"/>
      <c r="N1139" s="4"/>
      <c r="O1139" s="4" t="s">
        <v>101</v>
      </c>
      <c r="P1139" s="3" t="s">
        <v>31</v>
      </c>
      <c r="Q1139" s="11">
        <v>4</v>
      </c>
      <c r="R1139" s="3" t="s">
        <v>102</v>
      </c>
      <c r="S1139" s="10" t="s">
        <v>63</v>
      </c>
      <c r="T1139" s="4" t="str">
        <f>IF(OR(Tabela1[[#This Row],[Grau de Risco]]="Médio",Tabela1[[#This Row],[Grau de Risco]]="Baixo"),"Não","Sim")</f>
        <v>Sim</v>
      </c>
    </row>
    <row r="1140" spans="1:20" hidden="1">
      <c r="A1140" s="4" t="s">
        <v>7</v>
      </c>
      <c r="B1140" s="10" t="s">
        <v>1797</v>
      </c>
      <c r="C1140" s="4" t="s">
        <v>81</v>
      </c>
      <c r="D1140" s="38" t="s">
        <v>1393</v>
      </c>
      <c r="E1140" s="3">
        <v>10</v>
      </c>
      <c r="F1140" s="3">
        <v>6</v>
      </c>
      <c r="G1140" s="3">
        <v>2025</v>
      </c>
      <c r="H1140" s="5" t="s">
        <v>123</v>
      </c>
      <c r="I1140" s="7" t="s">
        <v>1290</v>
      </c>
      <c r="J1140" s="4" t="s">
        <v>69</v>
      </c>
      <c r="K1140" s="3" t="s">
        <v>44</v>
      </c>
      <c r="L1140" s="3" t="s">
        <v>44</v>
      </c>
      <c r="M1140" s="4"/>
      <c r="N1140" s="4" t="s">
        <v>44</v>
      </c>
      <c r="O1140" s="4"/>
      <c r="P1140" s="3"/>
      <c r="Q1140" s="11">
        <v>11</v>
      </c>
      <c r="R1140" s="3" t="s">
        <v>31</v>
      </c>
      <c r="S1140" s="10" t="s">
        <v>63</v>
      </c>
      <c r="T1140" s="4" t="str">
        <f>IF(OR(Tabela1[[#This Row],[Grau de Risco]]="Médio",Tabela1[[#This Row],[Grau de Risco]]="Baixo"),"Não","Sim")</f>
        <v>Não</v>
      </c>
    </row>
    <row r="1141" spans="1:20" hidden="1">
      <c r="A1141" s="28" t="s">
        <v>8</v>
      </c>
      <c r="B1141" s="33" t="s">
        <v>1805</v>
      </c>
      <c r="C1141" s="28" t="s">
        <v>26</v>
      </c>
      <c r="D1141" s="38" t="s">
        <v>1382</v>
      </c>
      <c r="E1141" s="32">
        <v>18</v>
      </c>
      <c r="F1141" s="32">
        <v>6</v>
      </c>
      <c r="G1141" s="32">
        <v>2025</v>
      </c>
      <c r="H1141" s="36" t="s">
        <v>82</v>
      </c>
      <c r="I1141" s="29" t="s">
        <v>1309</v>
      </c>
      <c r="J1141" s="28" t="s">
        <v>61</v>
      </c>
      <c r="K1141" s="32"/>
      <c r="L1141" s="32"/>
      <c r="M1141" s="28"/>
      <c r="N1141" s="28"/>
      <c r="O1141" s="28" t="s">
        <v>39</v>
      </c>
      <c r="P1141" s="32" t="s">
        <v>52</v>
      </c>
      <c r="Q1141" s="35">
        <v>15</v>
      </c>
      <c r="R1141" s="32" t="s">
        <v>52</v>
      </c>
      <c r="S1141" s="5" t="s">
        <v>56</v>
      </c>
      <c r="T1141" s="4" t="str">
        <f>IF(OR(Tabela1[[#This Row],[Grau de Risco]]="Médio",Tabela1[[#This Row],[Grau de Risco]]="Baixo"),"Não","Sim")</f>
        <v>Não</v>
      </c>
    </row>
    <row r="1142" spans="1:20" hidden="1">
      <c r="A1142" s="28" t="s">
        <v>7</v>
      </c>
      <c r="B1142" s="33" t="s">
        <v>1800</v>
      </c>
      <c r="C1142" s="28" t="s">
        <v>125</v>
      </c>
      <c r="D1142" s="38" t="s">
        <v>47</v>
      </c>
      <c r="E1142" s="32">
        <v>13</v>
      </c>
      <c r="F1142" s="32">
        <v>6</v>
      </c>
      <c r="G1142" s="32">
        <v>2025</v>
      </c>
      <c r="H1142" s="38" t="s">
        <v>66</v>
      </c>
      <c r="I1142" s="29" t="s">
        <v>1315</v>
      </c>
      <c r="J1142" s="28" t="s">
        <v>111</v>
      </c>
      <c r="K1142" s="32" t="s">
        <v>80</v>
      </c>
      <c r="L1142" s="32" t="s">
        <v>80</v>
      </c>
      <c r="M1142" s="28" t="s">
        <v>30</v>
      </c>
      <c r="N1142" s="28" t="s">
        <v>80</v>
      </c>
      <c r="O1142" s="28" t="s">
        <v>883</v>
      </c>
      <c r="P1142" s="32" t="s">
        <v>52</v>
      </c>
      <c r="Q1142" s="35">
        <v>16</v>
      </c>
      <c r="R1142" s="32" t="s">
        <v>52</v>
      </c>
      <c r="S1142" s="33" t="s">
        <v>32</v>
      </c>
      <c r="T1142" s="4" t="str">
        <f>IF(OR(Tabela1[[#This Row],[Grau de Risco]]="Médio",Tabela1[[#This Row],[Grau de Risco]]="Baixo"),"Não","Sim")</f>
        <v>Não</v>
      </c>
    </row>
    <row r="1143" spans="1:20">
      <c r="A1143" s="28" t="s">
        <v>10</v>
      </c>
      <c r="B1143" s="10" t="s">
        <v>1809</v>
      </c>
      <c r="C1143" s="28" t="s">
        <v>26</v>
      </c>
      <c r="D1143" s="36" t="s">
        <v>1320</v>
      </c>
      <c r="E1143" s="32">
        <v>7</v>
      </c>
      <c r="F1143" s="32">
        <v>7</v>
      </c>
      <c r="G1143" s="32">
        <v>2025</v>
      </c>
      <c r="H1143" s="36" t="s">
        <v>66</v>
      </c>
      <c r="I1143" s="29" t="s">
        <v>1338</v>
      </c>
      <c r="J1143" s="28" t="s">
        <v>84</v>
      </c>
      <c r="K1143" s="32"/>
      <c r="L1143" s="32"/>
      <c r="M1143" s="28"/>
      <c r="N1143" s="28"/>
      <c r="O1143" s="28" t="s">
        <v>1339</v>
      </c>
      <c r="P1143" s="32" t="s">
        <v>52</v>
      </c>
      <c r="Q1143" s="35">
        <v>15</v>
      </c>
      <c r="R1143" s="3" t="s">
        <v>52</v>
      </c>
      <c r="S1143" s="33" t="s">
        <v>63</v>
      </c>
      <c r="T1143" s="4" t="str">
        <f>IF(OR(Tabela1[[#This Row],[Grau de Risco]]="Médio",Tabela1[[#This Row],[Grau de Risco]]="Baixo"),"Não","Sim")</f>
        <v>Não</v>
      </c>
    </row>
    <row r="1144" spans="1:20" hidden="1">
      <c r="A1144" s="28" t="s">
        <v>7</v>
      </c>
      <c r="B1144" s="33" t="s">
        <v>1797</v>
      </c>
      <c r="C1144" s="28" t="s">
        <v>252</v>
      </c>
      <c r="D1144" s="38" t="s">
        <v>1393</v>
      </c>
      <c r="E1144" s="32">
        <v>22</v>
      </c>
      <c r="F1144" s="32">
        <v>7</v>
      </c>
      <c r="G1144" s="32">
        <v>2025</v>
      </c>
      <c r="H1144" s="36" t="s">
        <v>82</v>
      </c>
      <c r="I1144" s="29" t="s">
        <v>1363</v>
      </c>
      <c r="J1144" s="28" t="s">
        <v>229</v>
      </c>
      <c r="K1144" s="32"/>
      <c r="L1144" s="32"/>
      <c r="M1144" s="28"/>
      <c r="N1144" s="28"/>
      <c r="O1144" s="28" t="s">
        <v>88</v>
      </c>
      <c r="P1144" s="32"/>
      <c r="Q1144" s="35">
        <v>16</v>
      </c>
      <c r="R1144" s="32" t="s">
        <v>52</v>
      </c>
      <c r="S1144" s="5" t="s">
        <v>56</v>
      </c>
      <c r="T1144" s="4" t="str">
        <f>IF(OR(Tabela1[[#This Row],[Grau de Risco]]="Médio",Tabela1[[#This Row],[Grau de Risco]]="Baixo"),"Não","Sim")</f>
        <v>Não</v>
      </c>
    </row>
    <row r="1145" spans="1:20" hidden="1">
      <c r="A1145" s="28" t="s">
        <v>10</v>
      </c>
      <c r="B1145" s="33" t="s">
        <v>1805</v>
      </c>
      <c r="C1145" s="28" t="s">
        <v>26</v>
      </c>
      <c r="D1145" s="28" t="s">
        <v>47</v>
      </c>
      <c r="E1145" s="32">
        <v>8</v>
      </c>
      <c r="F1145" s="32">
        <v>8</v>
      </c>
      <c r="G1145" s="32">
        <v>2025</v>
      </c>
      <c r="H1145" s="34" t="s">
        <v>59</v>
      </c>
      <c r="I1145" s="29" t="s">
        <v>1387</v>
      </c>
      <c r="J1145" s="28" t="s">
        <v>61</v>
      </c>
      <c r="K1145" s="32"/>
      <c r="L1145" s="32"/>
      <c r="M1145" s="28"/>
      <c r="N1145" s="28"/>
      <c r="O1145" s="28" t="s">
        <v>101</v>
      </c>
      <c r="P1145" s="32" t="s">
        <v>31</v>
      </c>
      <c r="Q1145" s="35">
        <v>13</v>
      </c>
      <c r="R1145" s="32" t="s">
        <v>31</v>
      </c>
      <c r="S1145" s="33" t="s">
        <v>63</v>
      </c>
      <c r="T1145" s="4" t="str">
        <f>IF(OR(Tabela1[[#This Row],[Grau de Risco]]="Médio",Tabela1[[#This Row],[Grau de Risco]]="Baixo"),"Não","Sim")</f>
        <v>Não</v>
      </c>
    </row>
    <row r="1146" spans="1:20">
      <c r="A1146" s="28" t="s">
        <v>7</v>
      </c>
      <c r="B1146" s="10" t="s">
        <v>1809</v>
      </c>
      <c r="C1146" s="28" t="s">
        <v>26</v>
      </c>
      <c r="D1146" s="28" t="s">
        <v>1382</v>
      </c>
      <c r="E1146" s="32">
        <v>6</v>
      </c>
      <c r="F1146" s="32">
        <v>8</v>
      </c>
      <c r="G1146" s="32">
        <v>2025</v>
      </c>
      <c r="H1146" s="34" t="s">
        <v>33</v>
      </c>
      <c r="I1146" s="29" t="s">
        <v>1831</v>
      </c>
      <c r="J1146" s="28" t="s">
        <v>229</v>
      </c>
      <c r="K1146" s="32"/>
      <c r="L1146" s="32"/>
      <c r="M1146" s="28"/>
      <c r="N1146" s="28"/>
      <c r="O1146" s="28" t="s">
        <v>51</v>
      </c>
      <c r="P1146" s="32"/>
      <c r="Q1146" s="35">
        <v>10</v>
      </c>
      <c r="R1146" s="32" t="s">
        <v>31</v>
      </c>
      <c r="S1146" s="33" t="s">
        <v>4</v>
      </c>
      <c r="T1146" s="4" t="str">
        <f>IF(OR(Tabela1[[#This Row],[Grau de Risco]]="Médio",Tabela1[[#This Row],[Grau de Risco]]="Baixo"),"Não","Sim")</f>
        <v>Não</v>
      </c>
    </row>
    <row r="1147" spans="1:20" hidden="1">
      <c r="A1147" s="28" t="s">
        <v>1110</v>
      </c>
      <c r="B1147" s="10" t="s">
        <v>1797</v>
      </c>
      <c r="C1147" s="4"/>
      <c r="D1147" s="4" t="s">
        <v>1409</v>
      </c>
      <c r="E1147" s="3">
        <v>18</v>
      </c>
      <c r="F1147" s="3">
        <v>9</v>
      </c>
      <c r="G1147" s="3">
        <v>2025</v>
      </c>
      <c r="H1147" s="21" t="s">
        <v>48</v>
      </c>
      <c r="I1147" s="7" t="s">
        <v>1464</v>
      </c>
      <c r="J1147" s="4" t="s">
        <v>69</v>
      </c>
      <c r="K1147" s="3" t="s">
        <v>44</v>
      </c>
      <c r="L1147" s="3" t="s">
        <v>44</v>
      </c>
      <c r="M1147" s="4"/>
      <c r="N1147" s="4" t="s">
        <v>44</v>
      </c>
      <c r="O1147" s="4"/>
      <c r="P1147" s="3"/>
      <c r="Q1147" s="11">
        <v>8</v>
      </c>
      <c r="R1147" s="3" t="str">
        <f>IF(Q1147="","",IF(Q1147&lt;4,"Crítico",IF(Q1147&lt;9,"Alto",IF(Q1147&lt;14,"Médio","Baixo"))))</f>
        <v>Alto</v>
      </c>
      <c r="S1147" s="5" t="s">
        <v>40</v>
      </c>
      <c r="T1147" s="4" t="str">
        <f>IF(OR(Tabela1[[#This Row],[Grau de Risco]]="Médio",Tabela1[[#This Row],[Grau de Risco]]="Baixo"),"Não","Sim")</f>
        <v>Sim</v>
      </c>
    </row>
    <row r="1148" spans="1:20" hidden="1">
      <c r="A1148" s="4" t="s">
        <v>7</v>
      </c>
      <c r="B1148" s="10" t="s">
        <v>1797</v>
      </c>
      <c r="C1148" s="4" t="s">
        <v>81</v>
      </c>
      <c r="D1148" s="5" t="s">
        <v>1393</v>
      </c>
      <c r="E1148" s="3">
        <v>30</v>
      </c>
      <c r="F1148" s="3">
        <v>9</v>
      </c>
      <c r="G1148" s="3">
        <v>2025</v>
      </c>
      <c r="H1148" s="5" t="s">
        <v>82</v>
      </c>
      <c r="I1148" s="7" t="s">
        <v>1713</v>
      </c>
      <c r="J1148" s="4" t="s">
        <v>76</v>
      </c>
      <c r="K1148" s="3" t="s">
        <v>44</v>
      </c>
      <c r="L1148" s="3" t="s">
        <v>44</v>
      </c>
      <c r="M1148" s="4"/>
      <c r="N1148" s="4" t="s">
        <v>44</v>
      </c>
      <c r="O1148" s="4"/>
      <c r="P1148" s="3" t="s">
        <v>52</v>
      </c>
      <c r="Q1148" s="11">
        <v>14</v>
      </c>
      <c r="R1148" s="3" t="s">
        <v>52</v>
      </c>
      <c r="S1148" s="10" t="s">
        <v>56</v>
      </c>
      <c r="T1148" s="4" t="str">
        <f>IF(OR(Tabela1[[#This Row],[Grau de Risco]]="Médio",Tabela1[[#This Row],[Grau de Risco]]="Baixo"),"Não","Sim")</f>
        <v>Não</v>
      </c>
    </row>
    <row r="1149" spans="1:20" hidden="1">
      <c r="A1149" s="28" t="s">
        <v>7</v>
      </c>
      <c r="B1149" s="28" t="s">
        <v>1805</v>
      </c>
      <c r="C1149" s="32" t="s">
        <v>26</v>
      </c>
      <c r="D1149" s="75" t="s">
        <v>1409</v>
      </c>
      <c r="E1149" s="32">
        <v>6</v>
      </c>
      <c r="F1149" s="32">
        <v>11</v>
      </c>
      <c r="G1149" s="32">
        <v>2025</v>
      </c>
      <c r="H1149" s="32" t="s">
        <v>112</v>
      </c>
      <c r="I1149" s="76" t="s">
        <v>1550</v>
      </c>
      <c r="J1149" s="32" t="s">
        <v>115</v>
      </c>
      <c r="K1149" s="32"/>
      <c r="L1149" s="32"/>
      <c r="M1149" s="32"/>
      <c r="N1149" s="32"/>
      <c r="O1149" s="32" t="s">
        <v>101</v>
      </c>
      <c r="P1149" s="66"/>
      <c r="Q1149" s="32">
        <v>13</v>
      </c>
      <c r="R1149" s="32" t="s">
        <v>31</v>
      </c>
      <c r="S1149" s="28" t="s">
        <v>63</v>
      </c>
      <c r="T1149" s="4" t="str">
        <f>IF(OR(Tabela1[[#This Row],[Grau de Risco]]="Médio",Tabela1[[#This Row],[Grau de Risco]]="Baixo"),"Não","Sim")</f>
        <v>Não</v>
      </c>
    </row>
    <row r="1150" spans="1:20">
      <c r="A1150" s="4" t="s">
        <v>10</v>
      </c>
      <c r="B1150" s="10" t="s">
        <v>1809</v>
      </c>
      <c r="C1150" s="4" t="s">
        <v>26</v>
      </c>
      <c r="D1150" s="38" t="s">
        <v>1393</v>
      </c>
      <c r="E1150" s="3">
        <v>22</v>
      </c>
      <c r="F1150" s="3">
        <v>9</v>
      </c>
      <c r="G1150" s="3">
        <v>2020</v>
      </c>
      <c r="H1150" s="36" t="s">
        <v>82</v>
      </c>
      <c r="I1150" s="7" t="s">
        <v>92</v>
      </c>
      <c r="J1150" s="4" t="s">
        <v>93</v>
      </c>
      <c r="K1150" s="3" t="s">
        <v>62</v>
      </c>
      <c r="L1150" s="3">
        <v>0</v>
      </c>
      <c r="M1150" s="4" t="s">
        <v>30</v>
      </c>
      <c r="N1150" s="4">
        <v>0</v>
      </c>
      <c r="O1150" s="4" t="s">
        <v>4</v>
      </c>
      <c r="P1150" s="3" t="s">
        <v>52</v>
      </c>
      <c r="Q1150" s="11">
        <v>14</v>
      </c>
      <c r="R1150" s="3" t="s">
        <v>52</v>
      </c>
      <c r="S1150" s="5" t="s">
        <v>56</v>
      </c>
      <c r="T1150" s="4" t="str">
        <f>IF(OR(Tabela1[[#This Row],[Grau de Risco]]="Médio",Tabela1[[#This Row],[Grau de Risco]]="Baixo"),"Não","Sim")</f>
        <v>Não</v>
      </c>
    </row>
    <row r="1151" spans="1:20" hidden="1">
      <c r="A1151" s="4" t="s">
        <v>2</v>
      </c>
      <c r="B1151" s="10" t="s">
        <v>1793</v>
      </c>
      <c r="C1151" s="4" t="s">
        <v>46</v>
      </c>
      <c r="D1151" s="58" t="s">
        <v>1409</v>
      </c>
      <c r="E1151" s="3">
        <v>10</v>
      </c>
      <c r="F1151" s="3">
        <v>12</v>
      </c>
      <c r="G1151" s="3">
        <v>2020</v>
      </c>
      <c r="H1151" s="5" t="s">
        <v>123</v>
      </c>
      <c r="I1151" s="7" t="s">
        <v>124</v>
      </c>
      <c r="J1151" s="4" t="s">
        <v>111</v>
      </c>
      <c r="K1151" s="3">
        <v>15</v>
      </c>
      <c r="L1151" s="3">
        <v>0</v>
      </c>
      <c r="M1151" s="4" t="s">
        <v>30</v>
      </c>
      <c r="N1151" s="4"/>
      <c r="O1151" s="4" t="s">
        <v>55</v>
      </c>
      <c r="P1151" s="3" t="s">
        <v>52</v>
      </c>
      <c r="Q1151" s="11">
        <v>20</v>
      </c>
      <c r="R1151" s="3" t="str">
        <f>IF(Q1151="","",IF(Q1151&lt;4,"Crítico",IF(Q1151&lt;9,"Alto",IF(Q1151&lt;14,"Médio","Baixo"))))</f>
        <v>Baixo</v>
      </c>
      <c r="S1151" s="10" t="s">
        <v>63</v>
      </c>
      <c r="T1151" s="4" t="str">
        <f>IF(OR(Tabela1[[#This Row],[Grau de Risco]]="Médio",Tabela1[[#This Row],[Grau de Risco]]="Baixo"),"Não","Sim")</f>
        <v>Não</v>
      </c>
    </row>
    <row r="1152" spans="1:20">
      <c r="A1152" s="5" t="s">
        <v>2</v>
      </c>
      <c r="B1152" s="10" t="s">
        <v>1809</v>
      </c>
      <c r="C1152" s="5" t="s">
        <v>26</v>
      </c>
      <c r="D1152" s="38" t="s">
        <v>1393</v>
      </c>
      <c r="E1152" s="2">
        <v>16</v>
      </c>
      <c r="F1152" s="2">
        <v>3</v>
      </c>
      <c r="G1152" s="2">
        <v>2021</v>
      </c>
      <c r="H1152" s="36" t="s">
        <v>33</v>
      </c>
      <c r="I1152" s="5" t="s">
        <v>223</v>
      </c>
      <c r="J1152" s="5" t="s">
        <v>38</v>
      </c>
      <c r="K1152" s="2">
        <v>3</v>
      </c>
      <c r="L1152" s="2">
        <v>0</v>
      </c>
      <c r="M1152" s="5" t="s">
        <v>30</v>
      </c>
      <c r="N1152" s="5">
        <v>0</v>
      </c>
      <c r="O1152" s="5" t="s">
        <v>4</v>
      </c>
      <c r="P1152" s="2" t="s">
        <v>31</v>
      </c>
      <c r="Q1152" s="2">
        <v>13</v>
      </c>
      <c r="R1152" s="2" t="s">
        <v>31</v>
      </c>
      <c r="S1152" s="5" t="s">
        <v>56</v>
      </c>
      <c r="T1152" s="4" t="str">
        <f>IF(OR(Tabela1[[#This Row],[Grau de Risco]]="Médio",Tabela1[[#This Row],[Grau de Risco]]="Baixo"),"Não","Sim")</f>
        <v>Não</v>
      </c>
    </row>
    <row r="1153" spans="1:20" hidden="1">
      <c r="A1153" s="4" t="s">
        <v>10</v>
      </c>
      <c r="B1153" s="4" t="s">
        <v>1805</v>
      </c>
      <c r="C1153" s="5" t="s">
        <v>26</v>
      </c>
      <c r="D1153" s="38" t="s">
        <v>1320</v>
      </c>
      <c r="E1153" s="3">
        <v>8</v>
      </c>
      <c r="F1153" s="2">
        <v>5</v>
      </c>
      <c r="G1153" s="3">
        <v>2022</v>
      </c>
      <c r="H1153" s="4" t="s">
        <v>245</v>
      </c>
      <c r="I1153" s="7" t="s">
        <v>246</v>
      </c>
      <c r="J1153" s="4" t="s">
        <v>76</v>
      </c>
      <c r="K1153" s="3">
        <v>0</v>
      </c>
      <c r="L1153" s="3">
        <v>0</v>
      </c>
      <c r="M1153" s="5" t="s">
        <v>30</v>
      </c>
      <c r="N1153" s="4">
        <v>0</v>
      </c>
      <c r="O1153" s="4" t="s">
        <v>77</v>
      </c>
      <c r="P1153" s="3" t="s">
        <v>52</v>
      </c>
      <c r="Q1153" s="3">
        <v>21</v>
      </c>
      <c r="R1153" s="2" t="s">
        <v>52</v>
      </c>
      <c r="S1153" s="10" t="s">
        <v>32</v>
      </c>
      <c r="T1153" s="4" t="str">
        <f>IF(OR(Tabela1[[#This Row],[Grau de Risco]]="Médio",Tabela1[[#This Row],[Grau de Risco]]="Baixo"),"Não","Sim")</f>
        <v>Não</v>
      </c>
    </row>
    <row r="1154" spans="1:20" hidden="1">
      <c r="A1154" s="5" t="s">
        <v>2</v>
      </c>
      <c r="B1154" s="4" t="s">
        <v>1793</v>
      </c>
      <c r="C1154" s="5" t="s">
        <v>46</v>
      </c>
      <c r="D1154" s="38" t="s">
        <v>1393</v>
      </c>
      <c r="E1154" s="3">
        <v>26</v>
      </c>
      <c r="F1154" s="2">
        <v>4</v>
      </c>
      <c r="G1154" s="3">
        <v>2022</v>
      </c>
      <c r="H1154" s="36" t="s">
        <v>33</v>
      </c>
      <c r="I1154" s="7" t="s">
        <v>254</v>
      </c>
      <c r="J1154" s="4" t="s">
        <v>154</v>
      </c>
      <c r="K1154" s="3">
        <v>4</v>
      </c>
      <c r="L1154" s="3">
        <v>0</v>
      </c>
      <c r="M1154" s="5" t="s">
        <v>30</v>
      </c>
      <c r="N1154" s="4">
        <v>4</v>
      </c>
      <c r="O1154" s="4" t="s">
        <v>74</v>
      </c>
      <c r="P1154" s="3" t="s">
        <v>52</v>
      </c>
      <c r="Q1154" s="3">
        <v>20</v>
      </c>
      <c r="R1154" s="2" t="s">
        <v>52</v>
      </c>
      <c r="S1154" s="10" t="s">
        <v>32</v>
      </c>
      <c r="T1154" s="4" t="str">
        <f>IF(OR(Tabela1[[#This Row],[Grau de Risco]]="Médio",Tabela1[[#This Row],[Grau de Risco]]="Baixo"),"Não","Sim")</f>
        <v>Não</v>
      </c>
    </row>
    <row r="1155" spans="1:20">
      <c r="A1155" s="4" t="s">
        <v>2</v>
      </c>
      <c r="B1155" s="10" t="s">
        <v>1809</v>
      </c>
      <c r="C1155" s="4"/>
      <c r="D1155" s="38" t="s">
        <v>1320</v>
      </c>
      <c r="E1155" s="3">
        <v>11</v>
      </c>
      <c r="F1155" s="3">
        <v>7</v>
      </c>
      <c r="G1155" s="3">
        <v>2022</v>
      </c>
      <c r="H1155" s="4" t="s">
        <v>86</v>
      </c>
      <c r="I1155" s="7" t="s">
        <v>259</v>
      </c>
      <c r="J1155" s="4" t="s">
        <v>135</v>
      </c>
      <c r="K1155" s="3">
        <v>3</v>
      </c>
      <c r="L1155" s="3">
        <v>0</v>
      </c>
      <c r="M1155" s="4" t="s">
        <v>30</v>
      </c>
      <c r="N1155" s="4"/>
      <c r="O1155" s="4" t="s">
        <v>101</v>
      </c>
      <c r="P1155" s="3" t="s">
        <v>31</v>
      </c>
      <c r="Q1155" s="11">
        <v>9</v>
      </c>
      <c r="R1155" s="3" t="str">
        <f>IF(Q1155="","",IF(Q1155&lt;4,"Crítico",IF(Q1155&lt;9,"Alto",IF(Q1155&lt;14,"Médio","Baixo"))))</f>
        <v>Médio</v>
      </c>
      <c r="S1155" s="10" t="s">
        <v>63</v>
      </c>
      <c r="T1155" s="4" t="str">
        <f>IF(OR(Tabela1[[#This Row],[Grau de Risco]]="Médio",Tabela1[[#This Row],[Grau de Risco]]="Baixo"),"Não","Sim")</f>
        <v>Não</v>
      </c>
    </row>
    <row r="1156" spans="1:20">
      <c r="A1156" s="4" t="s">
        <v>8</v>
      </c>
      <c r="B1156" s="10" t="s">
        <v>1809</v>
      </c>
      <c r="C1156" s="4"/>
      <c r="D1156" s="38" t="s">
        <v>1320</v>
      </c>
      <c r="E1156" s="3">
        <v>8</v>
      </c>
      <c r="F1156" s="3">
        <v>8</v>
      </c>
      <c r="G1156" s="3">
        <v>2022</v>
      </c>
      <c r="H1156" s="5" t="s">
        <v>48</v>
      </c>
      <c r="I1156" s="7" t="s">
        <v>260</v>
      </c>
      <c r="J1156" s="4" t="s">
        <v>135</v>
      </c>
      <c r="K1156" s="3">
        <v>0</v>
      </c>
      <c r="L1156" s="3">
        <v>0</v>
      </c>
      <c r="M1156" s="4" t="s">
        <v>30</v>
      </c>
      <c r="N1156" s="4"/>
      <c r="O1156" s="4" t="s">
        <v>85</v>
      </c>
      <c r="P1156" s="3" t="s">
        <v>52</v>
      </c>
      <c r="Q1156" s="11">
        <v>6</v>
      </c>
      <c r="R1156" s="3" t="str">
        <f>IF(Q1156="","",IF(Q1156&lt;4,"Crítico",IF(Q1156&lt;9,"Alto",IF(Q1156&lt;14,"Médio","Baixo"))))</f>
        <v>Alto</v>
      </c>
      <c r="S1156" s="10" t="s">
        <v>63</v>
      </c>
      <c r="T1156" s="4" t="str">
        <f>IF(OR(Tabela1[[#This Row],[Grau de Risco]]="Médio",Tabela1[[#This Row],[Grau de Risco]]="Baixo"),"Não","Sim")</f>
        <v>Sim</v>
      </c>
    </row>
    <row r="1157" spans="1:20">
      <c r="A1157" s="5" t="s">
        <v>10</v>
      </c>
      <c r="B1157" s="10" t="s">
        <v>1809</v>
      </c>
      <c r="C1157" s="5" t="s">
        <v>26</v>
      </c>
      <c r="D1157" s="58" t="s">
        <v>1409</v>
      </c>
      <c r="E1157" s="2">
        <v>3</v>
      </c>
      <c r="F1157" s="2">
        <v>11</v>
      </c>
      <c r="G1157" s="2">
        <v>2022</v>
      </c>
      <c r="H1157" s="4" t="s">
        <v>27</v>
      </c>
      <c r="I1157" s="5" t="s">
        <v>263</v>
      </c>
      <c r="J1157" s="5" t="s">
        <v>169</v>
      </c>
      <c r="K1157" s="2">
        <v>0</v>
      </c>
      <c r="L1157" s="2">
        <v>0</v>
      </c>
      <c r="M1157" s="5" t="s">
        <v>30</v>
      </c>
      <c r="N1157" s="5">
        <v>0</v>
      </c>
      <c r="O1157" s="5" t="s">
        <v>101</v>
      </c>
      <c r="P1157" s="2" t="s">
        <v>31</v>
      </c>
      <c r="Q1157" s="2">
        <v>13</v>
      </c>
      <c r="R1157" s="2" t="s">
        <v>31</v>
      </c>
      <c r="S1157" s="5" t="s">
        <v>63</v>
      </c>
      <c r="T1157" s="4" t="str">
        <f>IF(OR(Tabela1[[#This Row],[Grau de Risco]]="Médio",Tabela1[[#This Row],[Grau de Risco]]="Baixo"),"Não","Sim")</f>
        <v>Não</v>
      </c>
    </row>
    <row r="1158" spans="1:20">
      <c r="A1158" s="5" t="s">
        <v>2</v>
      </c>
      <c r="B1158" s="10" t="s">
        <v>1809</v>
      </c>
      <c r="C1158" s="5" t="s">
        <v>26</v>
      </c>
      <c r="D1158" s="38" t="s">
        <v>1320</v>
      </c>
      <c r="E1158" s="2">
        <v>21</v>
      </c>
      <c r="F1158" s="2">
        <v>2</v>
      </c>
      <c r="G1158" s="2">
        <v>2022</v>
      </c>
      <c r="H1158" s="36" t="s">
        <v>33</v>
      </c>
      <c r="I1158" s="5" t="s">
        <v>282</v>
      </c>
      <c r="J1158" s="5" t="s">
        <v>38</v>
      </c>
      <c r="K1158" s="2">
        <v>68</v>
      </c>
      <c r="L1158" s="2">
        <v>0</v>
      </c>
      <c r="M1158" s="5" t="s">
        <v>30</v>
      </c>
      <c r="N1158" s="5">
        <v>0</v>
      </c>
      <c r="O1158" s="5" t="s">
        <v>74</v>
      </c>
      <c r="P1158" s="2" t="s">
        <v>31</v>
      </c>
      <c r="Q1158" s="2">
        <v>13</v>
      </c>
      <c r="R1158" s="2" t="s">
        <v>31</v>
      </c>
      <c r="S1158" s="5" t="s">
        <v>56</v>
      </c>
      <c r="T1158" s="4" t="str">
        <f>IF(OR(Tabela1[[#This Row],[Grau de Risco]]="Médio",Tabela1[[#This Row],[Grau de Risco]]="Baixo"),"Não","Sim")</f>
        <v>Não</v>
      </c>
    </row>
    <row r="1159" spans="1:20">
      <c r="A1159" s="5" t="s">
        <v>9</v>
      </c>
      <c r="B1159" s="10" t="s">
        <v>1809</v>
      </c>
      <c r="C1159" s="5" t="s">
        <v>26</v>
      </c>
      <c r="D1159" s="38" t="s">
        <v>1320</v>
      </c>
      <c r="E1159" s="2">
        <v>12</v>
      </c>
      <c r="F1159" s="2">
        <v>3</v>
      </c>
      <c r="G1159" s="2">
        <v>2022</v>
      </c>
      <c r="H1159" s="36" t="s">
        <v>107</v>
      </c>
      <c r="I1159" s="5" t="s">
        <v>300</v>
      </c>
      <c r="J1159" s="5" t="s">
        <v>38</v>
      </c>
      <c r="K1159" s="2">
        <v>4</v>
      </c>
      <c r="L1159" s="2">
        <v>4</v>
      </c>
      <c r="M1159" s="5" t="s">
        <v>30</v>
      </c>
      <c r="N1159" s="5">
        <v>0</v>
      </c>
      <c r="O1159" s="5" t="s">
        <v>301</v>
      </c>
      <c r="P1159" s="2" t="s">
        <v>31</v>
      </c>
      <c r="Q1159" s="2">
        <v>4</v>
      </c>
      <c r="R1159" s="2" t="s">
        <v>102</v>
      </c>
      <c r="S1159" s="5" t="s">
        <v>63</v>
      </c>
      <c r="T1159" s="4" t="str">
        <f>IF(OR(Tabela1[[#This Row],[Grau de Risco]]="Médio",Tabela1[[#This Row],[Grau de Risco]]="Baixo"),"Não","Sim")</f>
        <v>Sim</v>
      </c>
    </row>
    <row r="1160" spans="1:20" hidden="1">
      <c r="A1160" s="4" t="s">
        <v>2</v>
      </c>
      <c r="B1160" s="10" t="s">
        <v>1805</v>
      </c>
      <c r="C1160" s="4"/>
      <c r="D1160" s="38" t="s">
        <v>1393</v>
      </c>
      <c r="E1160" s="3">
        <v>29</v>
      </c>
      <c r="F1160" s="3">
        <v>11</v>
      </c>
      <c r="G1160" s="3">
        <v>2022</v>
      </c>
      <c r="H1160" s="4" t="s">
        <v>86</v>
      </c>
      <c r="I1160" s="7" t="s">
        <v>383</v>
      </c>
      <c r="J1160" s="4" t="s">
        <v>61</v>
      </c>
      <c r="K1160" s="3">
        <v>3</v>
      </c>
      <c r="L1160" s="3">
        <v>0</v>
      </c>
      <c r="M1160" s="4" t="s">
        <v>30</v>
      </c>
      <c r="N1160" s="4"/>
      <c r="O1160" s="4" t="s">
        <v>51</v>
      </c>
      <c r="P1160" s="3" t="s">
        <v>52</v>
      </c>
      <c r="Q1160" s="11">
        <v>20</v>
      </c>
      <c r="R1160" s="3" t="str">
        <f>IF(Q1160="","",IF(Q1160&lt;4,"Crítico",IF(Q1160&lt;9,"Alto",IF(Q1160&lt;14,"Médio","Baixo"))))</f>
        <v>Baixo</v>
      </c>
      <c r="S1160" s="10" t="s">
        <v>63</v>
      </c>
      <c r="T1160" s="4" t="str">
        <f>IF(OR(Tabela1[[#This Row],[Grau de Risco]]="Médio",Tabela1[[#This Row],[Grau de Risco]]="Baixo"),"Não","Sim")</f>
        <v>Não</v>
      </c>
    </row>
    <row r="1161" spans="1:20">
      <c r="A1161" s="4" t="s">
        <v>8</v>
      </c>
      <c r="B1161" s="10" t="s">
        <v>1809</v>
      </c>
      <c r="C1161" s="5" t="s">
        <v>26</v>
      </c>
      <c r="D1161" s="38" t="s">
        <v>1320</v>
      </c>
      <c r="E1161" s="3">
        <v>27</v>
      </c>
      <c r="F1161" s="2">
        <v>2</v>
      </c>
      <c r="G1161" s="3">
        <v>2023</v>
      </c>
      <c r="H1161" s="36" t="s">
        <v>112</v>
      </c>
      <c r="I1161" s="7" t="s">
        <v>410</v>
      </c>
      <c r="J1161" s="4" t="s">
        <v>29</v>
      </c>
      <c r="K1161" s="3">
        <v>0</v>
      </c>
      <c r="L1161" s="3">
        <v>0</v>
      </c>
      <c r="M1161" s="5" t="s">
        <v>30</v>
      </c>
      <c r="N1161" s="4">
        <v>0</v>
      </c>
      <c r="O1161" s="4" t="s">
        <v>39</v>
      </c>
      <c r="P1161" s="3" t="s">
        <v>52</v>
      </c>
      <c r="Q1161" s="3">
        <v>15</v>
      </c>
      <c r="R1161" s="3" t="s">
        <v>52</v>
      </c>
      <c r="S1161" s="10" t="s">
        <v>32</v>
      </c>
      <c r="T1161" s="4" t="str">
        <f>IF(OR(Tabela1[[#This Row],[Grau de Risco]]="Médio",Tabela1[[#This Row],[Grau de Risco]]="Baixo"),"Não","Sim")</f>
        <v>Não</v>
      </c>
    </row>
    <row r="1162" spans="1:20" hidden="1">
      <c r="A1162" s="4" t="s">
        <v>7</v>
      </c>
      <c r="B1162" s="10" t="s">
        <v>1805</v>
      </c>
      <c r="C1162" s="4" t="s">
        <v>133</v>
      </c>
      <c r="D1162" s="38" t="s">
        <v>1393</v>
      </c>
      <c r="E1162" s="3">
        <v>6</v>
      </c>
      <c r="F1162" s="3">
        <v>6</v>
      </c>
      <c r="G1162" s="3">
        <v>2023</v>
      </c>
      <c r="H1162" s="21" t="s">
        <v>209</v>
      </c>
      <c r="I1162" s="7" t="s">
        <v>544</v>
      </c>
      <c r="J1162" s="4" t="s">
        <v>192</v>
      </c>
      <c r="K1162" s="3" t="s">
        <v>62</v>
      </c>
      <c r="L1162" s="3" t="s">
        <v>44</v>
      </c>
      <c r="M1162" s="4" t="s">
        <v>30</v>
      </c>
      <c r="N1162" s="4"/>
      <c r="O1162" s="4" t="s">
        <v>45</v>
      </c>
      <c r="P1162" s="3" t="s">
        <v>52</v>
      </c>
      <c r="Q1162" s="11">
        <v>11</v>
      </c>
      <c r="R1162" s="3" t="str">
        <f>IF(Q1162="","",IF(Q1162&lt;4,"Crítico",IF(Q1162&lt;9,"Alto",IF(Q1162&lt;14,"Médio","Baixo"))))</f>
        <v>Médio</v>
      </c>
      <c r="S1162" s="5" t="s">
        <v>56</v>
      </c>
      <c r="T1162" s="4" t="str">
        <f>IF(OR(Tabela1[[#This Row],[Grau de Risco]]="Médio",Tabela1[[#This Row],[Grau de Risco]]="Baixo"),"Não","Sim")</f>
        <v>Não</v>
      </c>
    </row>
    <row r="1163" spans="1:20" hidden="1">
      <c r="A1163" s="4" t="s">
        <v>9</v>
      </c>
      <c r="B1163" s="10" t="s">
        <v>1805</v>
      </c>
      <c r="C1163" s="4" t="s">
        <v>26</v>
      </c>
      <c r="D1163" s="5" t="s">
        <v>148</v>
      </c>
      <c r="E1163" s="3">
        <v>18</v>
      </c>
      <c r="F1163" s="3">
        <v>6</v>
      </c>
      <c r="G1163" s="3">
        <v>2023</v>
      </c>
      <c r="H1163" s="36" t="s">
        <v>112</v>
      </c>
      <c r="I1163" s="7" t="s">
        <v>554</v>
      </c>
      <c r="J1163" s="4" t="s">
        <v>79</v>
      </c>
      <c r="K1163" s="3">
        <v>4</v>
      </c>
      <c r="L1163" s="3">
        <v>0</v>
      </c>
      <c r="M1163" s="4" t="s">
        <v>30</v>
      </c>
      <c r="N1163" s="4">
        <v>0</v>
      </c>
      <c r="O1163" s="4" t="s">
        <v>77</v>
      </c>
      <c r="P1163" s="3" t="s">
        <v>31</v>
      </c>
      <c r="Q1163" s="11">
        <v>14</v>
      </c>
      <c r="R1163" s="3" t="s">
        <v>52</v>
      </c>
      <c r="S1163" s="10" t="s">
        <v>63</v>
      </c>
      <c r="T1163" s="4" t="str">
        <f>IF(OR(Tabela1[[#This Row],[Grau de Risco]]="Médio",Tabela1[[#This Row],[Grau de Risco]]="Baixo"),"Não","Sim")</f>
        <v>Não</v>
      </c>
    </row>
    <row r="1164" spans="1:20">
      <c r="A1164" s="4" t="s">
        <v>9</v>
      </c>
      <c r="B1164" s="10" t="s">
        <v>1809</v>
      </c>
      <c r="C1164" s="4" t="s">
        <v>41</v>
      </c>
      <c r="D1164" s="58" t="s">
        <v>1409</v>
      </c>
      <c r="E1164" s="3">
        <v>14</v>
      </c>
      <c r="F1164" s="3">
        <v>9</v>
      </c>
      <c r="G1164" s="3">
        <v>2023</v>
      </c>
      <c r="H1164" s="59" t="s">
        <v>516</v>
      </c>
      <c r="I1164" s="7" t="s">
        <v>592</v>
      </c>
      <c r="J1164" s="4" t="s">
        <v>111</v>
      </c>
      <c r="K1164" s="3">
        <v>7</v>
      </c>
      <c r="L1164" s="3">
        <v>0</v>
      </c>
      <c r="M1164" s="4" t="s">
        <v>30</v>
      </c>
      <c r="N1164" s="4">
        <v>0</v>
      </c>
      <c r="O1164" s="4" t="s">
        <v>301</v>
      </c>
      <c r="P1164" s="3" t="s">
        <v>102</v>
      </c>
      <c r="Q1164" s="11">
        <v>2</v>
      </c>
      <c r="R1164" s="3" t="str">
        <f>IF(Q1164="","",IF(Q1164&lt;4,"Crítico",IF(Q1164&lt;9,"Alto",IF(Q1164&lt;14,"Médio","Baixo"))))</f>
        <v>Crítico</v>
      </c>
      <c r="S1164" s="10" t="s">
        <v>63</v>
      </c>
      <c r="T1164" s="4" t="str">
        <f>IF(OR(Tabela1[[#This Row],[Grau de Risco]]="Médio",Tabela1[[#This Row],[Grau de Risco]]="Baixo"),"Não","Sim")</f>
        <v>Sim</v>
      </c>
    </row>
    <row r="1165" spans="1:20" hidden="1">
      <c r="A1165" s="4" t="s">
        <v>2</v>
      </c>
      <c r="B1165" s="10" t="s">
        <v>1805</v>
      </c>
      <c r="C1165" s="4" t="s">
        <v>252</v>
      </c>
      <c r="D1165" s="38" t="s">
        <v>1382</v>
      </c>
      <c r="E1165" s="3">
        <v>12</v>
      </c>
      <c r="F1165" s="3">
        <v>4</v>
      </c>
      <c r="G1165" s="3">
        <v>2023</v>
      </c>
      <c r="H1165" s="4" t="s">
        <v>86</v>
      </c>
      <c r="I1165" s="7" t="s">
        <v>610</v>
      </c>
      <c r="J1165" s="4" t="s">
        <v>54</v>
      </c>
      <c r="K1165" s="3">
        <v>10</v>
      </c>
      <c r="L1165" s="3">
        <v>0</v>
      </c>
      <c r="M1165" s="4"/>
      <c r="N1165" s="4">
        <v>10</v>
      </c>
      <c r="O1165" s="4" t="s">
        <v>301</v>
      </c>
      <c r="P1165" s="3" t="s">
        <v>31</v>
      </c>
      <c r="Q1165" s="11">
        <v>11</v>
      </c>
      <c r="R1165" s="2" t="s">
        <v>31</v>
      </c>
      <c r="S1165" s="10" t="s">
        <v>63</v>
      </c>
      <c r="T1165" s="4" t="str">
        <f>IF(OR(Tabela1[[#This Row],[Grau de Risco]]="Médio",Tabela1[[#This Row],[Grau de Risco]]="Baixo"),"Não","Sim")</f>
        <v>Não</v>
      </c>
    </row>
    <row r="1166" spans="1:20">
      <c r="A1166" s="5" t="s">
        <v>7</v>
      </c>
      <c r="B1166" s="10" t="s">
        <v>1809</v>
      </c>
      <c r="C1166" s="4" t="s">
        <v>125</v>
      </c>
      <c r="D1166" s="5" t="s">
        <v>36</v>
      </c>
      <c r="E1166" s="3">
        <v>14</v>
      </c>
      <c r="F1166" s="3">
        <v>10</v>
      </c>
      <c r="G1166" s="3">
        <v>2023</v>
      </c>
      <c r="H1166" s="36" t="s">
        <v>33</v>
      </c>
      <c r="I1166" s="7" t="s">
        <v>1714</v>
      </c>
      <c r="J1166" s="4" t="s">
        <v>76</v>
      </c>
      <c r="K1166" s="3" t="s">
        <v>44</v>
      </c>
      <c r="L1166" s="3" t="s">
        <v>44</v>
      </c>
      <c r="M1166" s="4" t="s">
        <v>30</v>
      </c>
      <c r="N1166" s="4" t="s">
        <v>44</v>
      </c>
      <c r="O1166" s="4"/>
      <c r="P1166" s="3"/>
      <c r="Q1166" s="3">
        <v>6</v>
      </c>
      <c r="R1166" s="11" t="s">
        <v>102</v>
      </c>
      <c r="S1166" s="10" t="s">
        <v>63</v>
      </c>
      <c r="T1166" s="4" t="str">
        <f>IF(OR(Tabela1[[#This Row],[Grau de Risco]]="Médio",Tabela1[[#This Row],[Grau de Risco]]="Baixo"),"Não","Sim")</f>
        <v>Sim</v>
      </c>
    </row>
    <row r="1167" spans="1:20" hidden="1">
      <c r="A1167" s="4" t="s">
        <v>2</v>
      </c>
      <c r="B1167" s="10" t="s">
        <v>1797</v>
      </c>
      <c r="C1167" s="4" t="s">
        <v>41</v>
      </c>
      <c r="D1167" s="38" t="s">
        <v>47</v>
      </c>
      <c r="E1167" s="3">
        <v>22</v>
      </c>
      <c r="F1167" s="3">
        <v>3</v>
      </c>
      <c r="G1167" s="3">
        <v>2024</v>
      </c>
      <c r="H1167" s="36" t="s">
        <v>107</v>
      </c>
      <c r="I1167" s="7" t="s">
        <v>708</v>
      </c>
      <c r="J1167" s="4" t="s">
        <v>79</v>
      </c>
      <c r="K1167" s="3">
        <v>13</v>
      </c>
      <c r="L1167" s="3">
        <v>0</v>
      </c>
      <c r="M1167" s="4" t="s">
        <v>30</v>
      </c>
      <c r="N1167" s="4">
        <v>0</v>
      </c>
      <c r="O1167" s="4" t="s">
        <v>77</v>
      </c>
      <c r="P1167" s="3" t="s">
        <v>31</v>
      </c>
      <c r="Q1167" s="11">
        <v>4</v>
      </c>
      <c r="R1167" s="3" t="s">
        <v>102</v>
      </c>
      <c r="S1167" s="10" t="s">
        <v>63</v>
      </c>
      <c r="T1167" s="4" t="str">
        <f>IF(OR(Tabela1[[#This Row],[Grau de Risco]]="Médio",Tabela1[[#This Row],[Grau de Risco]]="Baixo"),"Não","Sim")</f>
        <v>Sim</v>
      </c>
    </row>
    <row r="1168" spans="1:20" hidden="1">
      <c r="A1168" s="4" t="s">
        <v>9</v>
      </c>
      <c r="B1168" s="10" t="s">
        <v>1797</v>
      </c>
      <c r="C1168" s="4" t="s">
        <v>252</v>
      </c>
      <c r="D1168" s="38" t="s">
        <v>1382</v>
      </c>
      <c r="E1168" s="3">
        <v>23</v>
      </c>
      <c r="F1168" s="3">
        <v>10</v>
      </c>
      <c r="G1168" s="3">
        <v>2024</v>
      </c>
      <c r="H1168" s="36" t="s">
        <v>112</v>
      </c>
      <c r="I1168" s="7" t="s">
        <v>714</v>
      </c>
      <c r="J1168" s="4" t="s">
        <v>29</v>
      </c>
      <c r="K1168" s="3">
        <v>2</v>
      </c>
      <c r="L1168" s="3">
        <v>0</v>
      </c>
      <c r="M1168" s="4" t="s">
        <v>30</v>
      </c>
      <c r="N1168" s="4"/>
      <c r="O1168" s="4" t="s">
        <v>715</v>
      </c>
      <c r="P1168" s="3" t="s">
        <v>31</v>
      </c>
      <c r="Q1168" s="11">
        <v>4</v>
      </c>
      <c r="R1168" s="3" t="s">
        <v>102</v>
      </c>
      <c r="S1168" s="10" t="s">
        <v>63</v>
      </c>
      <c r="T1168" s="4" t="str">
        <f>IF(OR(Tabela1[[#This Row],[Grau de Risco]]="Médio",Tabela1[[#This Row],[Grau de Risco]]="Baixo"),"Não","Sim")</f>
        <v>Sim</v>
      </c>
    </row>
    <row r="1169" spans="1:20">
      <c r="A1169" s="5" t="s">
        <v>7</v>
      </c>
      <c r="B1169" s="10" t="s">
        <v>1809</v>
      </c>
      <c r="C1169" s="4" t="s">
        <v>26</v>
      </c>
      <c r="D1169" s="5" t="s">
        <v>148</v>
      </c>
      <c r="E1169" s="3">
        <v>21</v>
      </c>
      <c r="F1169" s="3">
        <v>1</v>
      </c>
      <c r="G1169" s="3">
        <v>2024</v>
      </c>
      <c r="H1169" s="36" t="s">
        <v>107</v>
      </c>
      <c r="I1169" s="7" t="s">
        <v>765</v>
      </c>
      <c r="J1169" s="4" t="s">
        <v>54</v>
      </c>
      <c r="K1169" s="3" t="s">
        <v>44</v>
      </c>
      <c r="L1169" s="3" t="s">
        <v>30</v>
      </c>
      <c r="M1169" s="4" t="s">
        <v>30</v>
      </c>
      <c r="N1169" s="4" t="s">
        <v>44</v>
      </c>
      <c r="O1169" s="4" t="s">
        <v>45</v>
      </c>
      <c r="P1169" s="3"/>
      <c r="Q1169" s="11">
        <v>4</v>
      </c>
      <c r="R1169" s="3" t="s">
        <v>102</v>
      </c>
      <c r="S1169" s="5" t="s">
        <v>56</v>
      </c>
      <c r="T1169" s="4" t="str">
        <f>IF(OR(Tabela1[[#This Row],[Grau de Risco]]="Médio",Tabela1[[#This Row],[Grau de Risco]]="Baixo"),"Não","Sim")</f>
        <v>Sim</v>
      </c>
    </row>
    <row r="1170" spans="1:20">
      <c r="A1170" s="4" t="s">
        <v>7</v>
      </c>
      <c r="B1170" s="10" t="s">
        <v>1809</v>
      </c>
      <c r="C1170" s="4" t="s">
        <v>26</v>
      </c>
      <c r="D1170" s="38" t="s">
        <v>1320</v>
      </c>
      <c r="E1170" s="3">
        <v>7</v>
      </c>
      <c r="F1170" s="3">
        <v>10</v>
      </c>
      <c r="G1170" s="3">
        <v>2024</v>
      </c>
      <c r="H1170" s="4" t="s">
        <v>27</v>
      </c>
      <c r="I1170" s="7" t="s">
        <v>787</v>
      </c>
      <c r="J1170" s="4" t="s">
        <v>229</v>
      </c>
      <c r="K1170" s="3"/>
      <c r="L1170" s="3"/>
      <c r="M1170" s="4"/>
      <c r="N1170" s="4"/>
      <c r="O1170" s="4" t="s">
        <v>77</v>
      </c>
      <c r="P1170" s="3"/>
      <c r="Q1170" s="11">
        <v>13</v>
      </c>
      <c r="R1170" s="3" t="s">
        <v>31</v>
      </c>
      <c r="S1170" s="10" t="s">
        <v>63</v>
      </c>
      <c r="T1170" s="4" t="str">
        <f>IF(OR(Tabela1[[#This Row],[Grau de Risco]]="Médio",Tabela1[[#This Row],[Grau de Risco]]="Baixo"),"Não","Sim")</f>
        <v>Não</v>
      </c>
    </row>
    <row r="1171" spans="1:20" hidden="1">
      <c r="A1171" s="4" t="s">
        <v>2</v>
      </c>
      <c r="B1171" s="10" t="s">
        <v>1793</v>
      </c>
      <c r="C1171" s="4" t="s">
        <v>81</v>
      </c>
      <c r="D1171" s="38" t="s">
        <v>1382</v>
      </c>
      <c r="E1171" s="3">
        <v>24</v>
      </c>
      <c r="F1171" s="3">
        <v>1</v>
      </c>
      <c r="G1171" s="3">
        <v>2024</v>
      </c>
      <c r="H1171" s="4" t="s">
        <v>27</v>
      </c>
      <c r="I1171" s="7" t="s">
        <v>833</v>
      </c>
      <c r="J1171" s="4" t="s">
        <v>29</v>
      </c>
      <c r="K1171" s="3">
        <v>3</v>
      </c>
      <c r="L1171" s="3">
        <v>0</v>
      </c>
      <c r="M1171" s="4" t="s">
        <v>30</v>
      </c>
      <c r="N1171" s="4"/>
      <c r="O1171" s="4" t="s">
        <v>55</v>
      </c>
      <c r="P1171" s="3" t="s">
        <v>52</v>
      </c>
      <c r="Q1171" s="11">
        <v>14</v>
      </c>
      <c r="R1171" s="3" t="s">
        <v>52</v>
      </c>
      <c r="S1171" s="5" t="s">
        <v>56</v>
      </c>
      <c r="T1171" s="4" t="str">
        <f>IF(OR(Tabela1[[#This Row],[Grau de Risco]]="Médio",Tabela1[[#This Row],[Grau de Risco]]="Baixo"),"Não","Sim")</f>
        <v>Não</v>
      </c>
    </row>
    <row r="1172" spans="1:20">
      <c r="A1172" s="4" t="s">
        <v>2</v>
      </c>
      <c r="B1172" s="10" t="s">
        <v>1809</v>
      </c>
      <c r="C1172" s="4" t="s">
        <v>133</v>
      </c>
      <c r="D1172" s="5" t="s">
        <v>148</v>
      </c>
      <c r="E1172" s="3">
        <v>28</v>
      </c>
      <c r="F1172" s="3">
        <v>1</v>
      </c>
      <c r="G1172" s="3">
        <v>2024</v>
      </c>
      <c r="H1172" s="5" t="s">
        <v>71</v>
      </c>
      <c r="I1172" s="7" t="s">
        <v>845</v>
      </c>
      <c r="J1172" s="4" t="s">
        <v>35</v>
      </c>
      <c r="K1172" s="3">
        <v>5</v>
      </c>
      <c r="L1172" s="3">
        <v>0</v>
      </c>
      <c r="M1172" s="4" t="s">
        <v>30</v>
      </c>
      <c r="N1172" s="4"/>
      <c r="O1172" s="4" t="s">
        <v>4</v>
      </c>
      <c r="P1172" s="3" t="s">
        <v>52</v>
      </c>
      <c r="Q1172" s="11">
        <v>14</v>
      </c>
      <c r="R1172" s="3" t="s">
        <v>52</v>
      </c>
      <c r="S1172" s="10" t="s">
        <v>141</v>
      </c>
      <c r="T1172" s="4" t="str">
        <f>IF(OR(Tabela1[[#This Row],[Grau de Risco]]="Médio",Tabela1[[#This Row],[Grau de Risco]]="Baixo"),"Não","Sim")</f>
        <v>Não</v>
      </c>
    </row>
    <row r="1173" spans="1:20" hidden="1">
      <c r="A1173" s="4" t="s">
        <v>10</v>
      </c>
      <c r="B1173" s="10" t="s">
        <v>1793</v>
      </c>
      <c r="C1173" s="4" t="s">
        <v>46</v>
      </c>
      <c r="D1173" s="38" t="s">
        <v>1320</v>
      </c>
      <c r="E1173" s="3">
        <v>27</v>
      </c>
      <c r="F1173" s="3">
        <v>5</v>
      </c>
      <c r="G1173" s="3">
        <v>2024</v>
      </c>
      <c r="H1173" s="36" t="s">
        <v>66</v>
      </c>
      <c r="I1173" s="7" t="s">
        <v>950</v>
      </c>
      <c r="J1173" s="4" t="s">
        <v>35</v>
      </c>
      <c r="K1173" s="3" t="s">
        <v>44</v>
      </c>
      <c r="L1173" s="3" t="s">
        <v>44</v>
      </c>
      <c r="M1173" s="4" t="s">
        <v>30</v>
      </c>
      <c r="N1173" s="4" t="s">
        <v>44</v>
      </c>
      <c r="O1173" s="4" t="s">
        <v>55</v>
      </c>
      <c r="P1173" s="3" t="s">
        <v>52</v>
      </c>
      <c r="Q1173" s="11">
        <v>14</v>
      </c>
      <c r="R1173" s="3" t="s">
        <v>52</v>
      </c>
      <c r="S1173" s="5" t="s">
        <v>56</v>
      </c>
      <c r="T1173" s="4" t="str">
        <f>IF(OR(Tabela1[[#This Row],[Grau de Risco]]="Médio",Tabela1[[#This Row],[Grau de Risco]]="Baixo"),"Não","Sim")</f>
        <v>Não</v>
      </c>
    </row>
    <row r="1174" spans="1:20" hidden="1">
      <c r="A1174" s="4" t="s">
        <v>2</v>
      </c>
      <c r="B1174" s="10" t="s">
        <v>1797</v>
      </c>
      <c r="C1174" s="4" t="s">
        <v>252</v>
      </c>
      <c r="D1174" s="38" t="s">
        <v>1320</v>
      </c>
      <c r="E1174" s="3">
        <v>11</v>
      </c>
      <c r="F1174" s="3">
        <v>3</v>
      </c>
      <c r="G1174" s="3">
        <v>2024</v>
      </c>
      <c r="H1174" s="36" t="s">
        <v>375</v>
      </c>
      <c r="I1174" s="7" t="s">
        <v>960</v>
      </c>
      <c r="J1174" s="4" t="s">
        <v>50</v>
      </c>
      <c r="K1174" s="3">
        <v>4</v>
      </c>
      <c r="L1174" s="3">
        <v>0</v>
      </c>
      <c r="M1174" s="4" t="s">
        <v>30</v>
      </c>
      <c r="N1174" s="4">
        <v>0</v>
      </c>
      <c r="O1174" s="4" t="s">
        <v>129</v>
      </c>
      <c r="P1174" s="3" t="s">
        <v>31</v>
      </c>
      <c r="Q1174" s="11">
        <v>11</v>
      </c>
      <c r="R1174" s="3" t="s">
        <v>31</v>
      </c>
      <c r="S1174" s="5" t="s">
        <v>56</v>
      </c>
      <c r="T1174" s="4" t="str">
        <f>IF(OR(Tabela1[[#This Row],[Grau de Risco]]="Médio",Tabela1[[#This Row],[Grau de Risco]]="Baixo"),"Não","Sim")</f>
        <v>Não</v>
      </c>
    </row>
    <row r="1175" spans="1:20">
      <c r="A1175" s="4" t="s">
        <v>7</v>
      </c>
      <c r="B1175" s="10" t="s">
        <v>1809</v>
      </c>
      <c r="C1175" s="4" t="s">
        <v>46</v>
      </c>
      <c r="D1175" s="5" t="s">
        <v>148</v>
      </c>
      <c r="E1175" s="3">
        <v>25</v>
      </c>
      <c r="F1175" s="3">
        <v>8</v>
      </c>
      <c r="G1175" s="3">
        <v>2024</v>
      </c>
      <c r="H1175" s="36" t="s">
        <v>82</v>
      </c>
      <c r="I1175" s="7" t="s">
        <v>1715</v>
      </c>
      <c r="J1175" s="4" t="s">
        <v>50</v>
      </c>
      <c r="K1175" s="3">
        <v>0</v>
      </c>
      <c r="L1175" s="3"/>
      <c r="M1175" s="4"/>
      <c r="N1175" s="4"/>
      <c r="O1175" s="4"/>
      <c r="P1175" s="3" t="s">
        <v>52</v>
      </c>
      <c r="Q1175" s="11">
        <v>13</v>
      </c>
      <c r="R1175" s="3" t="s">
        <v>31</v>
      </c>
      <c r="S1175" s="5" t="s">
        <v>56</v>
      </c>
      <c r="T1175" s="4" t="str">
        <f>IF(OR(Tabela1[[#This Row],[Grau de Risco]]="Médio",Tabela1[[#This Row],[Grau de Risco]]="Baixo"),"Não","Sim")</f>
        <v>Não</v>
      </c>
    </row>
    <row r="1176" spans="1:20">
      <c r="A1176" s="5" t="s">
        <v>7</v>
      </c>
      <c r="B1176" s="10" t="s">
        <v>1809</v>
      </c>
      <c r="C1176" s="28" t="s">
        <v>26</v>
      </c>
      <c r="D1176" s="58" t="s">
        <v>1409</v>
      </c>
      <c r="E1176" s="55">
        <v>28</v>
      </c>
      <c r="F1176" s="55">
        <v>11</v>
      </c>
      <c r="G1176" s="55">
        <v>2024</v>
      </c>
      <c r="H1176" s="5" t="s">
        <v>71</v>
      </c>
      <c r="I1176" s="7" t="s">
        <v>1716</v>
      </c>
      <c r="J1176" s="4" t="s">
        <v>54</v>
      </c>
      <c r="K1176" s="3" t="s">
        <v>44</v>
      </c>
      <c r="L1176" s="3" t="s">
        <v>30</v>
      </c>
      <c r="M1176" s="4" t="s">
        <v>30</v>
      </c>
      <c r="N1176" s="4" t="s">
        <v>44</v>
      </c>
      <c r="O1176" s="28"/>
      <c r="P1176" s="32"/>
      <c r="Q1176" s="35">
        <v>11</v>
      </c>
      <c r="R1176" s="3" t="s">
        <v>31</v>
      </c>
      <c r="S1176" s="10" t="s">
        <v>32</v>
      </c>
      <c r="T1176" s="4" t="str">
        <f>IF(OR(Tabela1[[#This Row],[Grau de Risco]]="Médio",Tabela1[[#This Row],[Grau de Risco]]="Baixo"),"Não","Sim")</f>
        <v>Não</v>
      </c>
    </row>
    <row r="1177" spans="1:20" hidden="1">
      <c r="A1177" s="28" t="s">
        <v>2</v>
      </c>
      <c r="B1177" s="56" t="s">
        <v>1797</v>
      </c>
      <c r="C1177" s="28" t="s">
        <v>125</v>
      </c>
      <c r="D1177" s="38" t="s">
        <v>1382</v>
      </c>
      <c r="E1177" s="32">
        <v>5</v>
      </c>
      <c r="F1177" s="32">
        <v>3</v>
      </c>
      <c r="G1177" s="32">
        <v>2025</v>
      </c>
      <c r="H1177" s="5" t="s">
        <v>123</v>
      </c>
      <c r="I1177" s="29" t="s">
        <v>1183</v>
      </c>
      <c r="J1177" s="28" t="s">
        <v>115</v>
      </c>
      <c r="K1177" s="32">
        <v>60</v>
      </c>
      <c r="L1177" s="32"/>
      <c r="M1177" s="28"/>
      <c r="N1177" s="28"/>
      <c r="O1177" s="28" t="s">
        <v>386</v>
      </c>
      <c r="P1177" s="3" t="s">
        <v>31</v>
      </c>
      <c r="Q1177" s="35">
        <v>10</v>
      </c>
      <c r="R1177" s="32" t="s">
        <v>31</v>
      </c>
      <c r="S1177" s="33" t="s">
        <v>63</v>
      </c>
      <c r="T1177" s="4" t="str">
        <f>IF(OR(Tabela1[[#This Row],[Grau de Risco]]="Médio",Tabela1[[#This Row],[Grau de Risco]]="Baixo"),"Não","Sim")</f>
        <v>Não</v>
      </c>
    </row>
    <row r="1178" spans="1:20" hidden="1">
      <c r="A1178" s="28" t="s">
        <v>2</v>
      </c>
      <c r="B1178" s="33" t="s">
        <v>1797</v>
      </c>
      <c r="C1178" s="28" t="s">
        <v>125</v>
      </c>
      <c r="D1178" s="38" t="s">
        <v>1382</v>
      </c>
      <c r="E1178" s="32">
        <v>30</v>
      </c>
      <c r="F1178" s="32">
        <v>4</v>
      </c>
      <c r="G1178" s="32">
        <v>2025</v>
      </c>
      <c r="H1178" s="36" t="s">
        <v>107</v>
      </c>
      <c r="I1178" s="29" t="s">
        <v>1193</v>
      </c>
      <c r="J1178" s="28" t="s">
        <v>61</v>
      </c>
      <c r="K1178" s="32">
        <v>3</v>
      </c>
      <c r="L1178" s="32"/>
      <c r="M1178" s="28"/>
      <c r="N1178" s="28"/>
      <c r="O1178" s="28" t="s">
        <v>74</v>
      </c>
      <c r="P1178" s="32" t="s">
        <v>31</v>
      </c>
      <c r="Q1178" s="11">
        <v>11</v>
      </c>
      <c r="R1178" s="3" t="s">
        <v>31</v>
      </c>
      <c r="S1178" s="5" t="s">
        <v>56</v>
      </c>
      <c r="T1178" s="4" t="str">
        <f>IF(OR(Tabela1[[#This Row],[Grau de Risco]]="Médio",Tabela1[[#This Row],[Grau de Risco]]="Baixo"),"Não","Sim")</f>
        <v>Não</v>
      </c>
    </row>
    <row r="1179" spans="1:20">
      <c r="A1179" s="4" t="s">
        <v>9</v>
      </c>
      <c r="B1179" s="10" t="s">
        <v>1809</v>
      </c>
      <c r="C1179" s="4" t="s">
        <v>81</v>
      </c>
      <c r="D1179" s="38" t="s">
        <v>47</v>
      </c>
      <c r="E1179" s="3">
        <v>7</v>
      </c>
      <c r="F1179" s="3">
        <v>5</v>
      </c>
      <c r="G1179" s="3">
        <v>2025</v>
      </c>
      <c r="H1179" s="5" t="s">
        <v>71</v>
      </c>
      <c r="I1179" s="7" t="s">
        <v>1253</v>
      </c>
      <c r="J1179" s="4" t="s">
        <v>79</v>
      </c>
      <c r="K1179" s="3">
        <v>13</v>
      </c>
      <c r="L1179" s="3">
        <v>0</v>
      </c>
      <c r="M1179" s="4" t="s">
        <v>30</v>
      </c>
      <c r="N1179" s="4">
        <v>0</v>
      </c>
      <c r="O1179" s="4" t="s">
        <v>1254</v>
      </c>
      <c r="P1179" s="3" t="s">
        <v>31</v>
      </c>
      <c r="Q1179" s="11">
        <v>5</v>
      </c>
      <c r="R1179" s="3" t="s">
        <v>102</v>
      </c>
      <c r="S1179" s="10" t="s">
        <v>63</v>
      </c>
      <c r="T1179" s="4" t="str">
        <f>IF(OR(Tabela1[[#This Row],[Grau de Risco]]="Médio",Tabela1[[#This Row],[Grau de Risco]]="Baixo"),"Não","Sim")</f>
        <v>Sim</v>
      </c>
    </row>
    <row r="1180" spans="1:20" hidden="1">
      <c r="A1180" s="4" t="s">
        <v>2</v>
      </c>
      <c r="B1180" s="10" t="s">
        <v>1797</v>
      </c>
      <c r="C1180" s="4" t="s">
        <v>252</v>
      </c>
      <c r="D1180" s="38" t="s">
        <v>1393</v>
      </c>
      <c r="E1180" s="3">
        <v>10</v>
      </c>
      <c r="F1180" s="3">
        <v>6</v>
      </c>
      <c r="G1180" s="3">
        <v>2025</v>
      </c>
      <c r="H1180" s="36" t="s">
        <v>82</v>
      </c>
      <c r="I1180" s="7" t="s">
        <v>1291</v>
      </c>
      <c r="J1180" s="4" t="s">
        <v>69</v>
      </c>
      <c r="K1180" s="3">
        <v>1</v>
      </c>
      <c r="L1180" s="3">
        <v>0</v>
      </c>
      <c r="M1180" s="4" t="s">
        <v>30</v>
      </c>
      <c r="N1180" s="4"/>
      <c r="O1180" s="4" t="s">
        <v>55</v>
      </c>
      <c r="P1180" s="3" t="s">
        <v>52</v>
      </c>
      <c r="Q1180" s="11">
        <v>14</v>
      </c>
      <c r="R1180" s="3" t="s">
        <v>52</v>
      </c>
      <c r="S1180" s="5" t="s">
        <v>56</v>
      </c>
      <c r="T1180" s="4" t="str">
        <f>IF(OR(Tabela1[[#This Row],[Grau de Risco]]="Médio",Tabela1[[#This Row],[Grau de Risco]]="Baixo"),"Não","Sim")</f>
        <v>Não</v>
      </c>
    </row>
    <row r="1181" spans="1:20" hidden="1">
      <c r="A1181" s="4" t="s">
        <v>7</v>
      </c>
      <c r="B1181" s="10" t="s">
        <v>1797</v>
      </c>
      <c r="C1181" s="4" t="s">
        <v>125</v>
      </c>
      <c r="D1181" s="38" t="s">
        <v>1382</v>
      </c>
      <c r="E1181" s="3">
        <v>23</v>
      </c>
      <c r="F1181" s="3">
        <v>7</v>
      </c>
      <c r="G1181" s="3">
        <v>2025</v>
      </c>
      <c r="H1181" s="5" t="s">
        <v>71</v>
      </c>
      <c r="I1181" s="7" t="s">
        <v>1717</v>
      </c>
      <c r="J1181" s="4" t="s">
        <v>69</v>
      </c>
      <c r="K1181" s="3" t="s">
        <v>44</v>
      </c>
      <c r="L1181" s="3" t="s">
        <v>44</v>
      </c>
      <c r="M1181" s="4"/>
      <c r="N1181" s="4" t="s">
        <v>44</v>
      </c>
      <c r="O1181" s="4"/>
      <c r="P1181" s="3"/>
      <c r="Q1181" s="11">
        <v>14</v>
      </c>
      <c r="R1181" s="3" t="s">
        <v>52</v>
      </c>
      <c r="S1181" s="10" t="s">
        <v>63</v>
      </c>
      <c r="T1181" s="4" t="str">
        <f>IF(OR(Tabela1[[#This Row],[Grau de Risco]]="Médio",Tabela1[[#This Row],[Grau de Risco]]="Baixo"),"Não","Sim")</f>
        <v>Não</v>
      </c>
    </row>
    <row r="1182" spans="1:20" hidden="1">
      <c r="A1182" s="28" t="s">
        <v>10</v>
      </c>
      <c r="B1182" s="33" t="s">
        <v>1800</v>
      </c>
      <c r="C1182" s="28" t="s">
        <v>252</v>
      </c>
      <c r="D1182" s="38" t="s">
        <v>1409</v>
      </c>
      <c r="E1182" s="32">
        <v>28</v>
      </c>
      <c r="F1182" s="32">
        <v>8</v>
      </c>
      <c r="G1182" s="32">
        <v>2025</v>
      </c>
      <c r="H1182" s="38" t="s">
        <v>1132</v>
      </c>
      <c r="I1182" s="7" t="s">
        <v>1435</v>
      </c>
      <c r="J1182" s="28" t="s">
        <v>61</v>
      </c>
      <c r="K1182" s="32" t="s">
        <v>80</v>
      </c>
      <c r="L1182" s="32" t="s">
        <v>80</v>
      </c>
      <c r="M1182" s="28" t="s">
        <v>30</v>
      </c>
      <c r="N1182" s="28" t="s">
        <v>80</v>
      </c>
      <c r="O1182" s="4" t="s">
        <v>4</v>
      </c>
      <c r="P1182" s="32" t="s">
        <v>52</v>
      </c>
      <c r="Q1182" s="35">
        <v>7</v>
      </c>
      <c r="R1182" s="32" t="s">
        <v>102</v>
      </c>
      <c r="S1182" s="33" t="s">
        <v>4</v>
      </c>
      <c r="T1182" s="4" t="str">
        <f>IF(OR(Tabela1[[#This Row],[Grau de Risco]]="Médio",Tabela1[[#This Row],[Grau de Risco]]="Baixo"),"Não","Sim")</f>
        <v>Sim</v>
      </c>
    </row>
    <row r="1183" spans="1:20" hidden="1">
      <c r="A1183" s="28" t="s">
        <v>10</v>
      </c>
      <c r="B1183" s="33" t="s">
        <v>1804</v>
      </c>
      <c r="C1183" s="28" t="s">
        <v>26</v>
      </c>
      <c r="D1183" s="28" t="s">
        <v>1382</v>
      </c>
      <c r="E1183" s="32">
        <v>22</v>
      </c>
      <c r="F1183" s="32">
        <v>10</v>
      </c>
      <c r="G1183" s="32">
        <v>2025</v>
      </c>
      <c r="H1183" s="34" t="s">
        <v>127</v>
      </c>
      <c r="I1183" s="7" t="s">
        <v>1718</v>
      </c>
      <c r="J1183" s="28" t="s">
        <v>93</v>
      </c>
      <c r="K1183" s="32">
        <v>0</v>
      </c>
      <c r="L1183" s="32">
        <v>0</v>
      </c>
      <c r="M1183" s="28" t="s">
        <v>25</v>
      </c>
      <c r="N1183" s="28">
        <v>0</v>
      </c>
      <c r="O1183" s="28"/>
      <c r="P1183" s="32" t="s">
        <v>52</v>
      </c>
      <c r="Q1183" s="35">
        <v>14</v>
      </c>
      <c r="R1183" s="3" t="s">
        <v>52</v>
      </c>
      <c r="S1183" s="33" t="s">
        <v>63</v>
      </c>
      <c r="T1183" s="4" t="str">
        <f>IF(OR(Tabela1[[#This Row],[Grau de Risco]]="Médio",Tabela1[[#This Row],[Grau de Risco]]="Baixo"),"Não","Sim")</f>
        <v>Não</v>
      </c>
    </row>
    <row r="1184" spans="1:20" hidden="1">
      <c r="A1184" s="28" t="s">
        <v>7</v>
      </c>
      <c r="B1184" s="33" t="s">
        <v>1800</v>
      </c>
      <c r="C1184" s="28" t="s">
        <v>252</v>
      </c>
      <c r="D1184" s="38" t="s">
        <v>1393</v>
      </c>
      <c r="E1184" s="32">
        <v>28</v>
      </c>
      <c r="F1184" s="32">
        <v>10</v>
      </c>
      <c r="G1184" s="32">
        <v>2025</v>
      </c>
      <c r="H1184" s="38" t="s">
        <v>1132</v>
      </c>
      <c r="I1184" s="7" t="s">
        <v>1501</v>
      </c>
      <c r="J1184" s="28" t="s">
        <v>69</v>
      </c>
      <c r="K1184" s="32" t="s">
        <v>80</v>
      </c>
      <c r="L1184" s="32" t="s">
        <v>80</v>
      </c>
      <c r="M1184" s="28" t="s">
        <v>30</v>
      </c>
      <c r="N1184" s="28" t="s">
        <v>80</v>
      </c>
      <c r="O1184" s="4" t="s">
        <v>4</v>
      </c>
      <c r="P1184" s="32" t="s">
        <v>44</v>
      </c>
      <c r="Q1184" s="35">
        <v>7</v>
      </c>
      <c r="R1184" s="3" t="s">
        <v>102</v>
      </c>
      <c r="S1184" s="33" t="s">
        <v>63</v>
      </c>
      <c r="T1184" s="4" t="str">
        <f>IF(OR(Tabela1[[#This Row],[Grau de Risco]]="Médio",Tabela1[[#This Row],[Grau de Risco]]="Baixo"),"Não","Sim")</f>
        <v>Sim</v>
      </c>
    </row>
    <row r="1185" spans="1:20" hidden="1">
      <c r="A1185" s="28" t="s">
        <v>1110</v>
      </c>
      <c r="B1185" s="33" t="s">
        <v>1797</v>
      </c>
      <c r="C1185" s="28"/>
      <c r="D1185" s="28" t="s">
        <v>47</v>
      </c>
      <c r="E1185" s="32">
        <v>17</v>
      </c>
      <c r="F1185" s="32">
        <v>10</v>
      </c>
      <c r="G1185" s="32">
        <v>2025</v>
      </c>
      <c r="H1185" s="34" t="s">
        <v>516</v>
      </c>
      <c r="I1185" s="29" t="s">
        <v>1519</v>
      </c>
      <c r="J1185" s="28" t="s">
        <v>29</v>
      </c>
      <c r="K1185" s="32" t="s">
        <v>44</v>
      </c>
      <c r="L1185" s="32" t="s">
        <v>44</v>
      </c>
      <c r="M1185" s="28"/>
      <c r="N1185" s="28" t="s">
        <v>44</v>
      </c>
      <c r="O1185" s="28"/>
      <c r="P1185" s="32"/>
      <c r="Q1185" s="35">
        <v>14</v>
      </c>
      <c r="R1185" s="3" t="s">
        <v>52</v>
      </c>
      <c r="S1185" s="33" t="s">
        <v>63</v>
      </c>
      <c r="T1185" s="4" t="str">
        <f>IF(OR(Tabela1[[#This Row],[Grau de Risco]]="Médio",Tabela1[[#This Row],[Grau de Risco]]="Baixo"),"Não","Sim")</f>
        <v>Não</v>
      </c>
    </row>
    <row r="1186" spans="1:20">
      <c r="A1186" s="4" t="s">
        <v>8</v>
      </c>
      <c r="B1186" s="10" t="s">
        <v>1809</v>
      </c>
      <c r="C1186" s="4"/>
      <c r="D1186" s="38" t="s">
        <v>1382</v>
      </c>
      <c r="E1186" s="3">
        <v>22</v>
      </c>
      <c r="F1186" s="3">
        <v>1</v>
      </c>
      <c r="G1186" s="3">
        <v>2020</v>
      </c>
      <c r="H1186" s="36" t="s">
        <v>66</v>
      </c>
      <c r="I1186" s="7" t="s">
        <v>78</v>
      </c>
      <c r="J1186" s="4" t="s">
        <v>79</v>
      </c>
      <c r="K1186" s="3">
        <v>3</v>
      </c>
      <c r="L1186" s="3">
        <v>0</v>
      </c>
      <c r="M1186" s="4" t="s">
        <v>30</v>
      </c>
      <c r="N1186" s="4">
        <v>0</v>
      </c>
      <c r="O1186" s="4" t="s">
        <v>45</v>
      </c>
      <c r="P1186" s="3" t="s">
        <v>52</v>
      </c>
      <c r="Q1186" s="11">
        <v>14</v>
      </c>
      <c r="R1186" s="3" t="s">
        <v>52</v>
      </c>
      <c r="S1186" s="5" t="s">
        <v>56</v>
      </c>
      <c r="T1186" s="4" t="str">
        <f>IF(OR(Tabela1[[#This Row],[Grau de Risco]]="Médio",Tabela1[[#This Row],[Grau de Risco]]="Baixo"),"Não","Sim")</f>
        <v>Não</v>
      </c>
    </row>
    <row r="1187" spans="1:20" hidden="1">
      <c r="A1187" s="4" t="s">
        <v>8</v>
      </c>
      <c r="B1187" s="10" t="s">
        <v>1805</v>
      </c>
      <c r="C1187" s="4" t="s">
        <v>64</v>
      </c>
      <c r="D1187" s="38" t="s">
        <v>1393</v>
      </c>
      <c r="E1187" s="3">
        <v>23</v>
      </c>
      <c r="F1187" s="3">
        <v>6</v>
      </c>
      <c r="G1187" s="3">
        <v>2020</v>
      </c>
      <c r="H1187" s="5" t="s">
        <v>48</v>
      </c>
      <c r="I1187" s="7" t="s">
        <v>106</v>
      </c>
      <c r="J1187" s="4" t="s">
        <v>61</v>
      </c>
      <c r="K1187" s="3">
        <v>0</v>
      </c>
      <c r="L1187" s="3">
        <v>0</v>
      </c>
      <c r="M1187" s="4" t="s">
        <v>30</v>
      </c>
      <c r="N1187" s="4"/>
      <c r="O1187" s="4" t="s">
        <v>4</v>
      </c>
      <c r="P1187" s="3" t="s">
        <v>52</v>
      </c>
      <c r="Q1187" s="11">
        <v>22</v>
      </c>
      <c r="R1187" s="3" t="str">
        <f>IF(Q1187="","",IF(Q1187&lt;4,"Crítico",IF(Q1187&lt;9,"Alto",IF(Q1187&lt;14,"Médio","Baixo"))))</f>
        <v>Baixo</v>
      </c>
      <c r="S1187" s="10" t="s">
        <v>63</v>
      </c>
      <c r="T1187" s="4" t="str">
        <f>IF(OR(Tabela1[[#This Row],[Grau de Risco]]="Médio",Tabela1[[#This Row],[Grau de Risco]]="Baixo"),"Não","Sim")</f>
        <v>Não</v>
      </c>
    </row>
    <row r="1188" spans="1:20" hidden="1">
      <c r="A1188" s="5" t="s">
        <v>8</v>
      </c>
      <c r="B1188" s="6" t="s">
        <v>1805</v>
      </c>
      <c r="C1188" s="5" t="s">
        <v>26</v>
      </c>
      <c r="D1188" s="38" t="s">
        <v>47</v>
      </c>
      <c r="E1188" s="2">
        <v>11</v>
      </c>
      <c r="F1188" s="2">
        <v>2</v>
      </c>
      <c r="G1188" s="2">
        <v>2022</v>
      </c>
      <c r="H1188" s="5" t="s">
        <v>71</v>
      </c>
      <c r="I1188" s="5" t="s">
        <v>268</v>
      </c>
      <c r="J1188" s="5" t="s">
        <v>54</v>
      </c>
      <c r="K1188" s="2">
        <v>0</v>
      </c>
      <c r="L1188" s="2">
        <v>0</v>
      </c>
      <c r="M1188" s="5" t="s">
        <v>30</v>
      </c>
      <c r="N1188" s="5">
        <v>0</v>
      </c>
      <c r="O1188" s="5" t="s">
        <v>70</v>
      </c>
      <c r="P1188" s="2" t="s">
        <v>31</v>
      </c>
      <c r="Q1188" s="2">
        <v>13</v>
      </c>
      <c r="R1188" s="2" t="s">
        <v>31</v>
      </c>
      <c r="S1188" s="5" t="s">
        <v>56</v>
      </c>
      <c r="T1188" s="4" t="str">
        <f>IF(OR(Tabela1[[#This Row],[Grau de Risco]]="Médio",Tabela1[[#This Row],[Grau de Risco]]="Baixo"),"Não","Sim")</f>
        <v>Não</v>
      </c>
    </row>
    <row r="1189" spans="1:20">
      <c r="A1189" s="5" t="s">
        <v>2</v>
      </c>
      <c r="B1189" s="10" t="s">
        <v>1809</v>
      </c>
      <c r="C1189" s="5" t="s">
        <v>81</v>
      </c>
      <c r="D1189" s="38" t="s">
        <v>1393</v>
      </c>
      <c r="E1189" s="2">
        <v>5</v>
      </c>
      <c r="F1189" s="2">
        <v>4</v>
      </c>
      <c r="G1189" s="2">
        <v>2022</v>
      </c>
      <c r="H1189" s="5" t="s">
        <v>71</v>
      </c>
      <c r="I1189" s="5" t="s">
        <v>1719</v>
      </c>
      <c r="J1189" s="5" t="s">
        <v>84</v>
      </c>
      <c r="K1189" s="2">
        <v>0</v>
      </c>
      <c r="L1189" s="2">
        <v>0</v>
      </c>
      <c r="M1189" s="5" t="s">
        <v>30</v>
      </c>
      <c r="Q1189" s="2">
        <v>14</v>
      </c>
      <c r="R1189" s="2" t="s">
        <v>52</v>
      </c>
      <c r="S1189" s="10" t="s">
        <v>32</v>
      </c>
      <c r="T1189" s="4" t="str">
        <f>IF(OR(Tabela1[[#This Row],[Grau de Risco]]="Médio",Tabela1[[#This Row],[Grau de Risco]]="Baixo"),"Não","Sim")</f>
        <v>Não</v>
      </c>
    </row>
    <row r="1190" spans="1:20" hidden="1">
      <c r="A1190" s="4" t="s">
        <v>7</v>
      </c>
      <c r="B1190" s="10" t="s">
        <v>1793</v>
      </c>
      <c r="C1190" s="4" t="s">
        <v>89</v>
      </c>
      <c r="D1190" s="38" t="s">
        <v>1320</v>
      </c>
      <c r="E1190" s="3">
        <v>11</v>
      </c>
      <c r="F1190" s="3">
        <v>7</v>
      </c>
      <c r="G1190" s="3">
        <v>2022</v>
      </c>
      <c r="H1190" s="36" t="s">
        <v>82</v>
      </c>
      <c r="I1190" s="7" t="s">
        <v>344</v>
      </c>
      <c r="J1190" s="4" t="s">
        <v>111</v>
      </c>
      <c r="K1190" s="3" t="s">
        <v>62</v>
      </c>
      <c r="L1190" s="3" t="s">
        <v>44</v>
      </c>
      <c r="M1190" s="4" t="s">
        <v>30</v>
      </c>
      <c r="N1190" s="4"/>
      <c r="O1190" s="4" t="s">
        <v>55</v>
      </c>
      <c r="P1190" s="3" t="s">
        <v>52</v>
      </c>
      <c r="Q1190" s="11">
        <v>13</v>
      </c>
      <c r="R1190" s="3" t="str">
        <f>IF(Q1190="","",IF(Q1190&lt;4,"Crítico",IF(Q1190&lt;9,"Alto",IF(Q1190&lt;14,"Médio","Baixo"))))</f>
        <v>Médio</v>
      </c>
      <c r="S1190" s="10" t="s">
        <v>63</v>
      </c>
      <c r="T1190" s="4" t="str">
        <f>IF(OR(Tabela1[[#This Row],[Grau de Risco]]="Médio",Tabela1[[#This Row],[Grau de Risco]]="Baixo"),"Não","Sim")</f>
        <v>Não</v>
      </c>
    </row>
    <row r="1191" spans="1:20" hidden="1">
      <c r="A1191" s="4" t="s">
        <v>9</v>
      </c>
      <c r="B1191" s="10" t="s">
        <v>1793</v>
      </c>
      <c r="C1191" s="4"/>
      <c r="D1191" s="58" t="s">
        <v>1409</v>
      </c>
      <c r="E1191" s="3">
        <v>22</v>
      </c>
      <c r="F1191" s="3">
        <v>3</v>
      </c>
      <c r="G1191" s="3">
        <v>2022</v>
      </c>
      <c r="H1191" s="4" t="s">
        <v>86</v>
      </c>
      <c r="I1191" s="7" t="s">
        <v>374</v>
      </c>
      <c r="J1191" s="4" t="s">
        <v>91</v>
      </c>
      <c r="K1191" s="3">
        <v>7</v>
      </c>
      <c r="L1191" s="3">
        <v>0</v>
      </c>
      <c r="M1191" s="4" t="s">
        <v>30</v>
      </c>
      <c r="N1191" s="4"/>
      <c r="O1191" s="4" t="s">
        <v>88</v>
      </c>
      <c r="P1191" s="3" t="s">
        <v>31</v>
      </c>
      <c r="Q1191" s="11">
        <v>13</v>
      </c>
      <c r="R1191" s="3" t="str">
        <f>IF(Q1191="","",IF(Q1191&lt;4,"Crítico",IF(Q1191&lt;9,"Alto",IF(Q1191&lt;14,"Médio","Baixo"))))</f>
        <v>Médio</v>
      </c>
      <c r="S1191" s="5" t="s">
        <v>56</v>
      </c>
      <c r="T1191" s="4" t="str">
        <f>IF(OR(Tabela1[[#This Row],[Grau de Risco]]="Médio",Tabela1[[#This Row],[Grau de Risco]]="Baixo"),"Não","Sim")</f>
        <v>Não</v>
      </c>
    </row>
    <row r="1192" spans="1:20" hidden="1">
      <c r="A1192" s="4" t="s">
        <v>10</v>
      </c>
      <c r="B1192" s="10" t="s">
        <v>1805</v>
      </c>
      <c r="C1192" s="4" t="s">
        <v>26</v>
      </c>
      <c r="D1192" s="38" t="s">
        <v>1393</v>
      </c>
      <c r="E1192" s="3">
        <v>3</v>
      </c>
      <c r="F1192" s="3">
        <v>10</v>
      </c>
      <c r="G1192" s="3">
        <v>2023</v>
      </c>
      <c r="H1192" s="5" t="s">
        <v>442</v>
      </c>
      <c r="I1192" s="7" t="s">
        <v>443</v>
      </c>
      <c r="J1192" s="4" t="s">
        <v>54</v>
      </c>
      <c r="K1192" s="3">
        <v>0</v>
      </c>
      <c r="L1192" s="3"/>
      <c r="M1192" s="4"/>
      <c r="N1192" s="4"/>
      <c r="O1192" s="4" t="s">
        <v>4</v>
      </c>
      <c r="P1192" s="3" t="s">
        <v>52</v>
      </c>
      <c r="Q1192" s="11">
        <v>15</v>
      </c>
      <c r="R1192" s="3" t="s">
        <v>52</v>
      </c>
      <c r="S1192" s="10" t="s">
        <v>63</v>
      </c>
      <c r="T1192" s="4" t="str">
        <f>IF(OR(Tabela1[[#This Row],[Grau de Risco]]="Médio",Tabela1[[#This Row],[Grau de Risco]]="Baixo"),"Não","Sim")</f>
        <v>Não</v>
      </c>
    </row>
    <row r="1193" spans="1:20">
      <c r="A1193" s="4" t="s">
        <v>7</v>
      </c>
      <c r="B1193" s="10" t="s">
        <v>1809</v>
      </c>
      <c r="C1193" s="4" t="s">
        <v>26</v>
      </c>
      <c r="D1193" s="5" t="s">
        <v>36</v>
      </c>
      <c r="E1193" s="3">
        <v>11</v>
      </c>
      <c r="F1193" s="3">
        <v>11</v>
      </c>
      <c r="G1193" s="3">
        <v>2023</v>
      </c>
      <c r="H1193" s="36" t="s">
        <v>107</v>
      </c>
      <c r="I1193" s="7" t="s">
        <v>499</v>
      </c>
      <c r="J1193" s="4" t="s">
        <v>229</v>
      </c>
      <c r="K1193" s="3" t="s">
        <v>62</v>
      </c>
      <c r="L1193" s="3">
        <v>0</v>
      </c>
      <c r="M1193" s="4" t="s">
        <v>30</v>
      </c>
      <c r="N1193" s="4">
        <v>0</v>
      </c>
      <c r="O1193" s="4" t="s">
        <v>85</v>
      </c>
      <c r="P1193" s="3" t="s">
        <v>52</v>
      </c>
      <c r="Q1193" s="11">
        <v>14</v>
      </c>
      <c r="R1193" s="3" t="str">
        <f>IF(Q1193="","",IF(Q1193&lt;4,"Crítico",IF(Q1193&lt;9,"Alto",IF(Q1193&lt;14,"Médio","Baixo"))))</f>
        <v>Baixo</v>
      </c>
      <c r="S1193" s="5" t="s">
        <v>40</v>
      </c>
      <c r="T1193" s="4" t="str">
        <f>IF(OR(Tabela1[[#This Row],[Grau de Risco]]="Médio",Tabela1[[#This Row],[Grau de Risco]]="Baixo"),"Não","Sim")</f>
        <v>Não</v>
      </c>
    </row>
    <row r="1194" spans="1:20">
      <c r="A1194" s="4" t="s">
        <v>7</v>
      </c>
      <c r="B1194" s="10" t="s">
        <v>1809</v>
      </c>
      <c r="C1194" s="4" t="s">
        <v>26</v>
      </c>
      <c r="D1194" s="5" t="s">
        <v>36</v>
      </c>
      <c r="E1194" s="3">
        <v>18</v>
      </c>
      <c r="F1194" s="3">
        <v>5</v>
      </c>
      <c r="G1194" s="3">
        <v>2024</v>
      </c>
      <c r="H1194" s="36" t="s">
        <v>33</v>
      </c>
      <c r="I1194" s="7" t="s">
        <v>703</v>
      </c>
      <c r="J1194" s="4" t="s">
        <v>229</v>
      </c>
      <c r="K1194" s="3" t="s">
        <v>62</v>
      </c>
      <c r="L1194" s="3"/>
      <c r="M1194" s="4"/>
      <c r="N1194" s="4"/>
      <c r="O1194" s="4" t="s">
        <v>498</v>
      </c>
      <c r="P1194" s="3"/>
      <c r="Q1194" s="11">
        <v>15</v>
      </c>
      <c r="R1194" s="3" t="s">
        <v>52</v>
      </c>
      <c r="S1194" s="5" t="s">
        <v>40</v>
      </c>
      <c r="T1194" s="4" t="str">
        <f>IF(OR(Tabela1[[#This Row],[Grau de Risco]]="Médio",Tabela1[[#This Row],[Grau de Risco]]="Baixo"),"Não","Sim")</f>
        <v>Não</v>
      </c>
    </row>
    <row r="1195" spans="1:20" hidden="1">
      <c r="A1195" s="4" t="s">
        <v>2</v>
      </c>
      <c r="B1195" s="10" t="s">
        <v>1797</v>
      </c>
      <c r="C1195" s="4" t="s">
        <v>252</v>
      </c>
      <c r="D1195" s="38" t="s">
        <v>1320</v>
      </c>
      <c r="E1195" s="3">
        <v>26</v>
      </c>
      <c r="F1195" s="3">
        <v>2</v>
      </c>
      <c r="G1195" s="3">
        <v>2024</v>
      </c>
      <c r="H1195" s="36" t="s">
        <v>82</v>
      </c>
      <c r="I1195" s="7" t="s">
        <v>721</v>
      </c>
      <c r="J1195" s="4" t="s">
        <v>76</v>
      </c>
      <c r="K1195" s="3">
        <v>5</v>
      </c>
      <c r="L1195" s="3">
        <v>0</v>
      </c>
      <c r="M1195" s="4" t="s">
        <v>30</v>
      </c>
      <c r="N1195" s="4"/>
      <c r="O1195" s="4" t="s">
        <v>129</v>
      </c>
      <c r="P1195" s="3" t="s">
        <v>31</v>
      </c>
      <c r="Q1195" s="11">
        <v>11</v>
      </c>
      <c r="R1195" s="3" t="s">
        <v>31</v>
      </c>
      <c r="S1195" s="5" t="s">
        <v>56</v>
      </c>
      <c r="T1195" s="4" t="str">
        <f>IF(OR(Tabela1[[#This Row],[Grau de Risco]]="Médio",Tabela1[[#This Row],[Grau de Risco]]="Baixo"),"Não","Sim")</f>
        <v>Não</v>
      </c>
    </row>
    <row r="1196" spans="1:20">
      <c r="A1196" s="4" t="s">
        <v>2</v>
      </c>
      <c r="B1196" s="10" t="s">
        <v>1809</v>
      </c>
      <c r="C1196" s="4" t="s">
        <v>81</v>
      </c>
      <c r="D1196" s="58" t="s">
        <v>1409</v>
      </c>
      <c r="E1196" s="3">
        <v>25</v>
      </c>
      <c r="F1196" s="3">
        <v>4</v>
      </c>
      <c r="G1196" s="3">
        <v>2024</v>
      </c>
      <c r="H1196" s="36" t="s">
        <v>82</v>
      </c>
      <c r="I1196" s="7" t="s">
        <v>734</v>
      </c>
      <c r="J1196" s="4" t="s">
        <v>84</v>
      </c>
      <c r="K1196" s="3">
        <v>89</v>
      </c>
      <c r="L1196" s="3" t="s">
        <v>30</v>
      </c>
      <c r="M1196" s="4" t="s">
        <v>30</v>
      </c>
      <c r="N1196" s="4" t="s">
        <v>44</v>
      </c>
      <c r="O1196" s="4" t="s">
        <v>45</v>
      </c>
      <c r="P1196" s="3" t="s">
        <v>31</v>
      </c>
      <c r="Q1196" s="11">
        <v>4</v>
      </c>
      <c r="R1196" s="3" t="s">
        <v>102</v>
      </c>
      <c r="S1196" s="10" t="s">
        <v>178</v>
      </c>
      <c r="T1196" s="4" t="str">
        <f>IF(OR(Tabela1[[#This Row],[Grau de Risco]]="Médio",Tabela1[[#This Row],[Grau de Risco]]="Baixo"),"Não","Sim")</f>
        <v>Sim</v>
      </c>
    </row>
    <row r="1197" spans="1:20" hidden="1">
      <c r="A1197" s="4" t="s">
        <v>2</v>
      </c>
      <c r="B1197" s="10" t="s">
        <v>1797</v>
      </c>
      <c r="C1197" s="4" t="s">
        <v>26</v>
      </c>
      <c r="D1197" s="58" t="s">
        <v>1409</v>
      </c>
      <c r="E1197" s="3">
        <v>1</v>
      </c>
      <c r="F1197" s="3">
        <v>2</v>
      </c>
      <c r="G1197" s="3">
        <v>2024</v>
      </c>
      <c r="H1197" s="36" t="s">
        <v>33</v>
      </c>
      <c r="I1197" s="7" t="s">
        <v>802</v>
      </c>
      <c r="J1197" s="4" t="s">
        <v>111</v>
      </c>
      <c r="K1197" s="3">
        <v>5</v>
      </c>
      <c r="L1197" s="3">
        <v>0</v>
      </c>
      <c r="M1197" s="4" t="s">
        <v>30</v>
      </c>
      <c r="N1197" s="4">
        <v>0</v>
      </c>
      <c r="O1197" s="4" t="s">
        <v>101</v>
      </c>
      <c r="P1197" s="3" t="s">
        <v>31</v>
      </c>
      <c r="Q1197" s="11">
        <v>11</v>
      </c>
      <c r="R1197" s="3" t="s">
        <v>31</v>
      </c>
      <c r="S1197" s="10" t="s">
        <v>63</v>
      </c>
      <c r="T1197" s="4" t="str">
        <f>IF(OR(Tabela1[[#This Row],[Grau de Risco]]="Médio",Tabela1[[#This Row],[Grau de Risco]]="Baixo"),"Não","Sim")</f>
        <v>Não</v>
      </c>
    </row>
    <row r="1198" spans="1:20" hidden="1">
      <c r="A1198" s="4" t="s">
        <v>2</v>
      </c>
      <c r="B1198" s="10" t="s">
        <v>1805</v>
      </c>
      <c r="C1198" s="4" t="s">
        <v>81</v>
      </c>
      <c r="D1198" s="38" t="s">
        <v>1393</v>
      </c>
      <c r="E1198" s="3">
        <v>25</v>
      </c>
      <c r="F1198" s="3">
        <v>6</v>
      </c>
      <c r="G1198" s="3">
        <v>2024</v>
      </c>
      <c r="H1198" s="5" t="s">
        <v>71</v>
      </c>
      <c r="I1198" s="7" t="s">
        <v>821</v>
      </c>
      <c r="J1198" s="4" t="s">
        <v>150</v>
      </c>
      <c r="K1198" s="3">
        <v>30</v>
      </c>
      <c r="L1198" s="3">
        <v>0</v>
      </c>
      <c r="M1198" s="4" t="s">
        <v>30</v>
      </c>
      <c r="N1198" s="4"/>
      <c r="O1198" s="4" t="s">
        <v>167</v>
      </c>
      <c r="P1198" s="3" t="s">
        <v>31</v>
      </c>
      <c r="Q1198" s="11">
        <v>11</v>
      </c>
      <c r="R1198" s="3" t="s">
        <v>31</v>
      </c>
      <c r="S1198" s="5" t="s">
        <v>56</v>
      </c>
      <c r="T1198" s="4" t="str">
        <f>IF(OR(Tabela1[[#This Row],[Grau de Risco]]="Médio",Tabela1[[#This Row],[Grau de Risco]]="Baixo"),"Não","Sim")</f>
        <v>Não</v>
      </c>
    </row>
    <row r="1199" spans="1:20">
      <c r="A1199" s="4" t="s">
        <v>7</v>
      </c>
      <c r="B1199" s="10" t="s">
        <v>1809</v>
      </c>
      <c r="C1199" s="4" t="s">
        <v>26</v>
      </c>
      <c r="D1199" s="38" t="s">
        <v>1382</v>
      </c>
      <c r="E1199" s="3">
        <v>20</v>
      </c>
      <c r="F1199" s="3">
        <v>3</v>
      </c>
      <c r="G1199" s="3">
        <v>2024</v>
      </c>
      <c r="H1199" s="36" t="s">
        <v>33</v>
      </c>
      <c r="I1199" s="7" t="s">
        <v>884</v>
      </c>
      <c r="J1199" s="4" t="s">
        <v>229</v>
      </c>
      <c r="K1199" s="3" t="s">
        <v>62</v>
      </c>
      <c r="L1199" s="3"/>
      <c r="M1199" s="4"/>
      <c r="N1199" s="4"/>
      <c r="O1199" s="4" t="s">
        <v>4</v>
      </c>
      <c r="P1199" s="3"/>
      <c r="Q1199" s="11">
        <v>15</v>
      </c>
      <c r="R1199" s="3" t="s">
        <v>52</v>
      </c>
      <c r="S1199" s="10" t="s">
        <v>4</v>
      </c>
      <c r="T1199" s="4" t="str">
        <f>IF(OR(Tabela1[[#This Row],[Grau de Risco]]="Médio",Tabela1[[#This Row],[Grau de Risco]]="Baixo"),"Não","Sim")</f>
        <v>Não</v>
      </c>
    </row>
    <row r="1200" spans="1:20" hidden="1">
      <c r="A1200" s="4" t="s">
        <v>7</v>
      </c>
      <c r="B1200" s="10" t="s">
        <v>1797</v>
      </c>
      <c r="C1200" s="4" t="s">
        <v>26</v>
      </c>
      <c r="D1200" s="38" t="s">
        <v>1320</v>
      </c>
      <c r="E1200" s="3">
        <v>2</v>
      </c>
      <c r="F1200" s="3">
        <v>9</v>
      </c>
      <c r="G1200" s="3">
        <v>2024</v>
      </c>
      <c r="H1200" s="5" t="s">
        <v>209</v>
      </c>
      <c r="I1200" s="7" t="s">
        <v>937</v>
      </c>
      <c r="J1200" s="4" t="s">
        <v>111</v>
      </c>
      <c r="K1200" s="3"/>
      <c r="L1200" s="3"/>
      <c r="M1200" s="4"/>
      <c r="N1200" s="4"/>
      <c r="O1200" s="4" t="s">
        <v>117</v>
      </c>
      <c r="P1200" s="3"/>
      <c r="Q1200" s="11">
        <v>15</v>
      </c>
      <c r="R1200" s="3" t="s">
        <v>52</v>
      </c>
      <c r="S1200" s="10" t="s">
        <v>4</v>
      </c>
      <c r="T1200" s="4" t="str">
        <f>IF(OR(Tabela1[[#This Row],[Grau de Risco]]="Médio",Tabela1[[#This Row],[Grau de Risco]]="Baixo"),"Não","Sim")</f>
        <v>Não</v>
      </c>
    </row>
    <row r="1201" spans="1:20">
      <c r="A1201" s="4" t="s">
        <v>2</v>
      </c>
      <c r="B1201" s="10" t="s">
        <v>1809</v>
      </c>
      <c r="C1201" s="4" t="s">
        <v>26</v>
      </c>
      <c r="D1201" s="38" t="s">
        <v>47</v>
      </c>
      <c r="E1201" s="3">
        <v>18</v>
      </c>
      <c r="F1201" s="3">
        <v>10</v>
      </c>
      <c r="G1201" s="3">
        <v>2024</v>
      </c>
      <c r="H1201" s="36" t="s">
        <v>107</v>
      </c>
      <c r="I1201" s="7" t="s">
        <v>944</v>
      </c>
      <c r="J1201" s="4" t="s">
        <v>169</v>
      </c>
      <c r="K1201" s="3">
        <v>9</v>
      </c>
      <c r="L1201" s="3" t="s">
        <v>30</v>
      </c>
      <c r="M1201" s="4" t="s">
        <v>30</v>
      </c>
      <c r="N1201" s="4" t="s">
        <v>44</v>
      </c>
      <c r="O1201" s="4" t="s">
        <v>45</v>
      </c>
      <c r="P1201" s="3" t="s">
        <v>31</v>
      </c>
      <c r="Q1201" s="11">
        <v>11</v>
      </c>
      <c r="R1201" s="3" t="s">
        <v>31</v>
      </c>
      <c r="S1201" s="10" t="s">
        <v>178</v>
      </c>
      <c r="T1201" s="4" t="str">
        <f>IF(OR(Tabela1[[#This Row],[Grau de Risco]]="Médio",Tabela1[[#This Row],[Grau de Risco]]="Baixo"),"Não","Sim")</f>
        <v>Não</v>
      </c>
    </row>
    <row r="1202" spans="1:20" hidden="1">
      <c r="A1202" s="52" t="s">
        <v>2</v>
      </c>
      <c r="B1202" s="53" t="s">
        <v>1800</v>
      </c>
      <c r="C1202" s="4" t="s">
        <v>81</v>
      </c>
      <c r="D1202" s="38" t="s">
        <v>1393</v>
      </c>
      <c r="E1202" s="3">
        <v>23</v>
      </c>
      <c r="F1202" s="3">
        <v>4</v>
      </c>
      <c r="G1202" s="3">
        <v>2024</v>
      </c>
      <c r="H1202" s="36" t="s">
        <v>66</v>
      </c>
      <c r="I1202" s="7" t="s">
        <v>1007</v>
      </c>
      <c r="J1202" s="4" t="s">
        <v>54</v>
      </c>
      <c r="K1202" s="3">
        <v>3</v>
      </c>
      <c r="L1202" s="3" t="s">
        <v>80</v>
      </c>
      <c r="M1202" s="4" t="s">
        <v>30</v>
      </c>
      <c r="N1202" s="4" t="s">
        <v>80</v>
      </c>
      <c r="O1202" s="4" t="s">
        <v>1008</v>
      </c>
      <c r="P1202" s="3" t="s">
        <v>52</v>
      </c>
      <c r="Q1202" s="11">
        <v>16</v>
      </c>
      <c r="R1202" s="3" t="str">
        <f>IF(Q1202="","",IF(Q1202&lt;4,"Alto",IF(Q1202&lt;9,"Alto",IF(Q1202&lt;14,"Médio","Baixo"))))</f>
        <v>Baixo</v>
      </c>
      <c r="S1202" s="10" t="s">
        <v>4</v>
      </c>
      <c r="T1202" s="4" t="str">
        <f>IF(OR(Tabela1[[#This Row],[Grau de Risco]]="Médio",Tabela1[[#This Row],[Grau de Risco]]="Baixo"),"Não","Sim")</f>
        <v>Não</v>
      </c>
    </row>
    <row r="1203" spans="1:20">
      <c r="A1203" s="4" t="s">
        <v>2</v>
      </c>
      <c r="B1203" s="10" t="s">
        <v>1809</v>
      </c>
      <c r="C1203" s="4" t="s">
        <v>41</v>
      </c>
      <c r="D1203" s="38" t="s">
        <v>1320</v>
      </c>
      <c r="E1203" s="3">
        <v>20</v>
      </c>
      <c r="F1203" s="3">
        <v>1</v>
      </c>
      <c r="G1203" s="3">
        <v>2025</v>
      </c>
      <c r="H1203" s="36" t="s">
        <v>82</v>
      </c>
      <c r="I1203" s="7" t="s">
        <v>1123</v>
      </c>
      <c r="J1203" s="4" t="s">
        <v>43</v>
      </c>
      <c r="K1203" s="3">
        <v>3</v>
      </c>
      <c r="L1203" s="3">
        <v>0</v>
      </c>
      <c r="M1203" s="4" t="s">
        <v>30</v>
      </c>
      <c r="N1203" s="4"/>
      <c r="O1203" s="4" t="s">
        <v>88</v>
      </c>
      <c r="P1203" s="3" t="s">
        <v>31</v>
      </c>
      <c r="Q1203" s="11">
        <v>11</v>
      </c>
      <c r="R1203" s="3" t="s">
        <v>31</v>
      </c>
      <c r="S1203" s="5" t="s">
        <v>56</v>
      </c>
      <c r="T1203" s="4" t="str">
        <f>IF(OR(Tabela1[[#This Row],[Grau de Risco]]="Médio",Tabela1[[#This Row],[Grau de Risco]]="Baixo"),"Não","Sim")</f>
        <v>Não</v>
      </c>
    </row>
    <row r="1204" spans="1:20" hidden="1">
      <c r="A1204" s="4" t="s">
        <v>8</v>
      </c>
      <c r="B1204" s="10" t="s">
        <v>1793</v>
      </c>
      <c r="C1204" s="4" t="s">
        <v>125</v>
      </c>
      <c r="D1204" s="38" t="s">
        <v>1393</v>
      </c>
      <c r="E1204" s="3">
        <v>28</v>
      </c>
      <c r="F1204" s="3">
        <v>1</v>
      </c>
      <c r="G1204" s="3">
        <v>2025</v>
      </c>
      <c r="H1204" s="5" t="s">
        <v>48</v>
      </c>
      <c r="I1204" s="7" t="s">
        <v>1135</v>
      </c>
      <c r="J1204" s="4" t="s">
        <v>79</v>
      </c>
      <c r="K1204" s="3" t="s">
        <v>44</v>
      </c>
      <c r="L1204" s="3" t="s">
        <v>44</v>
      </c>
      <c r="M1204" s="4"/>
      <c r="N1204" s="4" t="s">
        <v>44</v>
      </c>
      <c r="O1204" s="4" t="s">
        <v>45</v>
      </c>
      <c r="P1204" s="3" t="s">
        <v>52</v>
      </c>
      <c r="Q1204" s="11">
        <v>16</v>
      </c>
      <c r="R1204" s="3" t="s">
        <v>52</v>
      </c>
      <c r="S1204" s="5" t="s">
        <v>56</v>
      </c>
      <c r="T1204" s="4" t="str">
        <f>IF(OR(Tabela1[[#This Row],[Grau de Risco]]="Médio",Tabela1[[#This Row],[Grau de Risco]]="Baixo"),"Não","Sim")</f>
        <v>Não</v>
      </c>
    </row>
    <row r="1205" spans="1:20">
      <c r="A1205" s="5" t="s">
        <v>7</v>
      </c>
      <c r="B1205" s="10" t="s">
        <v>1809</v>
      </c>
      <c r="C1205" s="28" t="s">
        <v>26</v>
      </c>
      <c r="D1205" s="58" t="s">
        <v>1409</v>
      </c>
      <c r="E1205" s="32">
        <v>13</v>
      </c>
      <c r="F1205" s="32">
        <v>2</v>
      </c>
      <c r="G1205" s="32">
        <v>2025</v>
      </c>
      <c r="H1205" s="5" t="s">
        <v>71</v>
      </c>
      <c r="I1205" s="29" t="s">
        <v>1161</v>
      </c>
      <c r="J1205" s="28" t="s">
        <v>84</v>
      </c>
      <c r="K1205" s="32" t="s">
        <v>1581</v>
      </c>
      <c r="L1205" s="32" t="s">
        <v>44</v>
      </c>
      <c r="M1205" s="28" t="s">
        <v>30</v>
      </c>
      <c r="N1205" s="28" t="s">
        <v>44</v>
      </c>
      <c r="O1205" s="28"/>
      <c r="P1205" s="32"/>
      <c r="Q1205" s="35">
        <v>5</v>
      </c>
      <c r="R1205" s="32" t="s">
        <v>102</v>
      </c>
      <c r="S1205" s="5" t="s">
        <v>40</v>
      </c>
      <c r="T1205" s="4" t="str">
        <f>IF(OR(Tabela1[[#This Row],[Grau de Risco]]="Médio",Tabela1[[#This Row],[Grau de Risco]]="Baixo"),"Não","Sim")</f>
        <v>Sim</v>
      </c>
    </row>
    <row r="1206" spans="1:20" hidden="1">
      <c r="A1206" s="5" t="s">
        <v>7</v>
      </c>
      <c r="B1206" s="10" t="s">
        <v>1801</v>
      </c>
      <c r="C1206" s="28" t="s">
        <v>46</v>
      </c>
      <c r="D1206" s="38" t="s">
        <v>1320</v>
      </c>
      <c r="E1206" s="32">
        <v>28</v>
      </c>
      <c r="F1206" s="32">
        <v>4</v>
      </c>
      <c r="G1206" s="32">
        <v>2025</v>
      </c>
      <c r="H1206" s="36" t="s">
        <v>66</v>
      </c>
      <c r="I1206" s="29" t="s">
        <v>1238</v>
      </c>
      <c r="J1206" s="28" t="s">
        <v>38</v>
      </c>
      <c r="K1206" s="32" t="s">
        <v>1581</v>
      </c>
      <c r="L1206" s="32" t="s">
        <v>44</v>
      </c>
      <c r="M1206" s="28" t="s">
        <v>30</v>
      </c>
      <c r="N1206" s="28" t="s">
        <v>44</v>
      </c>
      <c r="O1206" s="28"/>
      <c r="P1206" s="32"/>
      <c r="Q1206" s="35">
        <v>15</v>
      </c>
      <c r="R1206" s="32" t="s">
        <v>1239</v>
      </c>
      <c r="S1206" s="5" t="s">
        <v>56</v>
      </c>
      <c r="T1206" s="4" t="str">
        <f>IF(OR(Tabela1[[#This Row],[Grau de Risco]]="Médio",Tabela1[[#This Row],[Grau de Risco]]="Baixo"),"Não","Sim")</f>
        <v>Sim</v>
      </c>
    </row>
    <row r="1207" spans="1:20" hidden="1">
      <c r="A1207" s="4" t="s">
        <v>11</v>
      </c>
      <c r="B1207" s="10" t="s">
        <v>1797</v>
      </c>
      <c r="C1207" s="4" t="s">
        <v>41</v>
      </c>
      <c r="D1207" s="38" t="s">
        <v>47</v>
      </c>
      <c r="E1207" s="3">
        <v>9</v>
      </c>
      <c r="F1207" s="3">
        <v>5</v>
      </c>
      <c r="G1207" s="3">
        <v>2025</v>
      </c>
      <c r="H1207" s="60" t="s">
        <v>109</v>
      </c>
      <c r="I1207" s="7" t="s">
        <v>1255</v>
      </c>
      <c r="J1207" s="4" t="s">
        <v>29</v>
      </c>
      <c r="K1207" s="3" t="s">
        <v>44</v>
      </c>
      <c r="L1207" s="3">
        <v>6000</v>
      </c>
      <c r="M1207" s="4" t="s">
        <v>30</v>
      </c>
      <c r="N1207" s="4"/>
      <c r="O1207" s="4" t="s">
        <v>77</v>
      </c>
      <c r="P1207" s="3" t="s">
        <v>102</v>
      </c>
      <c r="Q1207" s="11">
        <v>4</v>
      </c>
      <c r="R1207" s="3" t="s">
        <v>102</v>
      </c>
      <c r="S1207" s="10" t="s">
        <v>63</v>
      </c>
      <c r="T1207" s="4" t="str">
        <f>IF(OR(Tabela1[[#This Row],[Grau de Risco]]="Médio",Tabela1[[#This Row],[Grau de Risco]]="Baixo"),"Não","Sim")</f>
        <v>Sim</v>
      </c>
    </row>
    <row r="1208" spans="1:20" hidden="1">
      <c r="A1208" s="28" t="s">
        <v>9</v>
      </c>
      <c r="B1208" s="33" t="s">
        <v>1797</v>
      </c>
      <c r="C1208" s="28" t="s">
        <v>252</v>
      </c>
      <c r="D1208" s="28" t="s">
        <v>1382</v>
      </c>
      <c r="E1208" s="32">
        <v>6</v>
      </c>
      <c r="F1208" s="32">
        <v>8</v>
      </c>
      <c r="G1208" s="32">
        <v>2025</v>
      </c>
      <c r="H1208" s="34" t="s">
        <v>112</v>
      </c>
      <c r="I1208" s="29" t="s">
        <v>1380</v>
      </c>
      <c r="J1208" s="28" t="s">
        <v>29</v>
      </c>
      <c r="K1208" s="32">
        <v>12</v>
      </c>
      <c r="L1208" s="32">
        <v>0</v>
      </c>
      <c r="M1208" s="28" t="s">
        <v>30</v>
      </c>
      <c r="N1208" s="28"/>
      <c r="O1208" s="28" t="s">
        <v>386</v>
      </c>
      <c r="P1208" s="32" t="s">
        <v>31</v>
      </c>
      <c r="Q1208" s="35">
        <v>10</v>
      </c>
      <c r="R1208" s="32" t="s">
        <v>31</v>
      </c>
      <c r="S1208" s="33" t="s">
        <v>63</v>
      </c>
      <c r="T1208" s="4" t="str">
        <f>IF(OR(Tabela1[[#This Row],[Grau de Risco]]="Médio",Tabela1[[#This Row],[Grau de Risco]]="Baixo"),"Não","Sim")</f>
        <v>Não</v>
      </c>
    </row>
    <row r="1209" spans="1:20" hidden="1">
      <c r="A1209" s="4" t="s">
        <v>8</v>
      </c>
      <c r="B1209" s="10" t="s">
        <v>1797</v>
      </c>
      <c r="C1209" s="4" t="s">
        <v>252</v>
      </c>
      <c r="D1209" s="5" t="s">
        <v>1320</v>
      </c>
      <c r="E1209" s="3">
        <v>18</v>
      </c>
      <c r="F1209" s="3">
        <v>8</v>
      </c>
      <c r="G1209" s="3">
        <v>2025</v>
      </c>
      <c r="H1209" s="5" t="s">
        <v>112</v>
      </c>
      <c r="I1209" s="7" t="s">
        <v>1720</v>
      </c>
      <c r="J1209" s="4" t="s">
        <v>290</v>
      </c>
      <c r="K1209" s="3"/>
      <c r="L1209" s="3"/>
      <c r="M1209" s="4"/>
      <c r="N1209" s="4"/>
      <c r="O1209" s="4"/>
      <c r="P1209" s="3" t="s">
        <v>31</v>
      </c>
      <c r="Q1209" s="11">
        <v>10</v>
      </c>
      <c r="R1209" s="3" t="s">
        <v>31</v>
      </c>
      <c r="S1209" s="10" t="s">
        <v>56</v>
      </c>
      <c r="T1209" s="4" t="str">
        <f>IF(OR(Tabela1[[#This Row],[Grau de Risco]]="Médio",Tabela1[[#This Row],[Grau de Risco]]="Baixo"),"Não","Sim")</f>
        <v>Não</v>
      </c>
    </row>
    <row r="1210" spans="1:20" hidden="1">
      <c r="A1210" s="28" t="s">
        <v>7</v>
      </c>
      <c r="B1210" s="33" t="s">
        <v>1797</v>
      </c>
      <c r="C1210" s="28" t="s">
        <v>81</v>
      </c>
      <c r="D1210" s="28" t="s">
        <v>1382</v>
      </c>
      <c r="E1210" s="32">
        <v>17</v>
      </c>
      <c r="F1210" s="32">
        <v>9</v>
      </c>
      <c r="G1210" s="32">
        <v>2025</v>
      </c>
      <c r="H1210" s="34" t="s">
        <v>33</v>
      </c>
      <c r="I1210" s="29" t="s">
        <v>1437</v>
      </c>
      <c r="J1210" s="28" t="s">
        <v>61</v>
      </c>
      <c r="K1210" s="32"/>
      <c r="L1210" s="32"/>
      <c r="M1210" s="28"/>
      <c r="N1210" s="28"/>
      <c r="O1210" s="28" t="s">
        <v>51</v>
      </c>
      <c r="P1210" s="32"/>
      <c r="Q1210" s="35">
        <v>16</v>
      </c>
      <c r="R1210" s="32" t="s">
        <v>52</v>
      </c>
      <c r="S1210" s="10" t="s">
        <v>56</v>
      </c>
      <c r="T1210" s="4" t="str">
        <f>IF(OR(Tabela1[[#This Row],[Grau de Risco]]="Médio",Tabela1[[#This Row],[Grau de Risco]]="Baixo"),"Não","Sim")</f>
        <v>Não</v>
      </c>
    </row>
    <row r="1211" spans="1:20" hidden="1">
      <c r="A1211" s="28" t="s">
        <v>7</v>
      </c>
      <c r="B1211" s="33" t="s">
        <v>1800</v>
      </c>
      <c r="C1211" s="28" t="s">
        <v>252</v>
      </c>
      <c r="D1211" s="38" t="s">
        <v>1393</v>
      </c>
      <c r="E1211" s="32">
        <v>2</v>
      </c>
      <c r="F1211" s="32">
        <v>9</v>
      </c>
      <c r="G1211" s="32">
        <v>2025</v>
      </c>
      <c r="H1211" s="38" t="s">
        <v>127</v>
      </c>
      <c r="I1211" s="7" t="s">
        <v>1453</v>
      </c>
      <c r="J1211" s="28" t="s">
        <v>54</v>
      </c>
      <c r="K1211" s="32" t="s">
        <v>80</v>
      </c>
      <c r="L1211" s="32" t="s">
        <v>80</v>
      </c>
      <c r="M1211" s="28" t="s">
        <v>30</v>
      </c>
      <c r="N1211" s="28" t="s">
        <v>80</v>
      </c>
      <c r="O1211" s="4" t="s">
        <v>77</v>
      </c>
      <c r="P1211" s="32" t="s">
        <v>44</v>
      </c>
      <c r="Q1211" s="35">
        <v>15</v>
      </c>
      <c r="R1211" s="3" t="s">
        <v>52</v>
      </c>
      <c r="S1211" s="33" t="s">
        <v>63</v>
      </c>
      <c r="T1211" s="4" t="str">
        <f>IF(OR(Tabela1[[#This Row],[Grau de Risco]]="Médio",Tabela1[[#This Row],[Grau de Risco]]="Baixo"),"Não","Sim")</f>
        <v>Não</v>
      </c>
    </row>
    <row r="1212" spans="1:20">
      <c r="A1212" s="28" t="s">
        <v>7</v>
      </c>
      <c r="B1212" s="10" t="s">
        <v>1809</v>
      </c>
      <c r="C1212" s="28" t="s">
        <v>26</v>
      </c>
      <c r="D1212" s="28" t="s">
        <v>47</v>
      </c>
      <c r="E1212" s="32">
        <v>31</v>
      </c>
      <c r="F1212" s="32">
        <v>10</v>
      </c>
      <c r="G1212" s="32">
        <v>2025</v>
      </c>
      <c r="H1212" s="34" t="s">
        <v>33</v>
      </c>
      <c r="I1212" s="7" t="s">
        <v>1491</v>
      </c>
      <c r="J1212" s="28" t="s">
        <v>93</v>
      </c>
      <c r="K1212" s="32">
        <v>0</v>
      </c>
      <c r="L1212" s="32">
        <v>0</v>
      </c>
      <c r="M1212" s="28" t="s">
        <v>30</v>
      </c>
      <c r="N1212" s="28">
        <v>0</v>
      </c>
      <c r="O1212" s="28"/>
      <c r="P1212" s="32"/>
      <c r="Q1212" s="35">
        <v>11</v>
      </c>
      <c r="R1212" s="32" t="s">
        <v>31</v>
      </c>
      <c r="S1212" s="33" t="s">
        <v>63</v>
      </c>
      <c r="T1212" s="4" t="str">
        <f>IF(OR(Tabela1[[#This Row],[Grau de Risco]]="Médio",Tabela1[[#This Row],[Grau de Risco]]="Baixo"),"Não","Sim")</f>
        <v>Não</v>
      </c>
    </row>
    <row r="1213" spans="1:20" hidden="1">
      <c r="A1213" s="28" t="s">
        <v>7</v>
      </c>
      <c r="B1213" s="33" t="s">
        <v>1800</v>
      </c>
      <c r="C1213" s="28" t="s">
        <v>252</v>
      </c>
      <c r="D1213" s="38" t="s">
        <v>1320</v>
      </c>
      <c r="E1213" s="32">
        <v>15</v>
      </c>
      <c r="F1213" s="32">
        <v>10</v>
      </c>
      <c r="G1213" s="32">
        <v>2025</v>
      </c>
      <c r="H1213" s="38" t="s">
        <v>71</v>
      </c>
      <c r="I1213" s="7" t="s">
        <v>1505</v>
      </c>
      <c r="J1213" s="4" t="s">
        <v>35</v>
      </c>
      <c r="K1213" s="32" t="s">
        <v>80</v>
      </c>
      <c r="L1213" s="32" t="s">
        <v>80</v>
      </c>
      <c r="M1213" s="28" t="s">
        <v>30</v>
      </c>
      <c r="N1213" s="28" t="s">
        <v>80</v>
      </c>
      <c r="O1213" s="4" t="s">
        <v>167</v>
      </c>
      <c r="P1213" s="32" t="s">
        <v>44</v>
      </c>
      <c r="Q1213" s="35">
        <v>7</v>
      </c>
      <c r="R1213" s="3" t="s">
        <v>102</v>
      </c>
      <c r="S1213" s="33" t="s">
        <v>63</v>
      </c>
      <c r="T1213" s="4" t="str">
        <f>IF(OR(Tabela1[[#This Row],[Grau de Risco]]="Médio",Tabela1[[#This Row],[Grau de Risco]]="Baixo"),"Não","Sim")</f>
        <v>Sim</v>
      </c>
    </row>
    <row r="1214" spans="1:20" hidden="1">
      <c r="A1214" s="28" t="s">
        <v>8</v>
      </c>
      <c r="B1214" s="10" t="s">
        <v>1803</v>
      </c>
      <c r="C1214" s="4" t="s">
        <v>252</v>
      </c>
      <c r="D1214" s="4" t="s">
        <v>1409</v>
      </c>
      <c r="E1214" s="3">
        <v>6</v>
      </c>
      <c r="F1214" s="3">
        <v>11</v>
      </c>
      <c r="G1214" s="3">
        <v>2025</v>
      </c>
      <c r="H1214" s="21" t="s">
        <v>27</v>
      </c>
      <c r="I1214" s="7" t="s">
        <v>1557</v>
      </c>
      <c r="J1214" s="4" t="s">
        <v>69</v>
      </c>
      <c r="K1214" s="3" t="s">
        <v>44</v>
      </c>
      <c r="L1214" s="3" t="s">
        <v>44</v>
      </c>
      <c r="M1214" s="4" t="s">
        <v>30</v>
      </c>
      <c r="N1214" s="4" t="s">
        <v>44</v>
      </c>
      <c r="O1214" s="4" t="s">
        <v>51</v>
      </c>
      <c r="P1214" s="3" t="s">
        <v>52</v>
      </c>
      <c r="Q1214" s="11">
        <v>14</v>
      </c>
      <c r="R1214" s="3" t="str">
        <f>IF(Q1214="","",IF(Q1214&lt;4,"Crítico",IF(Q1214&lt;9,"Alto",IF(Q1214&lt;14,"Médio","Baixo"))))</f>
        <v>Baixo</v>
      </c>
      <c r="S1214" s="10" t="s">
        <v>56</v>
      </c>
      <c r="T1214" s="4" t="str">
        <f>IF(OR(Tabela1[[#This Row],[Grau de Risco]]="Médio",Tabela1[[#This Row],[Grau de Risco]]="Baixo"),"Não","Sim")</f>
        <v>Não</v>
      </c>
    </row>
    <row r="1215" spans="1:20">
      <c r="A1215" s="4" t="s">
        <v>8</v>
      </c>
      <c r="B1215" s="10" t="s">
        <v>1809</v>
      </c>
      <c r="C1215" s="4" t="s">
        <v>133</v>
      </c>
      <c r="D1215" s="38" t="s">
        <v>47</v>
      </c>
      <c r="E1215" s="3">
        <v>17</v>
      </c>
      <c r="F1215" s="3">
        <v>7</v>
      </c>
      <c r="G1215" s="3">
        <v>2020</v>
      </c>
      <c r="H1215" s="5" t="s">
        <v>71</v>
      </c>
      <c r="I1215" s="7" t="s">
        <v>138</v>
      </c>
      <c r="J1215" s="4" t="s">
        <v>115</v>
      </c>
      <c r="K1215" s="3">
        <v>0</v>
      </c>
      <c r="L1215" s="3">
        <v>0</v>
      </c>
      <c r="M1215" s="4" t="s">
        <v>30</v>
      </c>
      <c r="N1215" s="4"/>
      <c r="O1215" s="4" t="s">
        <v>85</v>
      </c>
      <c r="P1215" s="3" t="s">
        <v>31</v>
      </c>
      <c r="Q1215" s="11">
        <v>9</v>
      </c>
      <c r="R1215" s="3" t="str">
        <f>IF(Q1215="","",IF(Q1215&lt;4,"Crítico",IF(Q1215&lt;9,"Alto",IF(Q1215&lt;14,"Médio","Baixo"))))</f>
        <v>Médio</v>
      </c>
      <c r="S1215" s="10" t="s">
        <v>63</v>
      </c>
      <c r="T1215" s="4" t="str">
        <f>IF(OR(Tabela1[[#This Row],[Grau de Risco]]="Médio",Tabela1[[#This Row],[Grau de Risco]]="Baixo"),"Não","Sim")</f>
        <v>Não</v>
      </c>
    </row>
    <row r="1216" spans="1:20" hidden="1">
      <c r="A1216" s="5" t="s">
        <v>175</v>
      </c>
      <c r="B1216" s="6" t="s">
        <v>1805</v>
      </c>
      <c r="C1216" s="5" t="s">
        <v>26</v>
      </c>
      <c r="D1216" s="38" t="s">
        <v>1393</v>
      </c>
      <c r="E1216" s="2">
        <v>21</v>
      </c>
      <c r="F1216" s="2">
        <v>9</v>
      </c>
      <c r="G1216" s="2">
        <v>2021</v>
      </c>
      <c r="H1216" s="36" t="s">
        <v>66</v>
      </c>
      <c r="I1216" s="5" t="s">
        <v>176</v>
      </c>
      <c r="J1216" s="5" t="s">
        <v>54</v>
      </c>
      <c r="K1216" s="2">
        <v>0</v>
      </c>
      <c r="L1216" s="2">
        <v>0</v>
      </c>
      <c r="M1216" s="5" t="s">
        <v>30</v>
      </c>
      <c r="N1216" s="5">
        <v>0</v>
      </c>
      <c r="O1216" s="5" t="s">
        <v>4</v>
      </c>
      <c r="P1216" s="2" t="s">
        <v>31</v>
      </c>
      <c r="Q1216" s="2">
        <v>13</v>
      </c>
      <c r="R1216" s="2" t="s">
        <v>31</v>
      </c>
      <c r="S1216" s="5" t="s">
        <v>56</v>
      </c>
      <c r="T1216" s="4" t="str">
        <f>IF(OR(Tabela1[[#This Row],[Grau de Risco]]="Médio",Tabela1[[#This Row],[Grau de Risco]]="Baixo"),"Não","Sim")</f>
        <v>Não</v>
      </c>
    </row>
    <row r="1217" spans="1:20" hidden="1">
      <c r="A1217" s="4" t="s">
        <v>2</v>
      </c>
      <c r="B1217" s="10" t="s">
        <v>1800</v>
      </c>
      <c r="C1217" s="4" t="s">
        <v>133</v>
      </c>
      <c r="D1217" s="38" t="s">
        <v>1393</v>
      </c>
      <c r="E1217" s="3">
        <v>16</v>
      </c>
      <c r="F1217" s="3">
        <v>11</v>
      </c>
      <c r="G1217" s="3">
        <v>2021</v>
      </c>
      <c r="H1217" s="36" t="s">
        <v>66</v>
      </c>
      <c r="I1217" s="7" t="s">
        <v>208</v>
      </c>
      <c r="J1217" s="4" t="s">
        <v>111</v>
      </c>
      <c r="K1217" s="3">
        <v>5</v>
      </c>
      <c r="L1217" s="3">
        <v>0</v>
      </c>
      <c r="M1217" s="4" t="s">
        <v>30</v>
      </c>
      <c r="N1217" s="4"/>
      <c r="O1217" s="4" t="s">
        <v>4</v>
      </c>
      <c r="P1217" s="3" t="s">
        <v>31</v>
      </c>
      <c r="Q1217" s="11">
        <v>13</v>
      </c>
      <c r="R1217" s="3" t="str">
        <f>IF(Q1217="","",IF(Q1217&lt;4,"Crítico",IF(Q1217&lt;9,"Alto",IF(Q1217&lt;14,"Médio","Baixo"))))</f>
        <v>Médio</v>
      </c>
      <c r="S1217" s="10" t="s">
        <v>63</v>
      </c>
      <c r="T1217" s="4" t="str">
        <f>IF(OR(Tabela1[[#This Row],[Grau de Risco]]="Médio",Tabela1[[#This Row],[Grau de Risco]]="Baixo"),"Não","Sim")</f>
        <v>Não</v>
      </c>
    </row>
    <row r="1218" spans="1:20" s="14" customFormat="1">
      <c r="A1218" s="17" t="s">
        <v>240</v>
      </c>
      <c r="B1218" s="10" t="s">
        <v>1809</v>
      </c>
      <c r="C1218" s="17" t="s">
        <v>89</v>
      </c>
      <c r="D1218" s="88" t="s">
        <v>148</v>
      </c>
      <c r="E1218" s="16">
        <v>5</v>
      </c>
      <c r="F1218" s="16">
        <v>6</v>
      </c>
      <c r="G1218" s="16">
        <v>2022</v>
      </c>
      <c r="H1218" s="74" t="s">
        <v>59</v>
      </c>
      <c r="I1218" s="89" t="s">
        <v>1816</v>
      </c>
      <c r="J1218" s="17" t="s">
        <v>91</v>
      </c>
      <c r="K1218" s="16">
        <v>0</v>
      </c>
      <c r="L1218" s="16">
        <v>6000</v>
      </c>
      <c r="M1218" s="17" t="s">
        <v>30</v>
      </c>
      <c r="N1218" s="17"/>
      <c r="O1218" s="17" t="s">
        <v>4</v>
      </c>
      <c r="P1218" s="16" t="s">
        <v>102</v>
      </c>
      <c r="Q1218" s="90">
        <v>2</v>
      </c>
      <c r="R1218" s="16" t="str">
        <f>IF(Q1218="","",IF(Q1218&lt;4,"Crítico",IF(Q1218&lt;9,"Alto",IF(Q1218&lt;14,"Médio","Baixo"))))</f>
        <v>Crítico</v>
      </c>
      <c r="S1218" s="23" t="s">
        <v>63</v>
      </c>
      <c r="T1218" s="17" t="str">
        <f>IF(OR(Tabela1[[#This Row],[Grau de Risco]]="Médio",Tabela1[[#This Row],[Grau de Risco]]="Baixo"),"Não","Sim")</f>
        <v>Sim</v>
      </c>
    </row>
    <row r="1219" spans="1:20" hidden="1">
      <c r="A1219" s="5" t="s">
        <v>2</v>
      </c>
      <c r="B1219" s="4" t="s">
        <v>1793</v>
      </c>
      <c r="C1219" s="5" t="s">
        <v>252</v>
      </c>
      <c r="D1219" s="5" t="s">
        <v>36</v>
      </c>
      <c r="E1219" s="3">
        <v>5</v>
      </c>
      <c r="F1219" s="2">
        <v>3</v>
      </c>
      <c r="G1219" s="3">
        <v>2022</v>
      </c>
      <c r="H1219" s="5" t="s">
        <v>48</v>
      </c>
      <c r="I1219" s="7" t="s">
        <v>253</v>
      </c>
      <c r="J1219" s="4" t="s">
        <v>154</v>
      </c>
      <c r="K1219" s="3">
        <v>3</v>
      </c>
      <c r="L1219" s="3">
        <v>0</v>
      </c>
      <c r="M1219" s="5" t="s">
        <v>30</v>
      </c>
      <c r="N1219" s="4">
        <v>3</v>
      </c>
      <c r="O1219" s="4" t="s">
        <v>129</v>
      </c>
      <c r="P1219" s="3" t="s">
        <v>52</v>
      </c>
      <c r="Q1219" s="3">
        <v>21</v>
      </c>
      <c r="R1219" s="2" t="s">
        <v>52</v>
      </c>
      <c r="S1219" s="10" t="s">
        <v>32</v>
      </c>
      <c r="T1219" s="4" t="str">
        <f>IF(OR(Tabela1[[#This Row],[Grau de Risco]]="Médio",Tabela1[[#This Row],[Grau de Risco]]="Baixo"),"Não","Sim")</f>
        <v>Não</v>
      </c>
    </row>
    <row r="1220" spans="1:20">
      <c r="A1220" s="4" t="s">
        <v>2</v>
      </c>
      <c r="B1220" s="10" t="s">
        <v>1809</v>
      </c>
      <c r="C1220" s="4"/>
      <c r="D1220" s="38" t="s">
        <v>1320</v>
      </c>
      <c r="E1220" s="3">
        <v>17</v>
      </c>
      <c r="F1220" s="3">
        <v>10</v>
      </c>
      <c r="G1220" s="3">
        <v>2022</v>
      </c>
      <c r="H1220" s="36" t="s">
        <v>66</v>
      </c>
      <c r="I1220" s="7" t="s">
        <v>297</v>
      </c>
      <c r="J1220" s="4" t="s">
        <v>61</v>
      </c>
      <c r="K1220" s="3">
        <v>1</v>
      </c>
      <c r="L1220" s="3">
        <v>0</v>
      </c>
      <c r="M1220" s="4" t="s">
        <v>30</v>
      </c>
      <c r="N1220" s="4"/>
      <c r="O1220" s="4" t="s">
        <v>51</v>
      </c>
      <c r="P1220" s="3" t="s">
        <v>52</v>
      </c>
      <c r="Q1220" s="11">
        <v>4</v>
      </c>
      <c r="R1220" s="3" t="str">
        <f>IF(Q1220="","",IF(Q1220&lt;4,"Crítico",IF(Q1220&lt;9,"Alto",IF(Q1220&lt;14,"Médio","Baixo"))))</f>
        <v>Alto</v>
      </c>
      <c r="S1220" s="10" t="s">
        <v>63</v>
      </c>
      <c r="T1220" s="4" t="str">
        <f>IF(OR(Tabela1[[#This Row],[Grau de Risco]]="Médio",Tabela1[[#This Row],[Grau de Risco]]="Baixo"),"Não","Sim")</f>
        <v>Sim</v>
      </c>
    </row>
    <row r="1221" spans="1:20">
      <c r="A1221" s="4" t="s">
        <v>10</v>
      </c>
      <c r="B1221" s="10" t="s">
        <v>1809</v>
      </c>
      <c r="C1221" s="4"/>
      <c r="D1221" s="38" t="s">
        <v>1382</v>
      </c>
      <c r="E1221" s="3">
        <v>27</v>
      </c>
      <c r="F1221" s="3">
        <v>7</v>
      </c>
      <c r="G1221" s="3">
        <v>2022</v>
      </c>
      <c r="H1221" s="4" t="s">
        <v>27</v>
      </c>
      <c r="I1221" s="7" t="s">
        <v>338</v>
      </c>
      <c r="J1221" s="4" t="s">
        <v>79</v>
      </c>
      <c r="K1221" s="3" t="s">
        <v>62</v>
      </c>
      <c r="L1221" s="3">
        <v>0</v>
      </c>
      <c r="M1221" s="4" t="s">
        <v>30</v>
      </c>
      <c r="N1221" s="4">
        <v>0</v>
      </c>
      <c r="O1221" s="4" t="s">
        <v>45</v>
      </c>
      <c r="P1221" s="3" t="s">
        <v>52</v>
      </c>
      <c r="Q1221" s="11">
        <v>14</v>
      </c>
      <c r="R1221" s="3" t="s">
        <v>52</v>
      </c>
      <c r="S1221" s="5" t="s">
        <v>56</v>
      </c>
      <c r="T1221" s="4" t="str">
        <f>IF(OR(Tabela1[[#This Row],[Grau de Risco]]="Médio",Tabela1[[#This Row],[Grau de Risco]]="Baixo"),"Não","Sim")</f>
        <v>Não</v>
      </c>
    </row>
    <row r="1222" spans="1:20" hidden="1">
      <c r="A1222" s="5" t="s">
        <v>2</v>
      </c>
      <c r="B1222" s="6" t="s">
        <v>1793</v>
      </c>
      <c r="C1222" s="5" t="s">
        <v>26</v>
      </c>
      <c r="D1222" s="58" t="s">
        <v>1409</v>
      </c>
      <c r="E1222" s="2">
        <v>9</v>
      </c>
      <c r="F1222" s="2">
        <v>6</v>
      </c>
      <c r="G1222" s="2">
        <v>2022</v>
      </c>
      <c r="H1222" s="36" t="s">
        <v>107</v>
      </c>
      <c r="I1222" s="5" t="s">
        <v>358</v>
      </c>
      <c r="J1222" s="5" t="s">
        <v>35</v>
      </c>
      <c r="K1222" s="2">
        <v>5</v>
      </c>
      <c r="L1222" s="2">
        <v>0</v>
      </c>
      <c r="M1222" s="5" t="s">
        <v>30</v>
      </c>
      <c r="N1222" s="5">
        <v>0</v>
      </c>
      <c r="O1222" s="5" t="s">
        <v>74</v>
      </c>
      <c r="P1222" s="2" t="s">
        <v>31</v>
      </c>
      <c r="Q1222" s="2">
        <v>13</v>
      </c>
      <c r="R1222" s="2" t="s">
        <v>31</v>
      </c>
      <c r="S1222" s="10" t="s">
        <v>32</v>
      </c>
      <c r="T1222" s="4" t="str">
        <f>IF(OR(Tabela1[[#This Row],[Grau de Risco]]="Médio",Tabela1[[#This Row],[Grau de Risco]]="Baixo"),"Não","Sim")</f>
        <v>Não</v>
      </c>
    </row>
    <row r="1223" spans="1:20">
      <c r="A1223" s="5" t="s">
        <v>8</v>
      </c>
      <c r="B1223" s="10" t="s">
        <v>1809</v>
      </c>
      <c r="C1223" s="5" t="s">
        <v>26</v>
      </c>
      <c r="D1223" s="38" t="s">
        <v>1382</v>
      </c>
      <c r="E1223" s="2">
        <v>21</v>
      </c>
      <c r="F1223" s="2">
        <v>12</v>
      </c>
      <c r="G1223" s="2">
        <v>2022</v>
      </c>
      <c r="H1223" s="36" t="s">
        <v>82</v>
      </c>
      <c r="I1223" s="5" t="s">
        <v>371</v>
      </c>
      <c r="J1223" s="5" t="s">
        <v>38</v>
      </c>
      <c r="K1223" s="2">
        <v>0</v>
      </c>
      <c r="L1223" s="2">
        <v>0</v>
      </c>
      <c r="M1223" s="5" t="s">
        <v>30</v>
      </c>
      <c r="N1223" s="5">
        <v>0</v>
      </c>
      <c r="O1223" s="5" t="s">
        <v>4</v>
      </c>
      <c r="P1223" s="2" t="s">
        <v>31</v>
      </c>
      <c r="Q1223" s="2">
        <v>13</v>
      </c>
      <c r="R1223" s="2" t="s">
        <v>31</v>
      </c>
      <c r="S1223" s="5" t="s">
        <v>141</v>
      </c>
      <c r="T1223" s="4" t="str">
        <f>IF(OR(Tabela1[[#This Row],[Grau de Risco]]="Médio",Tabela1[[#This Row],[Grau de Risco]]="Baixo"),"Não","Sim")</f>
        <v>Não</v>
      </c>
    </row>
    <row r="1224" spans="1:20">
      <c r="A1224" s="5" t="s">
        <v>2</v>
      </c>
      <c r="B1224" s="10" t="s">
        <v>1809</v>
      </c>
      <c r="C1224" s="5" t="s">
        <v>81</v>
      </c>
      <c r="D1224" s="38" t="s">
        <v>1393</v>
      </c>
      <c r="E1224" s="2">
        <v>2</v>
      </c>
      <c r="F1224" s="2">
        <v>8</v>
      </c>
      <c r="G1224" s="2">
        <v>2022</v>
      </c>
      <c r="H1224" s="5" t="s">
        <v>48</v>
      </c>
      <c r="I1224" s="5" t="s">
        <v>372</v>
      </c>
      <c r="J1224" s="5" t="s">
        <v>38</v>
      </c>
      <c r="K1224" s="2">
        <v>90</v>
      </c>
      <c r="L1224" s="2">
        <v>90</v>
      </c>
      <c r="M1224" s="5" t="s">
        <v>30</v>
      </c>
      <c r="O1224" s="5" t="s">
        <v>70</v>
      </c>
      <c r="P1224" s="2" t="s">
        <v>31</v>
      </c>
      <c r="Q1224" s="2">
        <v>4</v>
      </c>
      <c r="R1224" s="2" t="s">
        <v>102</v>
      </c>
      <c r="S1224" s="5" t="s">
        <v>63</v>
      </c>
      <c r="T1224" s="4" t="str">
        <f>IF(OR(Tabela1[[#This Row],[Grau de Risco]]="Médio",Tabela1[[#This Row],[Grau de Risco]]="Baixo"),"Não","Sim")</f>
        <v>Sim</v>
      </c>
    </row>
    <row r="1225" spans="1:20" hidden="1">
      <c r="A1225" s="4" t="s">
        <v>2</v>
      </c>
      <c r="B1225" s="10" t="s">
        <v>1793</v>
      </c>
      <c r="C1225" s="4"/>
      <c r="D1225" s="38" t="s">
        <v>1320</v>
      </c>
      <c r="E1225" s="3">
        <v>20</v>
      </c>
      <c r="F1225" s="3">
        <v>6</v>
      </c>
      <c r="G1225" s="3">
        <v>2022</v>
      </c>
      <c r="H1225" s="5" t="s">
        <v>48</v>
      </c>
      <c r="I1225" s="7" t="s">
        <v>387</v>
      </c>
      <c r="J1225" s="4" t="s">
        <v>93</v>
      </c>
      <c r="K1225" s="3">
        <v>2</v>
      </c>
      <c r="L1225" s="3">
        <v>0</v>
      </c>
      <c r="M1225" s="4" t="s">
        <v>30</v>
      </c>
      <c r="N1225" s="4">
        <v>0</v>
      </c>
      <c r="O1225" s="4" t="s">
        <v>129</v>
      </c>
      <c r="P1225" s="3" t="s">
        <v>52</v>
      </c>
      <c r="Q1225" s="11">
        <v>18</v>
      </c>
      <c r="R1225" s="3" t="s">
        <v>52</v>
      </c>
      <c r="S1225" s="5" t="s">
        <v>56</v>
      </c>
      <c r="T1225" s="4" t="str">
        <f>IF(OR(Tabela1[[#This Row],[Grau de Risco]]="Médio",Tabela1[[#This Row],[Grau de Risco]]="Baixo"),"Não","Sim")</f>
        <v>Não</v>
      </c>
    </row>
    <row r="1226" spans="1:20">
      <c r="A1226" s="4" t="s">
        <v>2</v>
      </c>
      <c r="B1226" s="10" t="s">
        <v>1809</v>
      </c>
      <c r="C1226" s="5" t="s">
        <v>26</v>
      </c>
      <c r="D1226" s="58" t="s">
        <v>1409</v>
      </c>
      <c r="E1226" s="3">
        <v>7</v>
      </c>
      <c r="F1226" s="3">
        <v>12</v>
      </c>
      <c r="G1226" s="3">
        <v>2023</v>
      </c>
      <c r="H1226" s="5" t="s">
        <v>48</v>
      </c>
      <c r="I1226" s="7" t="s">
        <v>404</v>
      </c>
      <c r="J1226" s="5" t="s">
        <v>169</v>
      </c>
      <c r="K1226" s="3">
        <v>15</v>
      </c>
      <c r="L1226" s="3">
        <v>0</v>
      </c>
      <c r="M1226" s="4" t="s">
        <v>30</v>
      </c>
      <c r="N1226" s="4">
        <v>15</v>
      </c>
      <c r="O1226" s="4" t="s">
        <v>159</v>
      </c>
      <c r="P1226" s="3" t="s">
        <v>31</v>
      </c>
      <c r="Q1226" s="3">
        <v>11</v>
      </c>
      <c r="R1226" s="11" t="s">
        <v>31</v>
      </c>
      <c r="S1226" s="10" t="s">
        <v>32</v>
      </c>
      <c r="T1226" s="4" t="str">
        <f>IF(OR(Tabela1[[#This Row],[Grau de Risco]]="Médio",Tabela1[[#This Row],[Grau de Risco]]="Baixo"),"Não","Sim")</f>
        <v>Não</v>
      </c>
    </row>
    <row r="1227" spans="1:20">
      <c r="A1227" s="5" t="s">
        <v>7</v>
      </c>
      <c r="B1227" s="10" t="s">
        <v>1809</v>
      </c>
      <c r="C1227" s="4" t="s">
        <v>26</v>
      </c>
      <c r="D1227" s="38" t="s">
        <v>47</v>
      </c>
      <c r="E1227" s="3">
        <v>10</v>
      </c>
      <c r="F1227" s="3">
        <v>11</v>
      </c>
      <c r="G1227" s="3">
        <v>2023</v>
      </c>
      <c r="H1227" s="36" t="s">
        <v>112</v>
      </c>
      <c r="I1227" s="7" t="s">
        <v>424</v>
      </c>
      <c r="J1227" s="4" t="s">
        <v>38</v>
      </c>
      <c r="K1227" s="3" t="s">
        <v>44</v>
      </c>
      <c r="L1227" s="3"/>
      <c r="M1227" s="4"/>
      <c r="N1227" s="4"/>
      <c r="O1227" s="4" t="s">
        <v>77</v>
      </c>
      <c r="P1227" s="3"/>
      <c r="Q1227" s="11">
        <v>15</v>
      </c>
      <c r="R1227" s="3" t="s">
        <v>52</v>
      </c>
      <c r="S1227" s="10" t="s">
        <v>63</v>
      </c>
      <c r="T1227" s="4" t="str">
        <f>IF(OR(Tabela1[[#This Row],[Grau de Risco]]="Médio",Tabela1[[#This Row],[Grau de Risco]]="Baixo"),"Não","Sim")</f>
        <v>Não</v>
      </c>
    </row>
    <row r="1228" spans="1:20">
      <c r="A1228" s="5" t="s">
        <v>7</v>
      </c>
      <c r="B1228" s="10" t="s">
        <v>1809</v>
      </c>
      <c r="C1228" s="5" t="s">
        <v>26</v>
      </c>
      <c r="D1228" s="38" t="s">
        <v>1382</v>
      </c>
      <c r="E1228" s="3">
        <v>8</v>
      </c>
      <c r="F1228" s="3">
        <v>8</v>
      </c>
      <c r="G1228" s="3">
        <v>2023</v>
      </c>
      <c r="H1228" s="36" t="s">
        <v>33</v>
      </c>
      <c r="I1228" s="7" t="s">
        <v>435</v>
      </c>
      <c r="J1228" s="4" t="s">
        <v>84</v>
      </c>
      <c r="K1228" s="3" t="s">
        <v>44</v>
      </c>
      <c r="L1228" s="3">
        <v>0</v>
      </c>
      <c r="M1228" s="4" t="s">
        <v>30</v>
      </c>
      <c r="N1228" s="4">
        <v>0</v>
      </c>
      <c r="O1228" s="4" t="s">
        <v>77</v>
      </c>
      <c r="P1228" s="3"/>
      <c r="Q1228" s="11">
        <v>15</v>
      </c>
      <c r="R1228" s="3" t="s">
        <v>52</v>
      </c>
      <c r="S1228" s="5" t="s">
        <v>56</v>
      </c>
      <c r="T1228" s="4" t="str">
        <f>IF(OR(Tabela1[[#This Row],[Grau de Risco]]="Médio",Tabela1[[#This Row],[Grau de Risco]]="Baixo"),"Não","Sim")</f>
        <v>Não</v>
      </c>
    </row>
    <row r="1229" spans="1:20" hidden="1">
      <c r="A1229" s="4" t="s">
        <v>2</v>
      </c>
      <c r="B1229" s="10" t="s">
        <v>1793</v>
      </c>
      <c r="C1229" s="4"/>
      <c r="D1229" s="38" t="s">
        <v>1320</v>
      </c>
      <c r="E1229" s="3">
        <v>29</v>
      </c>
      <c r="F1229" s="3">
        <v>5</v>
      </c>
      <c r="G1229" s="3">
        <v>2023</v>
      </c>
      <c r="H1229" s="4" t="s">
        <v>27</v>
      </c>
      <c r="I1229" s="7" t="s">
        <v>494</v>
      </c>
      <c r="J1229" s="4" t="s">
        <v>61</v>
      </c>
      <c r="K1229" s="3">
        <v>14</v>
      </c>
      <c r="L1229" s="3">
        <v>0</v>
      </c>
      <c r="M1229" s="4" t="s">
        <v>30</v>
      </c>
      <c r="N1229" s="4"/>
      <c r="O1229" s="4" t="s">
        <v>159</v>
      </c>
      <c r="P1229" s="3" t="s">
        <v>31</v>
      </c>
      <c r="Q1229" s="11">
        <v>11</v>
      </c>
      <c r="R1229" s="3" t="str">
        <f>IF(Q1229="","",IF(Q1229&lt;4,"Crítico",IF(Q1229&lt;9,"Alto",IF(Q1229&lt;14,"Médio","Baixo"))))</f>
        <v>Médio</v>
      </c>
      <c r="S1229" s="5" t="s">
        <v>56</v>
      </c>
      <c r="T1229" s="4" t="str">
        <f>IF(OR(Tabela1[[#This Row],[Grau de Risco]]="Médio",Tabela1[[#This Row],[Grau de Risco]]="Baixo"),"Não","Sim")</f>
        <v>Não</v>
      </c>
    </row>
    <row r="1230" spans="1:20">
      <c r="A1230" s="4" t="s">
        <v>240</v>
      </c>
      <c r="B1230" s="10" t="s">
        <v>1809</v>
      </c>
      <c r="C1230" s="4" t="s">
        <v>81</v>
      </c>
      <c r="D1230" s="38" t="s">
        <v>1382</v>
      </c>
      <c r="E1230" s="3">
        <v>10</v>
      </c>
      <c r="F1230" s="3">
        <v>5</v>
      </c>
      <c r="G1230" s="3">
        <v>2023</v>
      </c>
      <c r="H1230" s="34" t="s">
        <v>59</v>
      </c>
      <c r="I1230" s="7" t="s">
        <v>1832</v>
      </c>
      <c r="J1230" s="4" t="s">
        <v>73</v>
      </c>
      <c r="K1230" s="3">
        <v>6000</v>
      </c>
      <c r="L1230" s="3">
        <v>6000</v>
      </c>
      <c r="M1230" s="4" t="s">
        <v>30</v>
      </c>
      <c r="N1230" s="4"/>
      <c r="O1230" s="4" t="s">
        <v>74</v>
      </c>
      <c r="P1230" s="3" t="s">
        <v>102</v>
      </c>
      <c r="Q1230" s="11">
        <v>2</v>
      </c>
      <c r="R1230" s="3" t="str">
        <f>IF(Q1230="","",IF(Q1230&lt;4,"Crítico",IF(Q1230&lt;9,"Alto",IF(Q1230&lt;14,"Médio","Baixo"))))</f>
        <v>Crítico</v>
      </c>
      <c r="S1230" s="5" t="s">
        <v>56</v>
      </c>
      <c r="T1230" s="4" t="str">
        <f>IF(OR(Tabela1[[#This Row],[Grau de Risco]]="Médio",Tabela1[[#This Row],[Grau de Risco]]="Baixo"),"Não","Sim")</f>
        <v>Sim</v>
      </c>
    </row>
    <row r="1231" spans="1:20" hidden="1">
      <c r="A1231" s="4" t="s">
        <v>8</v>
      </c>
      <c r="B1231" s="10" t="s">
        <v>1793</v>
      </c>
      <c r="C1231" s="4"/>
      <c r="D1231" s="38" t="s">
        <v>47</v>
      </c>
      <c r="E1231" s="3">
        <v>5</v>
      </c>
      <c r="F1231" s="3">
        <v>5</v>
      </c>
      <c r="G1231" s="3">
        <v>2023</v>
      </c>
      <c r="H1231" s="21" t="s">
        <v>256</v>
      </c>
      <c r="I1231" s="7" t="s">
        <v>531</v>
      </c>
      <c r="J1231" s="4" t="s">
        <v>61</v>
      </c>
      <c r="K1231" s="3">
        <v>0</v>
      </c>
      <c r="L1231" s="3">
        <v>0</v>
      </c>
      <c r="M1231" s="4" t="s">
        <v>30</v>
      </c>
      <c r="N1231" s="4"/>
      <c r="O1231" s="4" t="s">
        <v>85</v>
      </c>
      <c r="P1231" s="3" t="s">
        <v>52</v>
      </c>
      <c r="Q1231" s="11">
        <v>7</v>
      </c>
      <c r="R1231" s="3" t="str">
        <f>IF(Q1231="","",IF(Q1231&lt;4,"Crítico",IF(Q1231&lt;9,"Alto",IF(Q1231&lt;14,"Médio","Baixo"))))</f>
        <v>Alto</v>
      </c>
      <c r="S1231" s="5" t="s">
        <v>40</v>
      </c>
      <c r="T1231" s="4" t="str">
        <f>IF(OR(Tabela1[[#This Row],[Grau de Risco]]="Médio",Tabela1[[#This Row],[Grau de Risco]]="Baixo"),"Não","Sim")</f>
        <v>Sim</v>
      </c>
    </row>
    <row r="1232" spans="1:20" hidden="1">
      <c r="A1232" s="4" t="s">
        <v>10</v>
      </c>
      <c r="B1232" s="10" t="s">
        <v>1793</v>
      </c>
      <c r="C1232" s="5" t="s">
        <v>26</v>
      </c>
      <c r="D1232" s="38" t="s">
        <v>1320</v>
      </c>
      <c r="E1232" s="3">
        <v>14</v>
      </c>
      <c r="F1232" s="3">
        <v>8</v>
      </c>
      <c r="G1232" s="3">
        <v>2023</v>
      </c>
      <c r="H1232" s="36" t="s">
        <v>112</v>
      </c>
      <c r="I1232" s="7" t="s">
        <v>581</v>
      </c>
      <c r="J1232" s="4" t="s">
        <v>35</v>
      </c>
      <c r="K1232" s="3">
        <v>0</v>
      </c>
      <c r="L1232" s="3">
        <v>0</v>
      </c>
      <c r="M1232" s="4" t="s">
        <v>30</v>
      </c>
      <c r="N1232" s="4">
        <v>0</v>
      </c>
      <c r="O1232" s="4" t="s">
        <v>101</v>
      </c>
      <c r="P1232" s="3" t="s">
        <v>52</v>
      </c>
      <c r="Q1232" s="11">
        <v>10</v>
      </c>
      <c r="R1232" s="2" t="s">
        <v>31</v>
      </c>
      <c r="S1232" s="10" t="s">
        <v>32</v>
      </c>
      <c r="T1232" s="4" t="str">
        <f>IF(OR(Tabela1[[#This Row],[Grau de Risco]]="Médio",Tabela1[[#This Row],[Grau de Risco]]="Baixo"),"Não","Sim")</f>
        <v>Não</v>
      </c>
    </row>
    <row r="1233" spans="1:20" hidden="1">
      <c r="A1233" s="4" t="s">
        <v>8</v>
      </c>
      <c r="B1233" s="10" t="s">
        <v>1793</v>
      </c>
      <c r="C1233" s="4" t="s">
        <v>89</v>
      </c>
      <c r="D1233" s="38" t="s">
        <v>1393</v>
      </c>
      <c r="E1233" s="3">
        <v>17</v>
      </c>
      <c r="F1233" s="3">
        <v>1</v>
      </c>
      <c r="G1233" s="3">
        <v>2023</v>
      </c>
      <c r="H1233" s="36" t="s">
        <v>33</v>
      </c>
      <c r="I1233" s="7" t="s">
        <v>594</v>
      </c>
      <c r="J1233" s="4" t="s">
        <v>61</v>
      </c>
      <c r="K1233" s="3">
        <v>0</v>
      </c>
      <c r="L1233" s="3">
        <v>0</v>
      </c>
      <c r="M1233" s="4" t="s">
        <v>30</v>
      </c>
      <c r="N1233" s="4"/>
      <c r="O1233" s="4" t="s">
        <v>129</v>
      </c>
      <c r="P1233" s="3" t="s">
        <v>52</v>
      </c>
      <c r="Q1233" s="11">
        <v>11</v>
      </c>
      <c r="R1233" s="3" t="str">
        <f>IF(Q1233="","",IF(Q1233&lt;4,"Crítico",IF(Q1233&lt;9,"Alto",IF(Q1233&lt;14,"Médio","Baixo"))))</f>
        <v>Médio</v>
      </c>
      <c r="S1233" s="5" t="s">
        <v>56</v>
      </c>
      <c r="T1233" s="4" t="str">
        <f>IF(OR(Tabela1[[#This Row],[Grau de Risco]]="Médio",Tabela1[[#This Row],[Grau de Risco]]="Baixo"),"Não","Sim")</f>
        <v>Não</v>
      </c>
    </row>
    <row r="1234" spans="1:20">
      <c r="A1234" s="47" t="s">
        <v>6</v>
      </c>
      <c r="B1234" s="10" t="s">
        <v>1809</v>
      </c>
      <c r="C1234" s="4" t="s">
        <v>26</v>
      </c>
      <c r="D1234" s="58" t="s">
        <v>1409</v>
      </c>
      <c r="E1234" s="3">
        <v>12</v>
      </c>
      <c r="F1234" s="3">
        <v>9</v>
      </c>
      <c r="G1234" s="3">
        <v>2024</v>
      </c>
      <c r="H1234" s="36" t="s">
        <v>33</v>
      </c>
      <c r="I1234" s="7" t="s">
        <v>722</v>
      </c>
      <c r="J1234" s="4" t="s">
        <v>73</v>
      </c>
      <c r="K1234" s="3"/>
      <c r="L1234" s="3"/>
      <c r="M1234" s="4"/>
      <c r="N1234" s="4"/>
      <c r="O1234" s="4"/>
      <c r="P1234" s="3"/>
      <c r="Q1234" s="11">
        <v>15</v>
      </c>
      <c r="R1234" s="3" t="s">
        <v>52</v>
      </c>
      <c r="S1234" s="10" t="s">
        <v>63</v>
      </c>
      <c r="T1234" s="4" t="str">
        <f>IF(OR(Tabela1[[#This Row],[Grau de Risco]]="Médio",Tabela1[[#This Row],[Grau de Risco]]="Baixo"),"Não","Sim")</f>
        <v>Não</v>
      </c>
    </row>
    <row r="1235" spans="1:20">
      <c r="A1235" s="4" t="s">
        <v>7</v>
      </c>
      <c r="B1235" s="10" t="s">
        <v>1809</v>
      </c>
      <c r="C1235" s="4" t="s">
        <v>97</v>
      </c>
      <c r="D1235" s="38" t="s">
        <v>1320</v>
      </c>
      <c r="E1235" s="3">
        <v>15</v>
      </c>
      <c r="F1235" s="3">
        <v>4</v>
      </c>
      <c r="G1235" s="3">
        <v>2024</v>
      </c>
      <c r="H1235" s="5" t="s">
        <v>48</v>
      </c>
      <c r="I1235" s="7" t="s">
        <v>749</v>
      </c>
      <c r="J1235" s="4" t="s">
        <v>76</v>
      </c>
      <c r="K1235" s="3" t="s">
        <v>44</v>
      </c>
      <c r="L1235" s="3" t="s">
        <v>44</v>
      </c>
      <c r="M1235" s="4"/>
      <c r="N1235" s="4" t="s">
        <v>44</v>
      </c>
      <c r="O1235" s="4"/>
      <c r="P1235" s="3"/>
      <c r="Q1235" s="11">
        <v>4</v>
      </c>
      <c r="R1235" s="3" t="s">
        <v>102</v>
      </c>
      <c r="S1235" s="10" t="s">
        <v>63</v>
      </c>
      <c r="T1235" s="4" t="str">
        <f>IF(OR(Tabela1[[#This Row],[Grau de Risco]]="Médio",Tabela1[[#This Row],[Grau de Risco]]="Baixo"),"Não","Sim")</f>
        <v>Sim</v>
      </c>
    </row>
    <row r="1236" spans="1:20" hidden="1">
      <c r="A1236" s="47" t="s">
        <v>9</v>
      </c>
      <c r="B1236" s="47" t="s">
        <v>1797</v>
      </c>
      <c r="C1236" s="47" t="s">
        <v>252</v>
      </c>
      <c r="D1236" s="38" t="s">
        <v>1382</v>
      </c>
      <c r="E1236" s="31">
        <v>17</v>
      </c>
      <c r="F1236" s="31">
        <v>7</v>
      </c>
      <c r="G1236" s="31">
        <v>2024</v>
      </c>
      <c r="H1236" s="60" t="s">
        <v>109</v>
      </c>
      <c r="I1236" s="47" t="s">
        <v>794</v>
      </c>
      <c r="J1236" s="47" t="s">
        <v>38</v>
      </c>
      <c r="K1236" s="31">
        <v>1</v>
      </c>
      <c r="L1236" s="41" t="s">
        <v>30</v>
      </c>
      <c r="M1236" s="31" t="s">
        <v>30</v>
      </c>
      <c r="N1236" s="31" t="s">
        <v>44</v>
      </c>
      <c r="O1236" s="47" t="s">
        <v>101</v>
      </c>
      <c r="P1236" s="47" t="s">
        <v>31</v>
      </c>
      <c r="Q1236" s="47">
        <v>2</v>
      </c>
      <c r="R1236" s="3" t="str">
        <f>IF(Q1236="","",IF(Q1236&lt;4,"Crítico",IF(Q1236&lt;9,"Alto",IF(Q1236&lt;14,"Médio","Baixo"))))</f>
        <v>Crítico</v>
      </c>
      <c r="S1236" s="47" t="s">
        <v>63</v>
      </c>
      <c r="T1236" s="4" t="str">
        <f>IF(OR(Tabela1[[#This Row],[Grau de Risco]]="Médio",Tabela1[[#This Row],[Grau de Risco]]="Baixo"),"Não","Sim")</f>
        <v>Sim</v>
      </c>
    </row>
    <row r="1237" spans="1:20">
      <c r="A1237" s="4" t="s">
        <v>7</v>
      </c>
      <c r="B1237" s="10" t="s">
        <v>1809</v>
      </c>
      <c r="C1237" s="4" t="s">
        <v>26</v>
      </c>
      <c r="D1237" s="38" t="s">
        <v>1382</v>
      </c>
      <c r="E1237" s="3">
        <v>8</v>
      </c>
      <c r="F1237" s="3">
        <v>5</v>
      </c>
      <c r="G1237" s="3">
        <v>2024</v>
      </c>
      <c r="H1237" s="36" t="s">
        <v>33</v>
      </c>
      <c r="I1237" s="7" t="s">
        <v>837</v>
      </c>
      <c r="J1237" s="4" t="s">
        <v>290</v>
      </c>
      <c r="K1237" s="3">
        <v>0</v>
      </c>
      <c r="L1237" s="3">
        <v>0</v>
      </c>
      <c r="M1237" s="4"/>
      <c r="N1237" s="4"/>
      <c r="O1237" s="4" t="s">
        <v>129</v>
      </c>
      <c r="P1237" s="3" t="s">
        <v>52</v>
      </c>
      <c r="Q1237" s="11">
        <v>15</v>
      </c>
      <c r="R1237" s="3" t="s">
        <v>52</v>
      </c>
      <c r="S1237" s="10" t="s">
        <v>178</v>
      </c>
      <c r="T1237" s="4" t="str">
        <f>IF(OR(Tabela1[[#This Row],[Grau de Risco]]="Médio",Tabela1[[#This Row],[Grau de Risco]]="Baixo"),"Não","Sim")</f>
        <v>Não</v>
      </c>
    </row>
    <row r="1238" spans="1:20" hidden="1">
      <c r="A1238" s="4" t="s">
        <v>9</v>
      </c>
      <c r="B1238" s="10" t="s">
        <v>1797</v>
      </c>
      <c r="C1238" s="4" t="s">
        <v>41</v>
      </c>
      <c r="D1238" s="38" t="s">
        <v>1382</v>
      </c>
      <c r="E1238" s="3">
        <v>18</v>
      </c>
      <c r="F1238" s="3">
        <v>9</v>
      </c>
      <c r="G1238" s="3">
        <v>2024</v>
      </c>
      <c r="H1238" s="4" t="s">
        <v>86</v>
      </c>
      <c r="I1238" s="7" t="s">
        <v>874</v>
      </c>
      <c r="J1238" s="4" t="s">
        <v>61</v>
      </c>
      <c r="K1238" s="3">
        <v>10</v>
      </c>
      <c r="L1238" s="3" t="s">
        <v>30</v>
      </c>
      <c r="M1238" s="4" t="s">
        <v>30</v>
      </c>
      <c r="N1238" s="4">
        <v>0</v>
      </c>
      <c r="O1238" s="4" t="s">
        <v>386</v>
      </c>
      <c r="P1238" s="3" t="s">
        <v>31</v>
      </c>
      <c r="Q1238" s="11">
        <v>11</v>
      </c>
      <c r="R1238" s="3" t="s">
        <v>31</v>
      </c>
      <c r="S1238" s="10" t="s">
        <v>63</v>
      </c>
      <c r="T1238" s="4" t="str">
        <f>IF(OR(Tabela1[[#This Row],[Grau de Risco]]="Médio",Tabela1[[#This Row],[Grau de Risco]]="Baixo"),"Não","Sim")</f>
        <v>Não</v>
      </c>
    </row>
    <row r="1239" spans="1:20">
      <c r="A1239" s="4" t="s">
        <v>7</v>
      </c>
      <c r="B1239" s="10" t="s">
        <v>1809</v>
      </c>
      <c r="C1239" s="4" t="s">
        <v>252</v>
      </c>
      <c r="D1239" s="5" t="s">
        <v>36</v>
      </c>
      <c r="E1239" s="3">
        <v>20</v>
      </c>
      <c r="F1239" s="3">
        <v>1</v>
      </c>
      <c r="G1239" s="3">
        <v>2024</v>
      </c>
      <c r="H1239" s="36" t="s">
        <v>33</v>
      </c>
      <c r="I1239" s="7" t="s">
        <v>898</v>
      </c>
      <c r="J1239" s="4" t="s">
        <v>61</v>
      </c>
      <c r="K1239" s="3" t="s">
        <v>62</v>
      </c>
      <c r="L1239" s="3">
        <v>0</v>
      </c>
      <c r="M1239" s="4" t="s">
        <v>30</v>
      </c>
      <c r="N1239" s="4">
        <v>0</v>
      </c>
      <c r="O1239" s="4" t="s">
        <v>4</v>
      </c>
      <c r="P1239" s="3"/>
      <c r="Q1239" s="11">
        <v>15</v>
      </c>
      <c r="R1239" s="3" t="s">
        <v>52</v>
      </c>
      <c r="S1239" s="10" t="s">
        <v>63</v>
      </c>
      <c r="T1239" s="4" t="str">
        <f>IF(OR(Tabela1[[#This Row],[Grau de Risco]]="Médio",Tabela1[[#This Row],[Grau de Risco]]="Baixo"),"Não","Sim")</f>
        <v>Não</v>
      </c>
    </row>
    <row r="1240" spans="1:20">
      <c r="A1240" s="4" t="s">
        <v>7</v>
      </c>
      <c r="B1240" s="10" t="s">
        <v>1809</v>
      </c>
      <c r="C1240" s="4" t="s">
        <v>26</v>
      </c>
      <c r="D1240" s="38" t="s">
        <v>47</v>
      </c>
      <c r="E1240" s="3">
        <v>13</v>
      </c>
      <c r="F1240" s="3">
        <v>9</v>
      </c>
      <c r="G1240" s="3">
        <v>2024</v>
      </c>
      <c r="H1240" s="5" t="s">
        <v>209</v>
      </c>
      <c r="I1240" s="7" t="s">
        <v>930</v>
      </c>
      <c r="J1240" s="4" t="s">
        <v>111</v>
      </c>
      <c r="K1240" s="3"/>
      <c r="L1240" s="3"/>
      <c r="M1240" s="4"/>
      <c r="N1240" s="4"/>
      <c r="O1240" s="4" t="s">
        <v>55</v>
      </c>
      <c r="P1240" s="3"/>
      <c r="Q1240" s="11">
        <v>15</v>
      </c>
      <c r="R1240" s="3" t="s">
        <v>52</v>
      </c>
      <c r="S1240" s="10" t="s">
        <v>4</v>
      </c>
      <c r="T1240" s="4" t="str">
        <f>IF(OR(Tabela1[[#This Row],[Grau de Risco]]="Médio",Tabela1[[#This Row],[Grau de Risco]]="Baixo"),"Não","Sim")</f>
        <v>Não</v>
      </c>
    </row>
    <row r="1241" spans="1:20">
      <c r="A1241" s="4" t="s">
        <v>7</v>
      </c>
      <c r="B1241" s="10" t="s">
        <v>1809</v>
      </c>
      <c r="C1241" s="4" t="s">
        <v>41</v>
      </c>
      <c r="D1241" s="38" t="s">
        <v>1320</v>
      </c>
      <c r="E1241" s="3">
        <v>9</v>
      </c>
      <c r="F1241" s="3">
        <v>12</v>
      </c>
      <c r="G1241" s="3">
        <v>2024</v>
      </c>
      <c r="H1241" s="5" t="s">
        <v>48</v>
      </c>
      <c r="I1241" s="7" t="s">
        <v>939</v>
      </c>
      <c r="J1241" s="4" t="s">
        <v>111</v>
      </c>
      <c r="K1241" s="3"/>
      <c r="L1241" s="3"/>
      <c r="M1241" s="4"/>
      <c r="N1241" s="4"/>
      <c r="O1241" s="4" t="s">
        <v>85</v>
      </c>
      <c r="P1241" s="3"/>
      <c r="Q1241" s="11">
        <v>7</v>
      </c>
      <c r="R1241" s="3" t="s">
        <v>102</v>
      </c>
      <c r="S1241" s="5" t="s">
        <v>40</v>
      </c>
      <c r="T1241" s="4" t="str">
        <f>IF(OR(Tabela1[[#This Row],[Grau de Risco]]="Médio",Tabela1[[#This Row],[Grau de Risco]]="Baixo"),"Não","Sim")</f>
        <v>Sim</v>
      </c>
    </row>
    <row r="1242" spans="1:20" hidden="1">
      <c r="A1242" s="4" t="s">
        <v>7</v>
      </c>
      <c r="B1242" s="10" t="s">
        <v>1797</v>
      </c>
      <c r="C1242" s="4" t="s">
        <v>41</v>
      </c>
      <c r="D1242" s="38" t="s">
        <v>1393</v>
      </c>
      <c r="E1242" s="3">
        <v>25</v>
      </c>
      <c r="F1242" s="3">
        <v>6</v>
      </c>
      <c r="G1242" s="3">
        <v>2024</v>
      </c>
      <c r="H1242" s="36" t="s">
        <v>33</v>
      </c>
      <c r="I1242" s="7" t="s">
        <v>941</v>
      </c>
      <c r="J1242" s="4" t="s">
        <v>111</v>
      </c>
      <c r="K1242" s="3" t="s">
        <v>62</v>
      </c>
      <c r="L1242" s="3"/>
      <c r="M1242" s="4"/>
      <c r="N1242" s="4"/>
      <c r="O1242" s="4" t="s">
        <v>4</v>
      </c>
      <c r="P1242" s="3"/>
      <c r="Q1242" s="11">
        <v>16</v>
      </c>
      <c r="R1242" s="3" t="s">
        <v>52</v>
      </c>
      <c r="S1242" s="10" t="s">
        <v>4</v>
      </c>
      <c r="T1242" s="4" t="str">
        <f>IF(OR(Tabela1[[#This Row],[Grau de Risco]]="Médio",Tabela1[[#This Row],[Grau de Risco]]="Baixo"),"Não","Sim")</f>
        <v>Não</v>
      </c>
    </row>
    <row r="1243" spans="1:20">
      <c r="A1243" s="4" t="s">
        <v>7</v>
      </c>
      <c r="B1243" s="10" t="s">
        <v>1809</v>
      </c>
      <c r="C1243" s="4" t="s">
        <v>64</v>
      </c>
      <c r="D1243" s="5" t="s">
        <v>148</v>
      </c>
      <c r="E1243" s="3">
        <v>31</v>
      </c>
      <c r="F1243" s="3">
        <v>3</v>
      </c>
      <c r="G1243" s="3">
        <v>2024</v>
      </c>
      <c r="H1243" s="5" t="s">
        <v>48</v>
      </c>
      <c r="I1243" s="7" t="s">
        <v>1721</v>
      </c>
      <c r="J1243" s="4" t="s">
        <v>35</v>
      </c>
      <c r="K1243" s="3" t="s">
        <v>44</v>
      </c>
      <c r="L1243" s="3" t="s">
        <v>44</v>
      </c>
      <c r="M1243" s="4"/>
      <c r="N1243" s="4" t="s">
        <v>44</v>
      </c>
      <c r="O1243" s="4"/>
      <c r="P1243" s="3"/>
      <c r="Q1243" s="11">
        <v>15</v>
      </c>
      <c r="R1243" s="3" t="s">
        <v>52</v>
      </c>
      <c r="S1243" s="10" t="s">
        <v>32</v>
      </c>
      <c r="T1243" s="4" t="str">
        <f>IF(OR(Tabela1[[#This Row],[Grau de Risco]]="Médio",Tabela1[[#This Row],[Grau de Risco]]="Baixo"),"Não","Sim")</f>
        <v>Não</v>
      </c>
    </row>
    <row r="1244" spans="1:20" hidden="1">
      <c r="A1244" s="4" t="s">
        <v>7</v>
      </c>
      <c r="B1244" s="10" t="s">
        <v>1797</v>
      </c>
      <c r="C1244" s="4" t="s">
        <v>41</v>
      </c>
      <c r="D1244" s="58" t="s">
        <v>1409</v>
      </c>
      <c r="E1244" s="3">
        <v>4</v>
      </c>
      <c r="F1244" s="3">
        <v>4</v>
      </c>
      <c r="G1244" s="3">
        <v>2024</v>
      </c>
      <c r="H1244" s="5" t="s">
        <v>71</v>
      </c>
      <c r="I1244" s="7" t="s">
        <v>962</v>
      </c>
      <c r="J1244" s="4" t="s">
        <v>50</v>
      </c>
      <c r="K1244" s="3" t="s">
        <v>62</v>
      </c>
      <c r="L1244" s="3"/>
      <c r="M1244" s="4"/>
      <c r="N1244" s="4"/>
      <c r="O1244" s="4" t="s">
        <v>77</v>
      </c>
      <c r="P1244" s="3" t="s">
        <v>52</v>
      </c>
      <c r="Q1244" s="11">
        <v>15</v>
      </c>
      <c r="R1244" s="3" t="s">
        <v>52</v>
      </c>
      <c r="S1244" s="10" t="s">
        <v>63</v>
      </c>
      <c r="T1244" s="4" t="str">
        <f>IF(OR(Tabela1[[#This Row],[Grau de Risco]]="Médio",Tabela1[[#This Row],[Grau de Risco]]="Baixo"),"Não","Sim")</f>
        <v>Não</v>
      </c>
    </row>
    <row r="1245" spans="1:20" hidden="1">
      <c r="A1245" s="4" t="s">
        <v>7</v>
      </c>
      <c r="B1245" s="10" t="s">
        <v>1793</v>
      </c>
      <c r="C1245" s="4" t="s">
        <v>133</v>
      </c>
      <c r="D1245" s="38" t="s">
        <v>1382</v>
      </c>
      <c r="E1245" s="3">
        <v>24</v>
      </c>
      <c r="F1245" s="3">
        <v>7</v>
      </c>
      <c r="G1245" s="3">
        <v>2024</v>
      </c>
      <c r="H1245" s="5" t="s">
        <v>123</v>
      </c>
      <c r="I1245" s="7" t="s">
        <v>1722</v>
      </c>
      <c r="J1245" s="4" t="s">
        <v>69</v>
      </c>
      <c r="K1245" s="3" t="s">
        <v>44</v>
      </c>
      <c r="L1245" s="3" t="s">
        <v>44</v>
      </c>
      <c r="M1245" s="4"/>
      <c r="N1245" s="4" t="s">
        <v>44</v>
      </c>
      <c r="O1245" s="4"/>
      <c r="P1245" s="3"/>
      <c r="Q1245" s="11">
        <v>14</v>
      </c>
      <c r="R1245" s="3" t="s">
        <v>52</v>
      </c>
      <c r="S1245" s="10" t="s">
        <v>32</v>
      </c>
      <c r="T1245" s="4" t="str">
        <f>IF(OR(Tabela1[[#This Row],[Grau de Risco]]="Médio",Tabela1[[#This Row],[Grau de Risco]]="Baixo"),"Não","Sim")</f>
        <v>Não</v>
      </c>
    </row>
    <row r="1246" spans="1:20" hidden="1">
      <c r="A1246" s="4" t="s">
        <v>9</v>
      </c>
      <c r="B1246" s="10" t="s">
        <v>1805</v>
      </c>
      <c r="C1246" s="4" t="s">
        <v>252</v>
      </c>
      <c r="D1246" s="38" t="s">
        <v>1393</v>
      </c>
      <c r="E1246" s="3">
        <v>14</v>
      </c>
      <c r="F1246" s="3">
        <v>5</v>
      </c>
      <c r="G1246" s="3">
        <v>2024</v>
      </c>
      <c r="H1246" s="5" t="s">
        <v>123</v>
      </c>
      <c r="I1246" s="7" t="s">
        <v>1084</v>
      </c>
      <c r="J1246" s="4" t="s">
        <v>93</v>
      </c>
      <c r="K1246" s="3">
        <v>54</v>
      </c>
      <c r="L1246" s="3">
        <v>0</v>
      </c>
      <c r="M1246" s="4"/>
      <c r="N1246" s="4"/>
      <c r="O1246" s="4" t="s">
        <v>101</v>
      </c>
      <c r="P1246" s="3" t="s">
        <v>31</v>
      </c>
      <c r="Q1246" s="11">
        <v>5</v>
      </c>
      <c r="R1246" s="3" t="s">
        <v>102</v>
      </c>
      <c r="S1246" s="10" t="s">
        <v>63</v>
      </c>
      <c r="T1246" s="4" t="str">
        <f>IF(OR(Tabela1[[#This Row],[Grau de Risco]]="Médio",Tabela1[[#This Row],[Grau de Risco]]="Baixo"),"Não","Sim")</f>
        <v>Sim</v>
      </c>
    </row>
    <row r="1247" spans="1:20" hidden="1">
      <c r="A1247" s="28" t="s">
        <v>7</v>
      </c>
      <c r="B1247" s="33" t="s">
        <v>1800</v>
      </c>
      <c r="C1247" s="4" t="s">
        <v>26</v>
      </c>
      <c r="D1247" s="38" t="s">
        <v>1320</v>
      </c>
      <c r="E1247" s="32">
        <v>6</v>
      </c>
      <c r="F1247" s="32">
        <v>1</v>
      </c>
      <c r="G1247" s="32">
        <v>2025</v>
      </c>
      <c r="H1247" s="38" t="s">
        <v>112</v>
      </c>
      <c r="I1247" s="29" t="s">
        <v>1112</v>
      </c>
      <c r="J1247" s="28" t="s">
        <v>111</v>
      </c>
      <c r="K1247" s="32" t="s">
        <v>80</v>
      </c>
      <c r="L1247" s="32" t="s">
        <v>80</v>
      </c>
      <c r="M1247" s="28" t="s">
        <v>30</v>
      </c>
      <c r="N1247" s="28" t="s">
        <v>80</v>
      </c>
      <c r="O1247" s="28" t="s">
        <v>77</v>
      </c>
      <c r="P1247" s="32" t="s">
        <v>52</v>
      </c>
      <c r="Q1247" s="35">
        <v>8</v>
      </c>
      <c r="R1247" s="32" t="s">
        <v>102</v>
      </c>
      <c r="S1247" s="33" t="s">
        <v>32</v>
      </c>
      <c r="T1247" s="4" t="str">
        <f>IF(OR(Tabela1[[#This Row],[Grau de Risco]]="Médio",Tabela1[[#This Row],[Grau de Risco]]="Baixo"),"Não","Sim")</f>
        <v>Sim</v>
      </c>
    </row>
    <row r="1248" spans="1:20" hidden="1">
      <c r="A1248" s="4" t="s">
        <v>2</v>
      </c>
      <c r="B1248" s="10" t="s">
        <v>1797</v>
      </c>
      <c r="C1248" s="4" t="s">
        <v>46</v>
      </c>
      <c r="D1248" s="38" t="s">
        <v>1393</v>
      </c>
      <c r="E1248" s="3">
        <v>11</v>
      </c>
      <c r="F1248" s="3">
        <v>3</v>
      </c>
      <c r="G1248" s="3">
        <v>2025</v>
      </c>
      <c r="H1248" s="5" t="s">
        <v>48</v>
      </c>
      <c r="I1248" s="7" t="s">
        <v>1187</v>
      </c>
      <c r="J1248" s="4" t="s">
        <v>93</v>
      </c>
      <c r="K1248" s="3">
        <v>6</v>
      </c>
      <c r="L1248" s="3">
        <v>0</v>
      </c>
      <c r="M1248" s="4" t="s">
        <v>30</v>
      </c>
      <c r="N1248" s="4">
        <v>15</v>
      </c>
      <c r="O1248" s="4" t="s">
        <v>1117</v>
      </c>
      <c r="P1248" s="3" t="s">
        <v>31</v>
      </c>
      <c r="Q1248" s="11">
        <v>11</v>
      </c>
      <c r="R1248" s="3" t="s">
        <v>31</v>
      </c>
      <c r="S1248" s="5" t="s">
        <v>56</v>
      </c>
      <c r="T1248" s="4" t="str">
        <f>IF(OR(Tabela1[[#This Row],[Grau de Risco]]="Médio",Tabela1[[#This Row],[Grau de Risco]]="Baixo"),"Não","Sim")</f>
        <v>Não</v>
      </c>
    </row>
    <row r="1249" spans="1:20">
      <c r="A1249" s="4" t="s">
        <v>9</v>
      </c>
      <c r="B1249" s="10" t="s">
        <v>1809</v>
      </c>
      <c r="C1249" s="4" t="s">
        <v>81</v>
      </c>
      <c r="D1249" s="58" t="s">
        <v>1409</v>
      </c>
      <c r="E1249" s="3">
        <v>7</v>
      </c>
      <c r="F1249" s="3">
        <v>5</v>
      </c>
      <c r="G1249" s="3">
        <v>2025</v>
      </c>
      <c r="H1249" s="5" t="s">
        <v>71</v>
      </c>
      <c r="I1249" s="7" t="s">
        <v>1253</v>
      </c>
      <c r="J1249" s="4" t="s">
        <v>79</v>
      </c>
      <c r="K1249" s="3">
        <v>2</v>
      </c>
      <c r="L1249" s="3">
        <v>0</v>
      </c>
      <c r="M1249" s="4" t="s">
        <v>30</v>
      </c>
      <c r="N1249" s="4">
        <v>0</v>
      </c>
      <c r="O1249" s="4" t="s">
        <v>1254</v>
      </c>
      <c r="P1249" s="3" t="s">
        <v>31</v>
      </c>
      <c r="Q1249" s="11">
        <v>5</v>
      </c>
      <c r="R1249" s="3" t="s">
        <v>102</v>
      </c>
      <c r="S1249" s="10" t="s">
        <v>63</v>
      </c>
      <c r="T1249" s="4" t="str">
        <f>IF(OR(Tabela1[[#This Row],[Grau de Risco]]="Médio",Tabela1[[#This Row],[Grau de Risco]]="Baixo"),"Não","Sim")</f>
        <v>Sim</v>
      </c>
    </row>
    <row r="1250" spans="1:20">
      <c r="A1250" s="4" t="s">
        <v>7</v>
      </c>
      <c r="B1250" s="10" t="s">
        <v>1809</v>
      </c>
      <c r="C1250" s="4" t="s">
        <v>125</v>
      </c>
      <c r="D1250" s="38" t="s">
        <v>1393</v>
      </c>
      <c r="E1250" s="3">
        <v>3</v>
      </c>
      <c r="F1250" s="3">
        <v>6</v>
      </c>
      <c r="G1250" s="3">
        <v>2025</v>
      </c>
      <c r="H1250" s="36" t="s">
        <v>82</v>
      </c>
      <c r="I1250" s="7" t="s">
        <v>1723</v>
      </c>
      <c r="J1250" s="4" t="s">
        <v>69</v>
      </c>
      <c r="K1250" s="3" t="s">
        <v>44</v>
      </c>
      <c r="L1250" s="3" t="s">
        <v>44</v>
      </c>
      <c r="M1250" s="4"/>
      <c r="N1250" s="4" t="s">
        <v>44</v>
      </c>
      <c r="O1250" s="4"/>
      <c r="P1250" s="3"/>
      <c r="Q1250" s="11">
        <v>4</v>
      </c>
      <c r="R1250" s="3" t="s">
        <v>102</v>
      </c>
      <c r="S1250" s="10" t="s">
        <v>63</v>
      </c>
      <c r="T1250" s="4" t="str">
        <f>IF(OR(Tabela1[[#This Row],[Grau de Risco]]="Médio",Tabela1[[#This Row],[Grau de Risco]]="Baixo"),"Não","Sim")</f>
        <v>Sim</v>
      </c>
    </row>
    <row r="1251" spans="1:20" hidden="1">
      <c r="A1251" s="28" t="s">
        <v>8</v>
      </c>
      <c r="B1251" s="33" t="s">
        <v>1800</v>
      </c>
      <c r="C1251" s="28" t="s">
        <v>26</v>
      </c>
      <c r="D1251" s="38" t="s">
        <v>1382</v>
      </c>
      <c r="E1251" s="32">
        <v>20</v>
      </c>
      <c r="F1251" s="32">
        <v>8</v>
      </c>
      <c r="G1251" s="32">
        <v>2025</v>
      </c>
      <c r="H1251" s="38" t="s">
        <v>107</v>
      </c>
      <c r="I1251" s="29" t="s">
        <v>1402</v>
      </c>
      <c r="J1251" s="28" t="s">
        <v>43</v>
      </c>
      <c r="K1251" s="32" t="s">
        <v>80</v>
      </c>
      <c r="L1251" s="32" t="s">
        <v>80</v>
      </c>
      <c r="M1251" s="28" t="s">
        <v>30</v>
      </c>
      <c r="N1251" s="28" t="s">
        <v>80</v>
      </c>
      <c r="O1251" s="4" t="s">
        <v>45</v>
      </c>
      <c r="P1251" s="32" t="s">
        <v>52</v>
      </c>
      <c r="Q1251" s="35">
        <v>11</v>
      </c>
      <c r="R1251" s="32" t="s">
        <v>31</v>
      </c>
      <c r="S1251" s="33" t="s">
        <v>32</v>
      </c>
      <c r="T1251" s="4" t="str">
        <f>IF(OR(Tabela1[[#This Row],[Grau de Risco]]="Médio",Tabela1[[#This Row],[Grau de Risco]]="Baixo"),"Não","Sim")</f>
        <v>Não</v>
      </c>
    </row>
    <row r="1252" spans="1:20" hidden="1">
      <c r="A1252" s="28" t="s">
        <v>2</v>
      </c>
      <c r="B1252" s="33" t="s">
        <v>1797</v>
      </c>
      <c r="C1252" s="28" t="s">
        <v>26</v>
      </c>
      <c r="D1252" s="28" t="s">
        <v>1409</v>
      </c>
      <c r="E1252" s="32">
        <v>14</v>
      </c>
      <c r="F1252" s="32">
        <v>8</v>
      </c>
      <c r="G1252" s="32">
        <v>2025</v>
      </c>
      <c r="H1252" s="34" t="s">
        <v>307</v>
      </c>
      <c r="I1252" s="29" t="s">
        <v>1411</v>
      </c>
      <c r="J1252" s="28" t="s">
        <v>111</v>
      </c>
      <c r="K1252" s="32">
        <v>3</v>
      </c>
      <c r="L1252" s="32"/>
      <c r="M1252" s="28"/>
      <c r="N1252" s="28"/>
      <c r="O1252" s="28" t="s">
        <v>55</v>
      </c>
      <c r="P1252" s="32" t="s">
        <v>52</v>
      </c>
      <c r="Q1252" s="35">
        <v>14</v>
      </c>
      <c r="R1252" s="32" t="s">
        <v>52</v>
      </c>
      <c r="S1252" s="33" t="s">
        <v>4</v>
      </c>
      <c r="T1252" s="4" t="str">
        <f>IF(OR(Tabela1[[#This Row],[Grau de Risco]]="Médio",Tabela1[[#This Row],[Grau de Risco]]="Baixo"),"Não","Sim")</f>
        <v>Não</v>
      </c>
    </row>
    <row r="1253" spans="1:20" hidden="1">
      <c r="A1253" s="28" t="s">
        <v>8</v>
      </c>
      <c r="B1253" s="33" t="s">
        <v>1793</v>
      </c>
      <c r="C1253" s="28" t="s">
        <v>252</v>
      </c>
      <c r="D1253" s="28" t="s">
        <v>1409</v>
      </c>
      <c r="E1253" s="32">
        <v>18</v>
      </c>
      <c r="F1253" s="32">
        <v>9</v>
      </c>
      <c r="G1253" s="32">
        <v>2025</v>
      </c>
      <c r="H1253" s="34" t="s">
        <v>107</v>
      </c>
      <c r="I1253" s="29" t="s">
        <v>1523</v>
      </c>
      <c r="J1253" s="28" t="s">
        <v>35</v>
      </c>
      <c r="K1253" s="32" t="s">
        <v>44</v>
      </c>
      <c r="L1253" s="32" t="s">
        <v>44</v>
      </c>
      <c r="M1253" s="28" t="s">
        <v>30</v>
      </c>
      <c r="N1253" s="28" t="s">
        <v>44</v>
      </c>
      <c r="O1253" s="28" t="s">
        <v>99</v>
      </c>
      <c r="P1253" s="32" t="s">
        <v>52</v>
      </c>
      <c r="Q1253" s="35">
        <v>14</v>
      </c>
      <c r="R1253" s="3" t="s">
        <v>52</v>
      </c>
      <c r="S1253" s="33" t="s">
        <v>56</v>
      </c>
      <c r="T1253" s="4" t="str">
        <f>IF(OR(Tabela1[[#This Row],[Grau de Risco]]="Médio",Tabela1[[#This Row],[Grau de Risco]]="Baixo"),"Não","Sim")</f>
        <v>Não</v>
      </c>
    </row>
    <row r="1254" spans="1:20" hidden="1">
      <c r="A1254" s="38" t="s">
        <v>7</v>
      </c>
      <c r="B1254" s="58" t="s">
        <v>1800</v>
      </c>
      <c r="C1254" s="38" t="s">
        <v>26</v>
      </c>
      <c r="D1254" s="38" t="s">
        <v>1393</v>
      </c>
      <c r="E1254" s="38">
        <v>25</v>
      </c>
      <c r="F1254" s="38">
        <v>11</v>
      </c>
      <c r="G1254" s="38">
        <v>2025</v>
      </c>
      <c r="H1254" s="38" t="s">
        <v>82</v>
      </c>
      <c r="I1254" t="s">
        <v>1544</v>
      </c>
      <c r="J1254" s="38" t="s">
        <v>76</v>
      </c>
      <c r="K1254" s="38" t="s">
        <v>80</v>
      </c>
      <c r="L1254" s="38" t="s">
        <v>80</v>
      </c>
      <c r="M1254" s="38" t="s">
        <v>30</v>
      </c>
      <c r="N1254" s="38" t="s">
        <v>80</v>
      </c>
      <c r="O1254" s="38" t="s">
        <v>77</v>
      </c>
      <c r="P1254" s="38" t="s">
        <v>57</v>
      </c>
      <c r="Q1254" s="38">
        <v>11</v>
      </c>
      <c r="R1254" s="32" t="s">
        <v>31</v>
      </c>
      <c r="S1254" s="38" t="s">
        <v>63</v>
      </c>
      <c r="T1254" s="4" t="str">
        <f>IF(OR(Tabela1[[#This Row],[Grau de Risco]]="Médio",Tabela1[[#This Row],[Grau de Risco]]="Baixo"),"Não","Sim")</f>
        <v>Não</v>
      </c>
    </row>
    <row r="1255" spans="1:20" hidden="1">
      <c r="A1255" s="28" t="s">
        <v>7</v>
      </c>
      <c r="B1255" s="10" t="s">
        <v>1797</v>
      </c>
      <c r="C1255" s="4" t="s">
        <v>41</v>
      </c>
      <c r="D1255" s="4" t="s">
        <v>1393</v>
      </c>
      <c r="E1255" s="3">
        <v>25</v>
      </c>
      <c r="F1255" s="3">
        <v>11</v>
      </c>
      <c r="G1255" s="3">
        <v>2025</v>
      </c>
      <c r="H1255" s="21" t="s">
        <v>1132</v>
      </c>
      <c r="I1255" s="7" t="s">
        <v>1562</v>
      </c>
      <c r="J1255" s="4" t="s">
        <v>35</v>
      </c>
      <c r="K1255" s="3" t="s">
        <v>44</v>
      </c>
      <c r="L1255" s="3" t="s">
        <v>44</v>
      </c>
      <c r="M1255" s="4"/>
      <c r="N1255" s="4" t="s">
        <v>44</v>
      </c>
      <c r="O1255" s="4"/>
      <c r="P1255" s="3"/>
      <c r="Q1255" s="11">
        <v>11</v>
      </c>
      <c r="R1255" s="3" t="str">
        <f>IF(Q1255="","",IF(Q1255&lt;4,"Crítico",IF(Q1255&lt;9,"Alto",IF(Q1255&lt;14,"Médio","Baixo"))))</f>
        <v>Médio</v>
      </c>
      <c r="S1255" s="10" t="s">
        <v>56</v>
      </c>
      <c r="T1255" s="4" t="str">
        <f>IF(OR(Tabela1[[#This Row],[Grau de Risco]]="Médio",Tabela1[[#This Row],[Grau de Risco]]="Baixo"),"Não","Sim")</f>
        <v>Não</v>
      </c>
    </row>
    <row r="1256" spans="1:20">
      <c r="A1256" s="4" t="s">
        <v>8</v>
      </c>
      <c r="B1256" s="10" t="s">
        <v>1809</v>
      </c>
      <c r="C1256" s="79" t="s">
        <v>26</v>
      </c>
      <c r="D1256" s="77" t="s">
        <v>148</v>
      </c>
      <c r="E1256" s="81">
        <v>16</v>
      </c>
      <c r="F1256" s="81">
        <v>11</v>
      </c>
      <c r="G1256" s="81">
        <v>2025</v>
      </c>
      <c r="H1256" s="78" t="s">
        <v>86</v>
      </c>
      <c r="I1256" s="7" t="s">
        <v>1566</v>
      </c>
      <c r="J1256" s="4" t="s">
        <v>84</v>
      </c>
      <c r="K1256" s="3" t="s">
        <v>44</v>
      </c>
      <c r="L1256" s="3" t="s">
        <v>44</v>
      </c>
      <c r="M1256" s="4" t="s">
        <v>30</v>
      </c>
      <c r="N1256" s="3" t="s">
        <v>44</v>
      </c>
      <c r="O1256" s="4" t="s">
        <v>1833</v>
      </c>
      <c r="P1256" s="3" t="s">
        <v>31</v>
      </c>
      <c r="Q1256" s="11">
        <v>10</v>
      </c>
      <c r="R1256" s="3" t="s">
        <v>31</v>
      </c>
      <c r="S1256" s="80" t="s">
        <v>178</v>
      </c>
      <c r="T1256" s="4" t="str">
        <f>IF(OR(Tabela1[[#This Row],[Grau de Risco]]="Médio",Tabela1[[#This Row],[Grau de Risco]]="Baixo"),"Não","Sim")</f>
        <v>Não</v>
      </c>
    </row>
    <row r="1257" spans="1:20">
      <c r="A1257" s="4" t="s">
        <v>2</v>
      </c>
      <c r="B1257" s="10" t="s">
        <v>1809</v>
      </c>
      <c r="C1257" s="4" t="s">
        <v>46</v>
      </c>
      <c r="D1257" s="58" t="s">
        <v>1409</v>
      </c>
      <c r="E1257" s="3">
        <v>14</v>
      </c>
      <c r="F1257" s="3">
        <v>5</v>
      </c>
      <c r="G1257" s="3">
        <v>2020</v>
      </c>
      <c r="H1257" s="5" t="s">
        <v>48</v>
      </c>
      <c r="I1257" s="7" t="s">
        <v>95</v>
      </c>
      <c r="J1257" s="4" t="s">
        <v>91</v>
      </c>
      <c r="K1257" s="3">
        <v>2</v>
      </c>
      <c r="L1257" s="3">
        <v>0</v>
      </c>
      <c r="M1257" s="4" t="s">
        <v>30</v>
      </c>
      <c r="N1257" s="4"/>
      <c r="O1257" s="4" t="s">
        <v>4</v>
      </c>
      <c r="P1257" s="3" t="s">
        <v>52</v>
      </c>
      <c r="Q1257" s="11">
        <v>18</v>
      </c>
      <c r="R1257" s="3" t="str">
        <f>IF(Q1257="","",IF(Q1257&lt;4,"Crítico",IF(Q1257&lt;9,"Alto",IF(Q1257&lt;14,"Médio","Baixo"))))</f>
        <v>Baixo</v>
      </c>
      <c r="S1257" s="10" t="s">
        <v>63</v>
      </c>
      <c r="T1257" s="4" t="str">
        <f>IF(OR(Tabela1[[#This Row],[Grau de Risco]]="Médio",Tabela1[[#This Row],[Grau de Risco]]="Baixo"),"Não","Sim")</f>
        <v>Não</v>
      </c>
    </row>
    <row r="1258" spans="1:20" hidden="1">
      <c r="A1258" s="4" t="s">
        <v>8</v>
      </c>
      <c r="B1258" s="4" t="s">
        <v>1793</v>
      </c>
      <c r="C1258" s="5" t="s">
        <v>26</v>
      </c>
      <c r="D1258" s="38" t="s">
        <v>1382</v>
      </c>
      <c r="E1258" s="3">
        <v>22</v>
      </c>
      <c r="F1258" s="3">
        <v>1</v>
      </c>
      <c r="G1258" s="3">
        <v>2020</v>
      </c>
      <c r="H1258" s="4" t="s">
        <v>103</v>
      </c>
      <c r="I1258" s="7" t="s">
        <v>104</v>
      </c>
      <c r="J1258" s="4" t="s">
        <v>69</v>
      </c>
      <c r="K1258" s="3">
        <v>0</v>
      </c>
      <c r="L1258" s="3">
        <v>0</v>
      </c>
      <c r="M1258" s="5" t="s">
        <v>30</v>
      </c>
      <c r="N1258" s="4">
        <v>0</v>
      </c>
      <c r="O1258" s="4" t="s">
        <v>55</v>
      </c>
      <c r="P1258" s="3" t="s">
        <v>52</v>
      </c>
      <c r="Q1258" s="3">
        <v>21</v>
      </c>
      <c r="R1258" s="2" t="s">
        <v>52</v>
      </c>
      <c r="S1258" s="10" t="s">
        <v>32</v>
      </c>
      <c r="T1258" s="4" t="str">
        <f>IF(OR(Tabela1[[#This Row],[Grau de Risco]]="Médio",Tabela1[[#This Row],[Grau de Risco]]="Baixo"),"Não","Sim")</f>
        <v>Não</v>
      </c>
    </row>
    <row r="1259" spans="1:20" hidden="1">
      <c r="A1259" s="4" t="s">
        <v>9</v>
      </c>
      <c r="B1259" s="10" t="s">
        <v>1800</v>
      </c>
      <c r="C1259" s="4" t="s">
        <v>89</v>
      </c>
      <c r="D1259" s="38" t="s">
        <v>1382</v>
      </c>
      <c r="E1259" s="3">
        <v>19</v>
      </c>
      <c r="F1259" s="3">
        <v>8</v>
      </c>
      <c r="G1259" s="3">
        <v>2020</v>
      </c>
      <c r="H1259" s="36" t="s">
        <v>112</v>
      </c>
      <c r="I1259" s="7" t="s">
        <v>120</v>
      </c>
      <c r="J1259" s="4" t="s">
        <v>111</v>
      </c>
      <c r="K1259" s="3">
        <v>3</v>
      </c>
      <c r="L1259" s="3">
        <v>0</v>
      </c>
      <c r="M1259" s="4" t="s">
        <v>30</v>
      </c>
      <c r="N1259" s="4"/>
      <c r="O1259" s="4" t="s">
        <v>74</v>
      </c>
      <c r="P1259" s="3" t="s">
        <v>52</v>
      </c>
      <c r="Q1259" s="11">
        <v>3</v>
      </c>
      <c r="R1259" s="3" t="str">
        <f>IF(Q1259="","",IF(Q1259&lt;4,"Crítico",IF(Q1259&lt;9,"Alto",IF(Q1259&lt;14,"Médio","Baixo"))))</f>
        <v>Crítico</v>
      </c>
      <c r="S1259" s="10" t="s">
        <v>63</v>
      </c>
      <c r="T1259" s="4" t="str">
        <f>IF(OR(Tabela1[[#This Row],[Grau de Risco]]="Médio",Tabela1[[#This Row],[Grau de Risco]]="Baixo"),"Não","Sim")</f>
        <v>Sim</v>
      </c>
    </row>
    <row r="1260" spans="1:20" hidden="1">
      <c r="A1260" s="4" t="s">
        <v>2</v>
      </c>
      <c r="B1260" s="10" t="s">
        <v>1805</v>
      </c>
      <c r="C1260" s="4" t="s">
        <v>64</v>
      </c>
      <c r="D1260" s="38" t="s">
        <v>1393</v>
      </c>
      <c r="E1260" s="3">
        <v>22</v>
      </c>
      <c r="F1260" s="3">
        <v>9</v>
      </c>
      <c r="G1260" s="3">
        <v>2020</v>
      </c>
      <c r="H1260" s="36" t="s">
        <v>112</v>
      </c>
      <c r="I1260" s="7" t="s">
        <v>121</v>
      </c>
      <c r="J1260" s="4" t="s">
        <v>111</v>
      </c>
      <c r="K1260" s="3">
        <v>15</v>
      </c>
      <c r="L1260" s="3">
        <v>0</v>
      </c>
      <c r="M1260" s="4" t="s">
        <v>30</v>
      </c>
      <c r="N1260" s="4"/>
      <c r="O1260" s="4" t="s">
        <v>4</v>
      </c>
      <c r="P1260" s="3" t="s">
        <v>31</v>
      </c>
      <c r="Q1260" s="11">
        <v>7</v>
      </c>
      <c r="R1260" s="3" t="str">
        <f>IF(Q1260="","",IF(Q1260&lt;4,"Crítico",IF(Q1260&lt;9,"Alto",IF(Q1260&lt;14,"Médio","Baixo"))))</f>
        <v>Alto</v>
      </c>
      <c r="S1260" s="10" t="s">
        <v>63</v>
      </c>
      <c r="T1260" s="4" t="str">
        <f>IF(OR(Tabela1[[#This Row],[Grau de Risco]]="Médio",Tabela1[[#This Row],[Grau de Risco]]="Baixo"),"Não","Sim")</f>
        <v>Sim</v>
      </c>
    </row>
    <row r="1261" spans="1:20">
      <c r="A1261" s="5" t="s">
        <v>2</v>
      </c>
      <c r="B1261" s="10" t="s">
        <v>1809</v>
      </c>
      <c r="C1261" s="5" t="s">
        <v>26</v>
      </c>
      <c r="D1261" s="38" t="s">
        <v>1382</v>
      </c>
      <c r="E1261" s="3">
        <v>9</v>
      </c>
      <c r="F1261" s="3">
        <v>9</v>
      </c>
      <c r="G1261" s="3">
        <v>2020</v>
      </c>
      <c r="H1261" s="4" t="s">
        <v>27</v>
      </c>
      <c r="I1261" s="7" t="s">
        <v>130</v>
      </c>
      <c r="J1261" s="4" t="s">
        <v>35</v>
      </c>
      <c r="K1261" s="3">
        <v>1</v>
      </c>
      <c r="L1261" s="3">
        <v>0</v>
      </c>
      <c r="M1261" s="5" t="s">
        <v>30</v>
      </c>
      <c r="N1261" s="4">
        <v>1</v>
      </c>
      <c r="O1261" s="4" t="s">
        <v>51</v>
      </c>
      <c r="P1261" s="3" t="s">
        <v>31</v>
      </c>
      <c r="Q1261" s="3">
        <v>13</v>
      </c>
      <c r="R1261" s="2" t="s">
        <v>31</v>
      </c>
      <c r="S1261" s="10" t="s">
        <v>32</v>
      </c>
      <c r="T1261" s="4" t="str">
        <f>IF(OR(Tabela1[[#This Row],[Grau de Risco]]="Médio",Tabela1[[#This Row],[Grau de Risco]]="Baixo"),"Não","Sim")</f>
        <v>Não</v>
      </c>
    </row>
    <row r="1262" spans="1:20">
      <c r="A1262" s="4" t="s">
        <v>2</v>
      </c>
      <c r="B1262" s="10" t="s">
        <v>1809</v>
      </c>
      <c r="C1262" s="4" t="s">
        <v>133</v>
      </c>
      <c r="D1262" s="58" t="s">
        <v>1409</v>
      </c>
      <c r="E1262" s="3">
        <v>30</v>
      </c>
      <c r="F1262" s="3">
        <v>9</v>
      </c>
      <c r="G1262" s="3">
        <v>2021</v>
      </c>
      <c r="H1262" s="34" t="s">
        <v>59</v>
      </c>
      <c r="I1262" s="7" t="s">
        <v>161</v>
      </c>
      <c r="J1262" s="4" t="s">
        <v>135</v>
      </c>
      <c r="K1262" s="3">
        <v>5</v>
      </c>
      <c r="L1262" s="3">
        <v>0</v>
      </c>
      <c r="M1262" s="4" t="s">
        <v>30</v>
      </c>
      <c r="N1262" s="4"/>
      <c r="O1262" s="4" t="s">
        <v>85</v>
      </c>
      <c r="P1262" s="3" t="s">
        <v>31</v>
      </c>
      <c r="Q1262" s="11">
        <v>6</v>
      </c>
      <c r="R1262" s="3" t="str">
        <f>IF(Q1262="","",IF(Q1262&lt;4,"Crítico",IF(Q1262&lt;9,"Alto",IF(Q1262&lt;14,"Médio","Baixo"))))</f>
        <v>Alto</v>
      </c>
      <c r="S1262" s="10" t="s">
        <v>63</v>
      </c>
      <c r="T1262" s="4" t="str">
        <f>IF(OR(Tabela1[[#This Row],[Grau de Risco]]="Médio",Tabela1[[#This Row],[Grau de Risco]]="Baixo"),"Não","Sim")</f>
        <v>Sim</v>
      </c>
    </row>
    <row r="1263" spans="1:20">
      <c r="A1263" s="4" t="s">
        <v>2</v>
      </c>
      <c r="B1263" s="10" t="s">
        <v>1809</v>
      </c>
      <c r="C1263" s="4" t="s">
        <v>133</v>
      </c>
      <c r="D1263" s="38" t="s">
        <v>47</v>
      </c>
      <c r="E1263" s="3">
        <v>22</v>
      </c>
      <c r="F1263" s="3">
        <v>10</v>
      </c>
      <c r="G1263" s="3">
        <v>2021</v>
      </c>
      <c r="H1263" s="36" t="s">
        <v>82</v>
      </c>
      <c r="I1263" s="7" t="s">
        <v>186</v>
      </c>
      <c r="J1263" s="4" t="s">
        <v>111</v>
      </c>
      <c r="K1263" s="3">
        <v>360</v>
      </c>
      <c r="L1263" s="3">
        <v>0</v>
      </c>
      <c r="M1263" s="4" t="s">
        <v>30</v>
      </c>
      <c r="N1263" s="4"/>
      <c r="O1263" s="4" t="s">
        <v>85</v>
      </c>
      <c r="P1263" s="3" t="s">
        <v>102</v>
      </c>
      <c r="Q1263" s="11">
        <v>6</v>
      </c>
      <c r="R1263" s="3" t="str">
        <f>IF(Q1263="","",IF(Q1263&lt;4,"Crítico",IF(Q1263&lt;9,"Alto",IF(Q1263&lt;14,"Médio","Baixo"))))</f>
        <v>Alto</v>
      </c>
      <c r="S1263" s="10" t="s">
        <v>63</v>
      </c>
      <c r="T1263" s="4" t="str">
        <f>IF(OR(Tabela1[[#This Row],[Grau de Risco]]="Médio",Tabela1[[#This Row],[Grau de Risco]]="Baixo"),"Não","Sim")</f>
        <v>Sim</v>
      </c>
    </row>
    <row r="1264" spans="1:20">
      <c r="A1264" s="4" t="s">
        <v>7</v>
      </c>
      <c r="B1264" s="10" t="s">
        <v>1809</v>
      </c>
      <c r="C1264" s="4" t="s">
        <v>133</v>
      </c>
      <c r="D1264" s="38" t="s">
        <v>1320</v>
      </c>
      <c r="E1264" s="3">
        <v>16</v>
      </c>
      <c r="F1264" s="3">
        <v>8</v>
      </c>
      <c r="G1264" s="3">
        <v>2021</v>
      </c>
      <c r="H1264" s="36" t="s">
        <v>33</v>
      </c>
      <c r="I1264" s="7" t="s">
        <v>228</v>
      </c>
      <c r="J1264" s="4" t="s">
        <v>229</v>
      </c>
      <c r="K1264" s="3" t="s">
        <v>62</v>
      </c>
      <c r="L1264" s="3" t="s">
        <v>44</v>
      </c>
      <c r="M1264" s="4" t="s">
        <v>30</v>
      </c>
      <c r="N1264" s="4"/>
      <c r="O1264" s="4" t="s">
        <v>55</v>
      </c>
      <c r="P1264" s="3" t="s">
        <v>52</v>
      </c>
      <c r="Q1264" s="11">
        <v>21</v>
      </c>
      <c r="R1264" s="3" t="str">
        <f>IF(Q1264="","",IF(Q1264&lt;4,"Crítico",IF(Q1264&lt;9,"Alto",IF(Q1264&lt;14,"Médio","Baixo"))))</f>
        <v>Baixo</v>
      </c>
      <c r="S1264" s="10" t="s">
        <v>63</v>
      </c>
      <c r="T1264" s="4" t="str">
        <f>IF(OR(Tabela1[[#This Row],[Grau de Risco]]="Médio",Tabela1[[#This Row],[Grau de Risco]]="Baixo"),"Não","Sim")</f>
        <v>Não</v>
      </c>
    </row>
    <row r="1265" spans="1:20">
      <c r="A1265" s="4" t="s">
        <v>2</v>
      </c>
      <c r="B1265" s="10" t="s">
        <v>1809</v>
      </c>
      <c r="C1265" s="4" t="s">
        <v>133</v>
      </c>
      <c r="D1265" s="38" t="s">
        <v>1393</v>
      </c>
      <c r="E1265" s="3">
        <v>5</v>
      </c>
      <c r="F1265" s="3">
        <v>10</v>
      </c>
      <c r="G1265" s="3">
        <v>2021</v>
      </c>
      <c r="H1265" s="4" t="s">
        <v>27</v>
      </c>
      <c r="I1265" s="7" t="s">
        <v>233</v>
      </c>
      <c r="J1265" s="4" t="s">
        <v>115</v>
      </c>
      <c r="K1265" s="3">
        <v>3</v>
      </c>
      <c r="L1265" s="3">
        <v>0</v>
      </c>
      <c r="M1265" s="4" t="s">
        <v>30</v>
      </c>
      <c r="N1265" s="4"/>
      <c r="O1265" s="4" t="s">
        <v>55</v>
      </c>
      <c r="P1265" s="3" t="s">
        <v>52</v>
      </c>
      <c r="Q1265" s="11">
        <v>9</v>
      </c>
      <c r="R1265" s="3" t="str">
        <f>IF(Q1265="","",IF(Q1265&lt;4,"Crítico",IF(Q1265&lt;9,"Alto",IF(Q1265&lt;14,"Médio","Baixo"))))</f>
        <v>Médio</v>
      </c>
      <c r="S1265" s="10" t="s">
        <v>63</v>
      </c>
      <c r="T1265" s="4" t="str">
        <f>IF(OR(Tabela1[[#This Row],[Grau de Risco]]="Médio",Tabela1[[#This Row],[Grau de Risco]]="Baixo"),"Não","Sim")</f>
        <v>Não</v>
      </c>
    </row>
    <row r="1266" spans="1:20" hidden="1">
      <c r="A1266" s="4" t="s">
        <v>2</v>
      </c>
      <c r="B1266" s="10" t="s">
        <v>1793</v>
      </c>
      <c r="C1266" s="4"/>
      <c r="D1266" s="38" t="s">
        <v>1393</v>
      </c>
      <c r="E1266" s="3">
        <v>15</v>
      </c>
      <c r="F1266" s="3">
        <v>3</v>
      </c>
      <c r="G1266" s="3">
        <v>2022</v>
      </c>
      <c r="H1266" s="36" t="s">
        <v>82</v>
      </c>
      <c r="I1266" s="7" t="s">
        <v>247</v>
      </c>
      <c r="J1266" s="4" t="s">
        <v>93</v>
      </c>
      <c r="K1266" s="3">
        <v>5</v>
      </c>
      <c r="L1266" s="3">
        <v>0</v>
      </c>
      <c r="M1266" s="4" t="s">
        <v>30</v>
      </c>
      <c r="N1266" s="4">
        <v>0</v>
      </c>
      <c r="O1266" s="4" t="s">
        <v>248</v>
      </c>
      <c r="P1266" s="3" t="s">
        <v>31</v>
      </c>
      <c r="Q1266" s="11">
        <v>10</v>
      </c>
      <c r="R1266" s="3" t="s">
        <v>31</v>
      </c>
      <c r="S1266" s="10" t="s">
        <v>180</v>
      </c>
      <c r="T1266" s="4" t="str">
        <f>IF(OR(Tabela1[[#This Row],[Grau de Risco]]="Médio",Tabela1[[#This Row],[Grau de Risco]]="Baixo"),"Não","Sim")</f>
        <v>Não</v>
      </c>
    </row>
    <row r="1267" spans="1:20">
      <c r="A1267" s="5" t="s">
        <v>8</v>
      </c>
      <c r="B1267" s="10" t="s">
        <v>1809</v>
      </c>
      <c r="C1267" s="5" t="s">
        <v>26</v>
      </c>
      <c r="D1267" s="38" t="s">
        <v>1382</v>
      </c>
      <c r="E1267" s="2">
        <v>6</v>
      </c>
      <c r="F1267" s="2">
        <v>4</v>
      </c>
      <c r="G1267" s="2">
        <v>2022</v>
      </c>
      <c r="H1267" s="36" t="s">
        <v>107</v>
      </c>
      <c r="I1267" s="5" t="s">
        <v>310</v>
      </c>
      <c r="J1267" s="5" t="s">
        <v>54</v>
      </c>
      <c r="K1267" s="2">
        <v>0</v>
      </c>
      <c r="L1267" s="2">
        <v>0</v>
      </c>
      <c r="M1267" s="5" t="s">
        <v>30</v>
      </c>
      <c r="N1267" s="5">
        <v>0</v>
      </c>
      <c r="O1267" s="5" t="s">
        <v>4</v>
      </c>
      <c r="P1267" s="3" t="s">
        <v>52</v>
      </c>
      <c r="Q1267" s="2">
        <v>6</v>
      </c>
      <c r="R1267" s="2" t="s">
        <v>52</v>
      </c>
      <c r="S1267" s="5" t="s">
        <v>56</v>
      </c>
      <c r="T1267" s="4" t="str">
        <f>IF(OR(Tabela1[[#This Row],[Grau de Risco]]="Médio",Tabela1[[#This Row],[Grau de Risco]]="Baixo"),"Não","Sim")</f>
        <v>Não</v>
      </c>
    </row>
    <row r="1268" spans="1:20" hidden="1">
      <c r="A1268" s="4" t="s">
        <v>2</v>
      </c>
      <c r="B1268" s="10" t="s">
        <v>1803</v>
      </c>
      <c r="C1268" s="4"/>
      <c r="D1268" s="38" t="s">
        <v>1382</v>
      </c>
      <c r="E1268" s="3">
        <v>5</v>
      </c>
      <c r="F1268" s="3">
        <v>10</v>
      </c>
      <c r="G1268" s="3">
        <v>2022</v>
      </c>
      <c r="H1268" s="5" t="s">
        <v>123</v>
      </c>
      <c r="I1268" s="7" t="s">
        <v>353</v>
      </c>
      <c r="J1268" s="4" t="s">
        <v>61</v>
      </c>
      <c r="K1268" s="3">
        <v>15</v>
      </c>
      <c r="L1268" s="3">
        <v>0</v>
      </c>
      <c r="M1268" s="4" t="s">
        <v>30</v>
      </c>
      <c r="N1268" s="4"/>
      <c r="O1268" s="4" t="s">
        <v>45</v>
      </c>
      <c r="P1268" s="3" t="s">
        <v>31</v>
      </c>
      <c r="Q1268" s="11">
        <v>13</v>
      </c>
      <c r="R1268" s="3" t="str">
        <f>IF(Q1268="","",IF(Q1268&lt;4,"Crítico",IF(Q1268&lt;9,"Alto",IF(Q1268&lt;14,"Médio","Baixo"))))</f>
        <v>Médio</v>
      </c>
      <c r="S1268" s="10" t="s">
        <v>63</v>
      </c>
      <c r="T1268" s="4" t="str">
        <f>IF(OR(Tabela1[[#This Row],[Grau de Risco]]="Médio",Tabela1[[#This Row],[Grau de Risco]]="Baixo"),"Não","Sim")</f>
        <v>Não</v>
      </c>
    </row>
    <row r="1269" spans="1:20">
      <c r="A1269" s="5" t="s">
        <v>10</v>
      </c>
      <c r="B1269" s="10" t="s">
        <v>1809</v>
      </c>
      <c r="C1269" s="5" t="s">
        <v>81</v>
      </c>
      <c r="D1269" s="38" t="s">
        <v>1382</v>
      </c>
      <c r="E1269" s="2">
        <v>12</v>
      </c>
      <c r="F1269" s="2">
        <v>4</v>
      </c>
      <c r="G1269" s="2">
        <v>2022</v>
      </c>
      <c r="H1269" s="5" t="s">
        <v>123</v>
      </c>
      <c r="I1269" s="5" t="s">
        <v>362</v>
      </c>
      <c r="J1269" s="5" t="s">
        <v>54</v>
      </c>
      <c r="K1269" s="2">
        <v>0</v>
      </c>
      <c r="L1269" s="2">
        <v>0</v>
      </c>
      <c r="M1269" s="5" t="s">
        <v>30</v>
      </c>
      <c r="O1269" s="5" t="s">
        <v>101</v>
      </c>
      <c r="P1269" s="2" t="s">
        <v>31</v>
      </c>
      <c r="Q1269" s="2">
        <v>4</v>
      </c>
      <c r="R1269" s="2" t="s">
        <v>102</v>
      </c>
      <c r="S1269" s="5" t="s">
        <v>63</v>
      </c>
      <c r="T1269" s="4" t="str">
        <f>IF(OR(Tabela1[[#This Row],[Grau de Risco]]="Médio",Tabela1[[#This Row],[Grau de Risco]]="Baixo"),"Não","Sim")</f>
        <v>Sim</v>
      </c>
    </row>
    <row r="1270" spans="1:20">
      <c r="A1270" s="5" t="s">
        <v>9</v>
      </c>
      <c r="B1270" s="10" t="s">
        <v>1809</v>
      </c>
      <c r="C1270" s="5" t="s">
        <v>26</v>
      </c>
      <c r="D1270" s="38" t="s">
        <v>1382</v>
      </c>
      <c r="E1270" s="2">
        <v>7</v>
      </c>
      <c r="F1270" s="2">
        <v>12</v>
      </c>
      <c r="G1270" s="2">
        <v>2022</v>
      </c>
      <c r="H1270" s="36" t="s">
        <v>112</v>
      </c>
      <c r="I1270" s="5" t="s">
        <v>385</v>
      </c>
      <c r="J1270" s="5" t="s">
        <v>38</v>
      </c>
      <c r="K1270" s="2">
        <v>4</v>
      </c>
      <c r="L1270" s="2">
        <v>0</v>
      </c>
      <c r="M1270" s="5" t="s">
        <v>30</v>
      </c>
      <c r="N1270" s="5">
        <v>0</v>
      </c>
      <c r="O1270" s="5" t="s">
        <v>386</v>
      </c>
      <c r="P1270" s="2" t="s">
        <v>31</v>
      </c>
      <c r="Q1270" s="2">
        <v>13</v>
      </c>
      <c r="R1270" s="2" t="s">
        <v>31</v>
      </c>
      <c r="S1270" s="5" t="s">
        <v>63</v>
      </c>
      <c r="T1270" s="4" t="str">
        <f>IF(OR(Tabela1[[#This Row],[Grau de Risco]]="Médio",Tabela1[[#This Row],[Grau de Risco]]="Baixo"),"Não","Sim")</f>
        <v>Não</v>
      </c>
    </row>
    <row r="1271" spans="1:20" hidden="1">
      <c r="A1271" s="4" t="s">
        <v>2</v>
      </c>
      <c r="B1271" s="10" t="s">
        <v>1805</v>
      </c>
      <c r="C1271" s="4" t="s">
        <v>26</v>
      </c>
      <c r="D1271" s="38" t="s">
        <v>47</v>
      </c>
      <c r="E1271" s="3">
        <v>8</v>
      </c>
      <c r="F1271" s="3">
        <v>12</v>
      </c>
      <c r="G1271" s="3">
        <v>2023</v>
      </c>
      <c r="H1271" s="5" t="s">
        <v>256</v>
      </c>
      <c r="I1271" s="7" t="s">
        <v>485</v>
      </c>
      <c r="J1271" s="4" t="s">
        <v>150</v>
      </c>
      <c r="K1271" s="3">
        <v>23</v>
      </c>
      <c r="L1271" s="3">
        <v>0</v>
      </c>
      <c r="M1271" s="4" t="s">
        <v>30</v>
      </c>
      <c r="N1271" s="4">
        <v>0</v>
      </c>
      <c r="O1271" s="4" t="s">
        <v>45</v>
      </c>
      <c r="P1271" s="3" t="s">
        <v>31</v>
      </c>
      <c r="Q1271" s="11">
        <v>11</v>
      </c>
      <c r="R1271" s="3" t="s">
        <v>31</v>
      </c>
      <c r="S1271" s="10" t="s">
        <v>144</v>
      </c>
      <c r="T1271" s="4" t="str">
        <f>IF(OR(Tabela1[[#This Row],[Grau de Risco]]="Médio",Tabela1[[#This Row],[Grau de Risco]]="Baixo"),"Não","Sim")</f>
        <v>Não</v>
      </c>
    </row>
    <row r="1272" spans="1:20">
      <c r="A1272" s="4" t="s">
        <v>7</v>
      </c>
      <c r="B1272" s="10" t="s">
        <v>1809</v>
      </c>
      <c r="C1272" s="4" t="s">
        <v>26</v>
      </c>
      <c r="D1272" s="58" t="s">
        <v>1409</v>
      </c>
      <c r="E1272" s="3">
        <v>19</v>
      </c>
      <c r="F1272" s="3">
        <v>10</v>
      </c>
      <c r="G1272" s="3">
        <v>2023</v>
      </c>
      <c r="H1272" s="36" t="s">
        <v>112</v>
      </c>
      <c r="I1272" s="7" t="s">
        <v>506</v>
      </c>
      <c r="J1272" s="4" t="s">
        <v>73</v>
      </c>
      <c r="K1272" s="3">
        <v>0</v>
      </c>
      <c r="L1272" s="3">
        <v>0</v>
      </c>
      <c r="M1272" s="4" t="s">
        <v>30</v>
      </c>
      <c r="N1272" s="4">
        <v>0</v>
      </c>
      <c r="O1272" s="4" t="s">
        <v>51</v>
      </c>
      <c r="P1272" s="3" t="s">
        <v>52</v>
      </c>
      <c r="Q1272" s="11">
        <v>15</v>
      </c>
      <c r="R1272" s="3" t="str">
        <f>IF(Q1272="","",IF(Q1272&lt;4,"Crítico",IF(Q1272&lt;9,"Alto",IF(Q1272&lt;14,"Médio","Baixo"))))</f>
        <v>Baixo</v>
      </c>
      <c r="S1272" s="10" t="s">
        <v>32</v>
      </c>
      <c r="T1272" s="4" t="str">
        <f>IF(OR(Tabela1[[#This Row],[Grau de Risco]]="Médio",Tabela1[[#This Row],[Grau de Risco]]="Baixo"),"Não","Sim")</f>
        <v>Não</v>
      </c>
    </row>
    <row r="1273" spans="1:20" hidden="1">
      <c r="A1273" s="4" t="s">
        <v>8</v>
      </c>
      <c r="B1273" s="10" t="s">
        <v>1805</v>
      </c>
      <c r="C1273" s="4" t="s">
        <v>81</v>
      </c>
      <c r="D1273" s="38" t="s">
        <v>1393</v>
      </c>
      <c r="E1273" s="3">
        <v>12</v>
      </c>
      <c r="F1273" s="3">
        <v>12</v>
      </c>
      <c r="G1273" s="3">
        <v>2023</v>
      </c>
      <c r="H1273" s="4" t="s">
        <v>27</v>
      </c>
      <c r="I1273" s="7" t="s">
        <v>524</v>
      </c>
      <c r="J1273" s="4" t="s">
        <v>61</v>
      </c>
      <c r="K1273" s="3" t="s">
        <v>62</v>
      </c>
      <c r="L1273" s="3">
        <v>0</v>
      </c>
      <c r="M1273" s="4" t="s">
        <v>30</v>
      </c>
      <c r="N1273" s="4">
        <v>0</v>
      </c>
      <c r="O1273" s="4" t="s">
        <v>88</v>
      </c>
      <c r="P1273" s="3" t="s">
        <v>52</v>
      </c>
      <c r="Q1273" s="11">
        <v>11</v>
      </c>
      <c r="R1273" s="3" t="str">
        <f>IF(Q1273="","",IF(Q1273&lt;4,"Crítico",IF(Q1273&lt;9,"Alto",IF(Q1273&lt;14,"Médio","Baixo"))))</f>
        <v>Médio</v>
      </c>
      <c r="S1273" s="10" t="s">
        <v>32</v>
      </c>
      <c r="T1273" s="4" t="str">
        <f>IF(OR(Tabela1[[#This Row],[Grau de Risco]]="Médio",Tabela1[[#This Row],[Grau de Risco]]="Baixo"),"Não","Sim")</f>
        <v>Não</v>
      </c>
    </row>
    <row r="1274" spans="1:20">
      <c r="A1274" s="4" t="s">
        <v>8</v>
      </c>
      <c r="B1274" s="10" t="s">
        <v>1809</v>
      </c>
      <c r="C1274" s="4" t="s">
        <v>26</v>
      </c>
      <c r="D1274" s="38" t="s">
        <v>1393</v>
      </c>
      <c r="E1274" s="3">
        <v>14</v>
      </c>
      <c r="F1274" s="3">
        <v>3</v>
      </c>
      <c r="G1274" s="3">
        <v>2023</v>
      </c>
      <c r="H1274" s="4" t="s">
        <v>27</v>
      </c>
      <c r="I1274" s="7" t="s">
        <v>423</v>
      </c>
      <c r="J1274" s="4" t="s">
        <v>38</v>
      </c>
      <c r="K1274" s="3">
        <v>0</v>
      </c>
      <c r="L1274" s="3">
        <v>0</v>
      </c>
      <c r="M1274" s="4" t="s">
        <v>30</v>
      </c>
      <c r="N1274" s="4">
        <v>0</v>
      </c>
      <c r="O1274" s="4" t="s">
        <v>51</v>
      </c>
      <c r="P1274" s="3" t="s">
        <v>31</v>
      </c>
      <c r="Q1274" s="11">
        <v>13</v>
      </c>
      <c r="R1274" s="2" t="s">
        <v>31</v>
      </c>
      <c r="S1274" s="10" t="s">
        <v>141</v>
      </c>
      <c r="T1274" s="4" t="str">
        <f>IF(OR(Tabela1[[#This Row],[Grau de Risco]]="Médio",Tabela1[[#This Row],[Grau de Risco]]="Baixo"),"Não","Sim")</f>
        <v>Não</v>
      </c>
    </row>
    <row r="1275" spans="1:20" hidden="1">
      <c r="A1275" s="4" t="s">
        <v>10</v>
      </c>
      <c r="B1275" s="23" t="s">
        <v>1793</v>
      </c>
      <c r="C1275" s="4" t="s">
        <v>81</v>
      </c>
      <c r="D1275" s="38" t="s">
        <v>1382</v>
      </c>
      <c r="E1275" s="3">
        <v>12</v>
      </c>
      <c r="F1275" s="3">
        <v>4</v>
      </c>
      <c r="G1275" s="3">
        <v>2023</v>
      </c>
      <c r="H1275" s="5" t="s">
        <v>123</v>
      </c>
      <c r="I1275" s="7" t="s">
        <v>589</v>
      </c>
      <c r="J1275" s="4" t="s">
        <v>54</v>
      </c>
      <c r="K1275" s="3">
        <v>0</v>
      </c>
      <c r="L1275" s="3"/>
      <c r="M1275" s="4"/>
      <c r="N1275" s="4"/>
      <c r="O1275" s="4" t="s">
        <v>101</v>
      </c>
      <c r="P1275" s="3" t="s">
        <v>31</v>
      </c>
      <c r="Q1275" s="11">
        <v>4</v>
      </c>
      <c r="R1275" s="3" t="s">
        <v>102</v>
      </c>
      <c r="S1275" s="10" t="s">
        <v>63</v>
      </c>
      <c r="T1275" s="4" t="str">
        <f>IF(OR(Tabela1[[#This Row],[Grau de Risco]]="Médio",Tabela1[[#This Row],[Grau de Risco]]="Baixo"),"Não","Sim")</f>
        <v>Sim</v>
      </c>
    </row>
    <row r="1276" spans="1:20" hidden="1">
      <c r="A1276" s="4" t="s">
        <v>8</v>
      </c>
      <c r="B1276" s="10" t="s">
        <v>1805</v>
      </c>
      <c r="C1276" s="4" t="s">
        <v>46</v>
      </c>
      <c r="D1276" s="38" t="s">
        <v>47</v>
      </c>
      <c r="E1276" s="3">
        <v>30</v>
      </c>
      <c r="F1276" s="3">
        <v>6</v>
      </c>
      <c r="G1276" s="3">
        <v>2023</v>
      </c>
      <c r="H1276" s="36" t="s">
        <v>82</v>
      </c>
      <c r="I1276" s="7" t="s">
        <v>670</v>
      </c>
      <c r="J1276" s="4" t="s">
        <v>61</v>
      </c>
      <c r="K1276" s="3">
        <v>0</v>
      </c>
      <c r="L1276" s="3">
        <v>0</v>
      </c>
      <c r="M1276" s="4" t="s">
        <v>30</v>
      </c>
      <c r="N1276" s="4"/>
      <c r="O1276" s="4" t="s">
        <v>4</v>
      </c>
      <c r="P1276" s="3" t="s">
        <v>52</v>
      </c>
      <c r="Q1276" s="11">
        <v>10</v>
      </c>
      <c r="R1276" s="3" t="str">
        <f>IF(Q1276="","",IF(Q1276&lt;4,"Crítico",IF(Q1276&lt;9,"Alto",IF(Q1276&lt;14,"Médio","Baixo"))))</f>
        <v>Médio</v>
      </c>
      <c r="S1276" s="5" t="s">
        <v>56</v>
      </c>
      <c r="T1276" s="4" t="str">
        <f>IF(OR(Tabela1[[#This Row],[Grau de Risco]]="Médio",Tabela1[[#This Row],[Grau de Risco]]="Baixo"),"Não","Sim")</f>
        <v>Não</v>
      </c>
    </row>
    <row r="1277" spans="1:20" hidden="1">
      <c r="A1277" s="5" t="s">
        <v>7</v>
      </c>
      <c r="B1277" s="47" t="s">
        <v>1805</v>
      </c>
      <c r="C1277" s="47" t="s">
        <v>81</v>
      </c>
      <c r="D1277" s="38" t="s">
        <v>1393</v>
      </c>
      <c r="E1277" s="31">
        <v>2</v>
      </c>
      <c r="F1277" s="31">
        <v>7</v>
      </c>
      <c r="G1277" s="31">
        <v>2024</v>
      </c>
      <c r="H1277" s="36" t="s">
        <v>66</v>
      </c>
      <c r="I1277" s="47" t="s">
        <v>755</v>
      </c>
      <c r="J1277" s="47" t="s">
        <v>54</v>
      </c>
      <c r="K1277" s="3" t="s">
        <v>44</v>
      </c>
      <c r="L1277" s="41" t="s">
        <v>30</v>
      </c>
      <c r="M1277" s="41" t="s">
        <v>30</v>
      </c>
      <c r="N1277" s="41" t="s">
        <v>44</v>
      </c>
      <c r="O1277" s="47"/>
      <c r="P1277" s="47"/>
      <c r="Q1277" s="47">
        <v>10</v>
      </c>
      <c r="R1277" s="32" t="s">
        <v>31</v>
      </c>
      <c r="S1277" s="5" t="s">
        <v>56</v>
      </c>
      <c r="T1277" s="4" t="str">
        <f>IF(OR(Tabela1[[#This Row],[Grau de Risco]]="Médio",Tabela1[[#This Row],[Grau de Risco]]="Baixo"),"Não","Sim")</f>
        <v>Não</v>
      </c>
    </row>
    <row r="1278" spans="1:20" hidden="1">
      <c r="A1278" s="4" t="s">
        <v>9</v>
      </c>
      <c r="B1278" s="10" t="s">
        <v>1805</v>
      </c>
      <c r="C1278" s="4" t="s">
        <v>26</v>
      </c>
      <c r="D1278" s="38" t="s">
        <v>1320</v>
      </c>
      <c r="E1278" s="3">
        <v>4</v>
      </c>
      <c r="F1278" s="3">
        <v>3</v>
      </c>
      <c r="G1278" s="3">
        <v>2024</v>
      </c>
      <c r="H1278" s="36" t="s">
        <v>375</v>
      </c>
      <c r="I1278" s="7" t="s">
        <v>819</v>
      </c>
      <c r="J1278" s="4" t="s">
        <v>150</v>
      </c>
      <c r="K1278" s="3">
        <v>3</v>
      </c>
      <c r="L1278" s="3">
        <v>0</v>
      </c>
      <c r="M1278" s="4" t="s">
        <v>30</v>
      </c>
      <c r="N1278" s="4">
        <v>0</v>
      </c>
      <c r="O1278" s="4" t="s">
        <v>55</v>
      </c>
      <c r="P1278" s="3" t="s">
        <v>52</v>
      </c>
      <c r="Q1278" s="11">
        <v>14</v>
      </c>
      <c r="R1278" s="3" t="s">
        <v>52</v>
      </c>
      <c r="S1278" s="5" t="s">
        <v>56</v>
      </c>
      <c r="T1278" s="4" t="str">
        <f>IF(OR(Tabela1[[#This Row],[Grau de Risco]]="Médio",Tabela1[[#This Row],[Grau de Risco]]="Baixo"),"Não","Sim")</f>
        <v>Não</v>
      </c>
    </row>
    <row r="1279" spans="1:20">
      <c r="A1279" s="4" t="s">
        <v>7</v>
      </c>
      <c r="B1279" s="10" t="s">
        <v>1809</v>
      </c>
      <c r="C1279" s="4" t="s">
        <v>125</v>
      </c>
      <c r="D1279" s="38" t="s">
        <v>1382</v>
      </c>
      <c r="E1279" s="3">
        <v>7</v>
      </c>
      <c r="F1279" s="3">
        <v>2</v>
      </c>
      <c r="G1279" s="3">
        <v>2024</v>
      </c>
      <c r="H1279" s="5" t="s">
        <v>71</v>
      </c>
      <c r="I1279" s="7" t="s">
        <v>877</v>
      </c>
      <c r="J1279" s="4" t="s">
        <v>135</v>
      </c>
      <c r="K1279" s="3" t="s">
        <v>62</v>
      </c>
      <c r="L1279" s="3"/>
      <c r="M1279" s="4"/>
      <c r="N1279" s="4"/>
      <c r="O1279" s="4" t="s">
        <v>559</v>
      </c>
      <c r="P1279" s="3" t="s">
        <v>62</v>
      </c>
      <c r="Q1279" s="11">
        <v>15</v>
      </c>
      <c r="R1279" s="3" t="s">
        <v>52</v>
      </c>
      <c r="S1279" s="10" t="s">
        <v>141</v>
      </c>
      <c r="T1279" s="4" t="str">
        <f>IF(OR(Tabela1[[#This Row],[Grau de Risco]]="Médio",Tabela1[[#This Row],[Grau de Risco]]="Baixo"),"Não","Sim")</f>
        <v>Não</v>
      </c>
    </row>
    <row r="1280" spans="1:20" hidden="1">
      <c r="A1280" s="4" t="s">
        <v>8</v>
      </c>
      <c r="B1280" s="10" t="s">
        <v>1797</v>
      </c>
      <c r="C1280" s="4" t="s">
        <v>125</v>
      </c>
      <c r="D1280" s="38" t="s">
        <v>1320</v>
      </c>
      <c r="E1280" s="3">
        <v>10</v>
      </c>
      <c r="F1280" s="3">
        <v>6</v>
      </c>
      <c r="G1280" s="3">
        <v>2024</v>
      </c>
      <c r="H1280" s="36" t="s">
        <v>112</v>
      </c>
      <c r="I1280" s="7" t="s">
        <v>879</v>
      </c>
      <c r="J1280" s="4" t="s">
        <v>76</v>
      </c>
      <c r="K1280" s="3" t="s">
        <v>44</v>
      </c>
      <c r="L1280" s="3" t="s">
        <v>44</v>
      </c>
      <c r="M1280" s="4" t="s">
        <v>30</v>
      </c>
      <c r="N1280" s="4" t="s">
        <v>44</v>
      </c>
      <c r="O1280" s="4" t="s">
        <v>77</v>
      </c>
      <c r="P1280" s="3" t="s">
        <v>31</v>
      </c>
      <c r="Q1280" s="11">
        <v>7</v>
      </c>
      <c r="R1280" s="3" t="s">
        <v>102</v>
      </c>
      <c r="S1280" s="10" t="s">
        <v>63</v>
      </c>
      <c r="T1280" s="4" t="str">
        <f>IF(OR(Tabela1[[#This Row],[Grau de Risco]]="Médio",Tabela1[[#This Row],[Grau de Risco]]="Baixo"),"Não","Sim")</f>
        <v>Sim</v>
      </c>
    </row>
    <row r="1281" spans="1:20" s="71" customFormat="1">
      <c r="A1281" s="4" t="s">
        <v>7</v>
      </c>
      <c r="B1281" s="10" t="s">
        <v>1809</v>
      </c>
      <c r="C1281" s="4" t="s">
        <v>133</v>
      </c>
      <c r="D1281" s="101" t="s">
        <v>47</v>
      </c>
      <c r="E1281" s="3">
        <v>16</v>
      </c>
      <c r="F1281" s="3">
        <v>8</v>
      </c>
      <c r="G1281" s="3">
        <v>2024</v>
      </c>
      <c r="H1281" s="21" t="s">
        <v>71</v>
      </c>
      <c r="I1281" s="7" t="s">
        <v>1724</v>
      </c>
      <c r="J1281" s="4" t="s">
        <v>154</v>
      </c>
      <c r="K1281" s="3" t="s">
        <v>44</v>
      </c>
      <c r="L1281" s="3" t="s">
        <v>44</v>
      </c>
      <c r="M1281" s="4"/>
      <c r="N1281" s="4" t="s">
        <v>44</v>
      </c>
      <c r="O1281" s="4"/>
      <c r="P1281" s="3"/>
      <c r="Q1281" s="3">
        <v>4</v>
      </c>
      <c r="R1281" s="3" t="s">
        <v>102</v>
      </c>
      <c r="S1281" s="21" t="s">
        <v>40</v>
      </c>
      <c r="T1281" s="4" t="str">
        <f>IF(OR(Tabela1[[#This Row],[Grau de Risco]]="Médio",Tabela1[[#This Row],[Grau de Risco]]="Baixo"),"Não","Sim")</f>
        <v>Sim</v>
      </c>
    </row>
    <row r="1282" spans="1:20" hidden="1">
      <c r="A1282" s="4" t="s">
        <v>9</v>
      </c>
      <c r="B1282" s="10" t="s">
        <v>1797</v>
      </c>
      <c r="C1282" s="4" t="s">
        <v>252</v>
      </c>
      <c r="D1282" s="38" t="s">
        <v>1320</v>
      </c>
      <c r="E1282" s="3">
        <v>14</v>
      </c>
      <c r="F1282" s="3">
        <v>10</v>
      </c>
      <c r="G1282" s="3">
        <v>2024</v>
      </c>
      <c r="H1282" s="4" t="s">
        <v>86</v>
      </c>
      <c r="I1282" s="7" t="s">
        <v>1032</v>
      </c>
      <c r="J1282" s="4" t="s">
        <v>61</v>
      </c>
      <c r="K1282" s="3">
        <v>10</v>
      </c>
      <c r="L1282" s="3" t="s">
        <v>30</v>
      </c>
      <c r="M1282" s="4" t="s">
        <v>30</v>
      </c>
      <c r="N1282" s="4">
        <v>0</v>
      </c>
      <c r="O1282" s="4" t="s">
        <v>4</v>
      </c>
      <c r="P1282" s="3" t="s">
        <v>31</v>
      </c>
      <c r="Q1282" s="11">
        <v>13</v>
      </c>
      <c r="R1282" s="3" t="s">
        <v>31</v>
      </c>
      <c r="S1282" s="10" t="s">
        <v>4</v>
      </c>
      <c r="T1282" s="4" t="str">
        <f>IF(OR(Tabela1[[#This Row],[Grau de Risco]]="Médio",Tabela1[[#This Row],[Grau de Risco]]="Baixo"),"Não","Sim")</f>
        <v>Não</v>
      </c>
    </row>
    <row r="1283" spans="1:20">
      <c r="A1283" s="5" t="s">
        <v>7</v>
      </c>
      <c r="B1283" s="10" t="s">
        <v>1809</v>
      </c>
      <c r="C1283" s="4" t="s">
        <v>26</v>
      </c>
      <c r="D1283" s="38" t="s">
        <v>1320</v>
      </c>
      <c r="E1283" s="32">
        <v>17</v>
      </c>
      <c r="F1283" s="32">
        <v>6</v>
      </c>
      <c r="G1283" s="32">
        <v>2024</v>
      </c>
      <c r="H1283" s="5" t="s">
        <v>48</v>
      </c>
      <c r="I1283" s="29" t="s">
        <v>1725</v>
      </c>
      <c r="J1283" s="28" t="s">
        <v>38</v>
      </c>
      <c r="K1283" s="3" t="s">
        <v>44</v>
      </c>
      <c r="L1283" s="32" t="s">
        <v>30</v>
      </c>
      <c r="M1283" s="28" t="s">
        <v>30</v>
      </c>
      <c r="N1283" s="28" t="s">
        <v>44</v>
      </c>
      <c r="O1283" s="28"/>
      <c r="P1283" s="32"/>
      <c r="Q1283" s="35">
        <v>2</v>
      </c>
      <c r="R1283" s="3" t="str">
        <f>IF(Q1283="","",IF(Q1283&lt;4,"Crítico",IF(Q1283&lt;9,"Alto",IF(Q1283&lt;14,"Médio","Baixo"))))</f>
        <v>Crítico</v>
      </c>
      <c r="S1283" s="33" t="s">
        <v>63</v>
      </c>
      <c r="T1283" s="4" t="str">
        <f>IF(OR(Tabela1[[#This Row],[Grau de Risco]]="Médio",Tabela1[[#This Row],[Grau de Risco]]="Baixo"),"Não","Sim")</f>
        <v>Sim</v>
      </c>
    </row>
    <row r="1284" spans="1:20">
      <c r="A1284" s="5" t="s">
        <v>7</v>
      </c>
      <c r="B1284" s="10" t="s">
        <v>1809</v>
      </c>
      <c r="C1284" s="4" t="s">
        <v>26</v>
      </c>
      <c r="D1284" s="38" t="s">
        <v>1320</v>
      </c>
      <c r="E1284" s="3">
        <v>21</v>
      </c>
      <c r="F1284" s="3">
        <v>10</v>
      </c>
      <c r="G1284" s="3">
        <v>2024</v>
      </c>
      <c r="H1284" s="36" t="s">
        <v>112</v>
      </c>
      <c r="I1284" s="7" t="s">
        <v>1053</v>
      </c>
      <c r="J1284" s="4" t="s">
        <v>54</v>
      </c>
      <c r="K1284" s="3" t="s">
        <v>44</v>
      </c>
      <c r="L1284" s="3" t="s">
        <v>30</v>
      </c>
      <c r="M1284" s="4"/>
      <c r="N1284" s="4" t="s">
        <v>44</v>
      </c>
      <c r="O1284" s="4" t="s">
        <v>44</v>
      </c>
      <c r="P1284" s="3"/>
      <c r="Q1284" s="11">
        <v>11</v>
      </c>
      <c r="R1284" s="3" t="s">
        <v>31</v>
      </c>
      <c r="S1284" s="10" t="s">
        <v>63</v>
      </c>
      <c r="T1284" s="4" t="str">
        <f>IF(OR(Tabela1[[#This Row],[Grau de Risco]]="Médio",Tabela1[[#This Row],[Grau de Risco]]="Baixo"),"Não","Sim")</f>
        <v>Não</v>
      </c>
    </row>
    <row r="1285" spans="1:20" hidden="1">
      <c r="A1285" s="47" t="s">
        <v>6</v>
      </c>
      <c r="B1285" s="38" t="s">
        <v>1800</v>
      </c>
      <c r="C1285" s="38" t="s">
        <v>252</v>
      </c>
      <c r="D1285" s="38" t="s">
        <v>1320</v>
      </c>
      <c r="E1285" s="50">
        <v>12</v>
      </c>
      <c r="F1285" s="50">
        <v>8</v>
      </c>
      <c r="G1285" s="50">
        <v>2024</v>
      </c>
      <c r="H1285" s="36" t="s">
        <v>33</v>
      </c>
      <c r="I1285" s="38" t="s">
        <v>1062</v>
      </c>
      <c r="J1285" s="38" t="s">
        <v>61</v>
      </c>
      <c r="K1285" s="41" t="s">
        <v>44</v>
      </c>
      <c r="L1285" s="38" t="s">
        <v>80</v>
      </c>
      <c r="M1285" s="38" t="s">
        <v>30</v>
      </c>
      <c r="N1285" s="38" t="s">
        <v>80</v>
      </c>
      <c r="O1285" s="38" t="s">
        <v>4</v>
      </c>
      <c r="P1285" s="38"/>
      <c r="Q1285" s="38">
        <v>7</v>
      </c>
      <c r="R1285" s="3" t="s">
        <v>102</v>
      </c>
      <c r="S1285" s="5" t="s">
        <v>56</v>
      </c>
      <c r="T1285" s="4" t="str">
        <f>IF(OR(Tabela1[[#This Row],[Grau de Risco]]="Médio",Tabela1[[#This Row],[Grau de Risco]]="Baixo"),"Não","Sim")</f>
        <v>Sim</v>
      </c>
    </row>
    <row r="1286" spans="1:20">
      <c r="A1286" s="4" t="s">
        <v>7</v>
      </c>
      <c r="B1286" s="10" t="s">
        <v>1809</v>
      </c>
      <c r="C1286" s="4" t="s">
        <v>26</v>
      </c>
      <c r="D1286" s="5" t="s">
        <v>148</v>
      </c>
      <c r="E1286" s="3">
        <v>23</v>
      </c>
      <c r="F1286" s="3">
        <v>2</v>
      </c>
      <c r="G1286" s="3">
        <v>2025</v>
      </c>
      <c r="H1286" s="5" t="s">
        <v>48</v>
      </c>
      <c r="I1286" s="7" t="s">
        <v>1726</v>
      </c>
      <c r="J1286" s="4" t="s">
        <v>290</v>
      </c>
      <c r="K1286" s="3"/>
      <c r="L1286" s="3"/>
      <c r="M1286" s="4"/>
      <c r="N1286" s="4"/>
      <c r="O1286" s="4"/>
      <c r="P1286" s="3"/>
      <c r="Q1286" s="11">
        <v>14</v>
      </c>
      <c r="R1286" s="3" t="s">
        <v>52</v>
      </c>
      <c r="S1286" s="10" t="s">
        <v>63</v>
      </c>
      <c r="T1286" s="4" t="str">
        <f>IF(OR(Tabela1[[#This Row],[Grau de Risco]]="Médio",Tabela1[[#This Row],[Grau de Risco]]="Baixo"),"Não","Sim")</f>
        <v>Não</v>
      </c>
    </row>
    <row r="1287" spans="1:20">
      <c r="A1287" s="5" t="s">
        <v>7</v>
      </c>
      <c r="B1287" s="10" t="s">
        <v>1809</v>
      </c>
      <c r="C1287" s="28" t="s">
        <v>26</v>
      </c>
      <c r="D1287" s="38" t="s">
        <v>1320</v>
      </c>
      <c r="E1287" s="32">
        <v>14</v>
      </c>
      <c r="F1287" s="32">
        <v>4</v>
      </c>
      <c r="G1287" s="32">
        <v>2025</v>
      </c>
      <c r="H1287" s="5" t="s">
        <v>48</v>
      </c>
      <c r="I1287" s="29" t="s">
        <v>1727</v>
      </c>
      <c r="J1287" s="28" t="s">
        <v>84</v>
      </c>
      <c r="K1287" s="32" t="s">
        <v>44</v>
      </c>
      <c r="L1287" s="32" t="s">
        <v>44</v>
      </c>
      <c r="M1287" s="28" t="s">
        <v>30</v>
      </c>
      <c r="N1287" s="28" t="s">
        <v>44</v>
      </c>
      <c r="O1287" s="28"/>
      <c r="P1287" s="32"/>
      <c r="Q1287" s="35">
        <v>15</v>
      </c>
      <c r="R1287" s="3" t="s">
        <v>52</v>
      </c>
      <c r="S1287" s="5" t="s">
        <v>56</v>
      </c>
      <c r="T1287" s="4" t="str">
        <f>IF(OR(Tabela1[[#This Row],[Grau de Risco]]="Médio",Tabela1[[#This Row],[Grau de Risco]]="Baixo"),"Não","Sim")</f>
        <v>Não</v>
      </c>
    </row>
    <row r="1288" spans="1:20">
      <c r="A1288" s="4" t="s">
        <v>2</v>
      </c>
      <c r="B1288" s="10" t="s">
        <v>1809</v>
      </c>
      <c r="C1288" s="4" t="s">
        <v>41</v>
      </c>
      <c r="D1288" s="38" t="s">
        <v>1320</v>
      </c>
      <c r="E1288" s="3">
        <v>5</v>
      </c>
      <c r="F1288" s="3">
        <v>5</v>
      </c>
      <c r="G1288" s="3">
        <v>2025</v>
      </c>
      <c r="H1288" s="36" t="s">
        <v>33</v>
      </c>
      <c r="I1288" s="7" t="s">
        <v>1246</v>
      </c>
      <c r="J1288" s="4" t="s">
        <v>76</v>
      </c>
      <c r="K1288" s="3">
        <v>30</v>
      </c>
      <c r="L1288" s="3">
        <v>0</v>
      </c>
      <c r="M1288" s="4" t="s">
        <v>30</v>
      </c>
      <c r="N1288" s="4"/>
      <c r="O1288" s="4" t="s">
        <v>74</v>
      </c>
      <c r="P1288" s="3" t="s">
        <v>31</v>
      </c>
      <c r="Q1288" s="11">
        <v>8</v>
      </c>
      <c r="R1288" s="3" t="s">
        <v>102</v>
      </c>
      <c r="S1288" s="5" t="s">
        <v>56</v>
      </c>
      <c r="T1288" s="4" t="str">
        <f>IF(OR(Tabela1[[#This Row],[Grau de Risco]]="Médio",Tabela1[[#This Row],[Grau de Risco]]="Baixo"),"Não","Sim")</f>
        <v>Sim</v>
      </c>
    </row>
    <row r="1289" spans="1:20" hidden="1">
      <c r="A1289" s="28" t="s">
        <v>2</v>
      </c>
      <c r="B1289" s="33" t="s">
        <v>1800</v>
      </c>
      <c r="C1289" s="28" t="s">
        <v>252</v>
      </c>
      <c r="D1289" s="38" t="s">
        <v>1382</v>
      </c>
      <c r="E1289" s="32">
        <v>4</v>
      </c>
      <c r="F1289" s="32">
        <v>6</v>
      </c>
      <c r="G1289" s="32">
        <v>2025</v>
      </c>
      <c r="H1289" s="38" t="s">
        <v>112</v>
      </c>
      <c r="I1289" s="29" t="s">
        <v>1728</v>
      </c>
      <c r="J1289" s="28" t="s">
        <v>35</v>
      </c>
      <c r="K1289" s="32">
        <v>15</v>
      </c>
      <c r="L1289" s="32" t="s">
        <v>80</v>
      </c>
      <c r="M1289" s="28" t="s">
        <v>30</v>
      </c>
      <c r="N1289" s="28" t="s">
        <v>80</v>
      </c>
      <c r="O1289" s="28"/>
      <c r="P1289" s="32" t="s">
        <v>31</v>
      </c>
      <c r="Q1289" s="35">
        <v>13</v>
      </c>
      <c r="R1289" s="32" t="s">
        <v>31</v>
      </c>
      <c r="S1289" s="33" t="s">
        <v>56</v>
      </c>
      <c r="T1289" s="4" t="str">
        <f>IF(OR(Tabela1[[#This Row],[Grau de Risco]]="Médio",Tabela1[[#This Row],[Grau de Risco]]="Baixo"),"Não","Sim")</f>
        <v>Não</v>
      </c>
    </row>
    <row r="1290" spans="1:20">
      <c r="A1290" s="28" t="s">
        <v>7</v>
      </c>
      <c r="B1290" s="10" t="s">
        <v>1809</v>
      </c>
      <c r="C1290" s="28" t="s">
        <v>26</v>
      </c>
      <c r="D1290" s="58" t="s">
        <v>1409</v>
      </c>
      <c r="E1290" s="32">
        <v>5</v>
      </c>
      <c r="F1290" s="32">
        <v>6</v>
      </c>
      <c r="G1290" s="32">
        <v>2025</v>
      </c>
      <c r="H1290" s="36" t="s">
        <v>112</v>
      </c>
      <c r="I1290" s="29" t="s">
        <v>1281</v>
      </c>
      <c r="J1290" s="28" t="s">
        <v>73</v>
      </c>
      <c r="K1290" s="32"/>
      <c r="L1290" s="32"/>
      <c r="M1290" s="28"/>
      <c r="N1290" s="28"/>
      <c r="O1290" s="28" t="s">
        <v>77</v>
      </c>
      <c r="P1290" s="32"/>
      <c r="Q1290" s="11">
        <v>10</v>
      </c>
      <c r="R1290" s="3" t="s">
        <v>31</v>
      </c>
      <c r="S1290" s="10" t="s">
        <v>63</v>
      </c>
      <c r="T1290" s="4" t="str">
        <f>IF(OR(Tabela1[[#This Row],[Grau de Risco]]="Médio",Tabela1[[#This Row],[Grau de Risco]]="Baixo"),"Não","Sim")</f>
        <v>Não</v>
      </c>
    </row>
    <row r="1291" spans="1:20" hidden="1">
      <c r="A1291" s="28" t="s">
        <v>7</v>
      </c>
      <c r="B1291" s="56" t="s">
        <v>1793</v>
      </c>
      <c r="C1291" s="28" t="s">
        <v>81</v>
      </c>
      <c r="D1291" s="38" t="s">
        <v>47</v>
      </c>
      <c r="E1291" s="32">
        <v>13</v>
      </c>
      <c r="F1291" s="32">
        <v>6</v>
      </c>
      <c r="G1291" s="32">
        <v>2025</v>
      </c>
      <c r="H1291" s="5" t="s">
        <v>48</v>
      </c>
      <c r="I1291" s="29" t="s">
        <v>1301</v>
      </c>
      <c r="J1291" s="28" t="s">
        <v>111</v>
      </c>
      <c r="K1291" s="32"/>
      <c r="L1291" s="32"/>
      <c r="M1291" s="28"/>
      <c r="N1291" s="28"/>
      <c r="O1291" s="28" t="s">
        <v>77</v>
      </c>
      <c r="P1291" s="32"/>
      <c r="Q1291" s="11">
        <v>10</v>
      </c>
      <c r="R1291" s="32" t="s">
        <v>31</v>
      </c>
      <c r="S1291" s="10" t="s">
        <v>63</v>
      </c>
      <c r="T1291" s="4" t="str">
        <f>IF(OR(Tabela1[[#This Row],[Grau de Risco]]="Médio",Tabela1[[#This Row],[Grau de Risco]]="Baixo"),"Não","Sim")</f>
        <v>Não</v>
      </c>
    </row>
    <row r="1292" spans="1:20" hidden="1">
      <c r="A1292" s="28" t="s">
        <v>9</v>
      </c>
      <c r="B1292" s="56" t="s">
        <v>1793</v>
      </c>
      <c r="C1292" s="28" t="s">
        <v>252</v>
      </c>
      <c r="D1292" s="5" t="s">
        <v>36</v>
      </c>
      <c r="E1292" s="32">
        <v>14</v>
      </c>
      <c r="F1292" s="32">
        <v>6</v>
      </c>
      <c r="G1292" s="32">
        <v>2025</v>
      </c>
      <c r="H1292" s="36" t="s">
        <v>112</v>
      </c>
      <c r="I1292" s="29" t="s">
        <v>1303</v>
      </c>
      <c r="J1292" s="28" t="s">
        <v>61</v>
      </c>
      <c r="K1292" s="32">
        <v>6</v>
      </c>
      <c r="L1292" s="32"/>
      <c r="M1292" s="28"/>
      <c r="N1292" s="28"/>
      <c r="O1292" s="28" t="s">
        <v>386</v>
      </c>
      <c r="P1292" s="32" t="s">
        <v>31</v>
      </c>
      <c r="Q1292" s="35">
        <v>11</v>
      </c>
      <c r="R1292" s="32" t="s">
        <v>31</v>
      </c>
      <c r="S1292" s="10" t="s">
        <v>63</v>
      </c>
      <c r="T1292" s="4" t="str">
        <f>IF(OR(Tabela1[[#This Row],[Grau de Risco]]="Médio",Tabela1[[#This Row],[Grau de Risco]]="Baixo"),"Não","Sim")</f>
        <v>Não</v>
      </c>
    </row>
    <row r="1293" spans="1:20" hidden="1">
      <c r="A1293" s="28" t="s">
        <v>2</v>
      </c>
      <c r="B1293" s="33" t="s">
        <v>1805</v>
      </c>
      <c r="C1293" s="28" t="s">
        <v>252</v>
      </c>
      <c r="D1293" s="38" t="s">
        <v>47</v>
      </c>
      <c r="E1293" s="32">
        <v>20</v>
      </c>
      <c r="F1293" s="32">
        <v>6</v>
      </c>
      <c r="G1293" s="32">
        <v>2025</v>
      </c>
      <c r="H1293" s="5" t="s">
        <v>71</v>
      </c>
      <c r="I1293" s="29" t="s">
        <v>1314</v>
      </c>
      <c r="J1293" s="28" t="s">
        <v>61</v>
      </c>
      <c r="K1293" s="32">
        <v>2</v>
      </c>
      <c r="L1293" s="32"/>
      <c r="M1293" s="28"/>
      <c r="N1293" s="28"/>
      <c r="O1293" s="28" t="s">
        <v>85</v>
      </c>
      <c r="P1293" s="32" t="s">
        <v>31</v>
      </c>
      <c r="Q1293" s="35">
        <v>4</v>
      </c>
      <c r="R1293" s="32" t="s">
        <v>102</v>
      </c>
      <c r="S1293" s="5" t="s">
        <v>40</v>
      </c>
      <c r="T1293" s="4" t="str">
        <f>IF(OR(Tabela1[[#This Row],[Grau de Risco]]="Médio",Tabela1[[#This Row],[Grau de Risco]]="Baixo"),"Não","Sim")</f>
        <v>Sim</v>
      </c>
    </row>
    <row r="1294" spans="1:20" hidden="1">
      <c r="A1294" s="28" t="s">
        <v>7</v>
      </c>
      <c r="B1294" s="56" t="s">
        <v>1793</v>
      </c>
      <c r="C1294" s="28" t="s">
        <v>41</v>
      </c>
      <c r="D1294" s="28" t="s">
        <v>1382</v>
      </c>
      <c r="E1294" s="32">
        <v>3</v>
      </c>
      <c r="F1294" s="32">
        <v>9</v>
      </c>
      <c r="G1294" s="32">
        <v>2025</v>
      </c>
      <c r="H1294" s="34" t="s">
        <v>66</v>
      </c>
      <c r="I1294" s="29" t="s">
        <v>1429</v>
      </c>
      <c r="J1294" s="28" t="s">
        <v>111</v>
      </c>
      <c r="K1294" s="32"/>
      <c r="L1294" s="32"/>
      <c r="M1294" s="28"/>
      <c r="N1294" s="28"/>
      <c r="O1294" s="28" t="s">
        <v>4</v>
      </c>
      <c r="P1294" s="32"/>
      <c r="Q1294" s="35">
        <v>11</v>
      </c>
      <c r="R1294" s="32" t="s">
        <v>31</v>
      </c>
      <c r="S1294" s="33" t="s">
        <v>63</v>
      </c>
      <c r="T1294" s="4" t="str">
        <f>IF(OR(Tabela1[[#This Row],[Grau de Risco]]="Médio",Tabela1[[#This Row],[Grau de Risco]]="Baixo"),"Não","Sim")</f>
        <v>Não</v>
      </c>
    </row>
    <row r="1295" spans="1:20" hidden="1">
      <c r="A1295" s="28" t="s">
        <v>10</v>
      </c>
      <c r="B1295" s="33" t="s">
        <v>1793</v>
      </c>
      <c r="C1295" s="28"/>
      <c r="D1295" s="28" t="s">
        <v>47</v>
      </c>
      <c r="E1295" s="32">
        <v>3</v>
      </c>
      <c r="F1295" s="32">
        <v>10</v>
      </c>
      <c r="G1295" s="32">
        <v>2025</v>
      </c>
      <c r="H1295" s="34" t="s">
        <v>375</v>
      </c>
      <c r="I1295" s="29" t="s">
        <v>1515</v>
      </c>
      <c r="J1295" s="28" t="s">
        <v>35</v>
      </c>
      <c r="K1295" s="32" t="s">
        <v>44</v>
      </c>
      <c r="L1295" s="32" t="s">
        <v>44</v>
      </c>
      <c r="M1295" s="28"/>
      <c r="N1295" s="28" t="s">
        <v>44</v>
      </c>
      <c r="O1295" s="28" t="s">
        <v>77</v>
      </c>
      <c r="P1295" s="32" t="s">
        <v>52</v>
      </c>
      <c r="Q1295" s="35">
        <v>7</v>
      </c>
      <c r="R1295" s="3" t="s">
        <v>102</v>
      </c>
      <c r="S1295" s="33" t="s">
        <v>63</v>
      </c>
      <c r="T1295" s="4" t="str">
        <f>IF(OR(Tabela1[[#This Row],[Grau de Risco]]="Médio",Tabela1[[#This Row],[Grau de Risco]]="Baixo"),"Não","Sim")</f>
        <v>Sim</v>
      </c>
    </row>
    <row r="1296" spans="1:20">
      <c r="A1296" s="4" t="s">
        <v>2</v>
      </c>
      <c r="B1296" s="10" t="s">
        <v>1809</v>
      </c>
      <c r="C1296" s="4" t="s">
        <v>64</v>
      </c>
      <c r="D1296" s="38" t="s">
        <v>1382</v>
      </c>
      <c r="E1296" s="3">
        <v>15</v>
      </c>
      <c r="F1296" s="3">
        <v>7</v>
      </c>
      <c r="G1296" s="3">
        <v>2020</v>
      </c>
      <c r="H1296" s="34" t="s">
        <v>59</v>
      </c>
      <c r="I1296" s="7" t="s">
        <v>65</v>
      </c>
      <c r="J1296" s="4" t="s">
        <v>61</v>
      </c>
      <c r="K1296" s="3">
        <v>3</v>
      </c>
      <c r="L1296" s="3">
        <v>0</v>
      </c>
      <c r="M1296" s="4" t="s">
        <v>30</v>
      </c>
      <c r="N1296" s="4"/>
      <c r="O1296" s="4" t="s">
        <v>45</v>
      </c>
      <c r="P1296" s="3" t="s">
        <v>52</v>
      </c>
      <c r="Q1296" s="11">
        <v>22</v>
      </c>
      <c r="R1296" s="3" t="str">
        <f>IF(Q1296="","",IF(Q1296&lt;4,"Crítico",IF(Q1296&lt;9,"Alto",IF(Q1296&lt;14,"Médio","Baixo"))))</f>
        <v>Baixo</v>
      </c>
      <c r="S1296" s="10" t="s">
        <v>63</v>
      </c>
      <c r="T1296" s="4" t="str">
        <f>IF(OR(Tabela1[[#This Row],[Grau de Risco]]="Médio",Tabela1[[#This Row],[Grau de Risco]]="Baixo"),"Não","Sim")</f>
        <v>Não</v>
      </c>
    </row>
    <row r="1297" spans="1:20">
      <c r="A1297" s="4" t="s">
        <v>2</v>
      </c>
      <c r="B1297" s="10" t="s">
        <v>1809</v>
      </c>
      <c r="C1297" s="4" t="s">
        <v>64</v>
      </c>
      <c r="D1297" s="38" t="s">
        <v>1382</v>
      </c>
      <c r="E1297" s="3">
        <v>9</v>
      </c>
      <c r="F1297" s="3">
        <v>12</v>
      </c>
      <c r="G1297" s="3">
        <v>2020</v>
      </c>
      <c r="H1297" s="36" t="s">
        <v>66</v>
      </c>
      <c r="I1297" s="7" t="s">
        <v>67</v>
      </c>
      <c r="J1297" s="4" t="s">
        <v>61</v>
      </c>
      <c r="K1297" s="3">
        <v>8</v>
      </c>
      <c r="L1297" s="3">
        <v>0</v>
      </c>
      <c r="M1297" s="4" t="s">
        <v>30</v>
      </c>
      <c r="N1297" s="4"/>
      <c r="O1297" s="4" t="s">
        <v>45</v>
      </c>
      <c r="P1297" s="3" t="s">
        <v>31</v>
      </c>
      <c r="Q1297" s="11">
        <v>9</v>
      </c>
      <c r="R1297" s="3" t="str">
        <f>IF(Q1297="","",IF(Q1297&lt;4,"Crítico",IF(Q1297&lt;9,"Alto",IF(Q1297&lt;14,"Médio","Baixo"))))</f>
        <v>Médio</v>
      </c>
      <c r="S1297" s="10" t="s">
        <v>63</v>
      </c>
      <c r="T1297" s="4" t="str">
        <f>IF(OR(Tabela1[[#This Row],[Grau de Risco]]="Médio",Tabela1[[#This Row],[Grau de Risco]]="Baixo"),"Não","Sim")</f>
        <v>Não</v>
      </c>
    </row>
    <row r="1298" spans="1:20">
      <c r="A1298" s="4" t="s">
        <v>8</v>
      </c>
      <c r="B1298" s="10" t="s">
        <v>1809</v>
      </c>
      <c r="C1298" s="4" t="s">
        <v>64</v>
      </c>
      <c r="D1298" s="58" t="s">
        <v>1409</v>
      </c>
      <c r="E1298" s="3">
        <v>13</v>
      </c>
      <c r="F1298" s="3">
        <v>8</v>
      </c>
      <c r="G1298" s="3">
        <v>2020</v>
      </c>
      <c r="H1298" s="5" t="s">
        <v>71</v>
      </c>
      <c r="I1298" s="7" t="s">
        <v>72</v>
      </c>
      <c r="J1298" s="4" t="s">
        <v>73</v>
      </c>
      <c r="K1298" s="3">
        <v>0</v>
      </c>
      <c r="L1298" s="3">
        <v>0</v>
      </c>
      <c r="M1298" s="4" t="s">
        <v>30</v>
      </c>
      <c r="N1298" s="4"/>
      <c r="O1298" s="4" t="s">
        <v>74</v>
      </c>
      <c r="P1298" s="3" t="s">
        <v>52</v>
      </c>
      <c r="Q1298" s="11">
        <v>12</v>
      </c>
      <c r="R1298" s="3" t="str">
        <f>IF(Q1298="","",IF(Q1298&lt;4,"Crítico",IF(Q1298&lt;9,"Alto",IF(Q1298&lt;14,"Médio","Baixo"))))</f>
        <v>Médio</v>
      </c>
      <c r="S1298" s="10" t="s">
        <v>63</v>
      </c>
      <c r="T1298" s="4" t="str">
        <f>IF(OR(Tabela1[[#This Row],[Grau de Risco]]="Médio",Tabela1[[#This Row],[Grau de Risco]]="Baixo"),"Não","Sim")</f>
        <v>Não</v>
      </c>
    </row>
    <row r="1299" spans="1:20">
      <c r="A1299" s="4" t="s">
        <v>10</v>
      </c>
      <c r="B1299" s="10" t="s">
        <v>1809</v>
      </c>
      <c r="C1299" s="4" t="s">
        <v>89</v>
      </c>
      <c r="D1299" s="38" t="s">
        <v>47</v>
      </c>
      <c r="E1299" s="3">
        <v>7</v>
      </c>
      <c r="F1299" s="3">
        <v>8</v>
      </c>
      <c r="G1299" s="3">
        <v>2020</v>
      </c>
      <c r="H1299" s="36" t="s">
        <v>66</v>
      </c>
      <c r="I1299" s="7" t="s">
        <v>139</v>
      </c>
      <c r="J1299" s="4" t="s">
        <v>115</v>
      </c>
      <c r="K1299" s="3">
        <v>0</v>
      </c>
      <c r="L1299" s="3">
        <v>0</v>
      </c>
      <c r="M1299" s="4" t="s">
        <v>30</v>
      </c>
      <c r="N1299" s="4"/>
      <c r="O1299" s="4" t="s">
        <v>4</v>
      </c>
      <c r="P1299" s="3" t="s">
        <v>31</v>
      </c>
      <c r="Q1299" s="11">
        <v>6</v>
      </c>
      <c r="R1299" s="3" t="str">
        <f>IF(Q1299="","",IF(Q1299&lt;4,"Crítico",IF(Q1299&lt;9,"Alto",IF(Q1299&lt;14,"Médio","Baixo"))))</f>
        <v>Alto</v>
      </c>
      <c r="S1299" s="10" t="s">
        <v>63</v>
      </c>
      <c r="T1299" s="4" t="str">
        <f>IF(OR(Tabela1[[#This Row],[Grau de Risco]]="Médio",Tabela1[[#This Row],[Grau de Risco]]="Baixo"),"Não","Sim")</f>
        <v>Sim</v>
      </c>
    </row>
    <row r="1300" spans="1:20" hidden="1">
      <c r="A1300" s="5" t="s">
        <v>2</v>
      </c>
      <c r="B1300" s="6" t="s">
        <v>1800</v>
      </c>
      <c r="C1300" s="5" t="s">
        <v>81</v>
      </c>
      <c r="D1300" s="38" t="s">
        <v>1320</v>
      </c>
      <c r="E1300" s="2">
        <v>8</v>
      </c>
      <c r="F1300" s="2">
        <v>11</v>
      </c>
      <c r="G1300" s="2">
        <v>2021</v>
      </c>
      <c r="H1300" s="36" t="s">
        <v>66</v>
      </c>
      <c r="I1300" s="5" t="s">
        <v>140</v>
      </c>
      <c r="J1300" s="5" t="s">
        <v>38</v>
      </c>
      <c r="K1300" s="2">
        <v>127</v>
      </c>
      <c r="L1300" s="2">
        <v>0</v>
      </c>
      <c r="M1300" s="5" t="s">
        <v>30</v>
      </c>
      <c r="N1300" s="5">
        <v>0</v>
      </c>
      <c r="O1300" s="5" t="s">
        <v>99</v>
      </c>
      <c r="P1300" s="2" t="s">
        <v>31</v>
      </c>
      <c r="Q1300" s="2">
        <v>13</v>
      </c>
      <c r="R1300" s="2" t="s">
        <v>31</v>
      </c>
      <c r="S1300" s="5" t="s">
        <v>141</v>
      </c>
      <c r="T1300" s="4" t="str">
        <f>IF(OR(Tabela1[[#This Row],[Grau de Risco]]="Médio",Tabela1[[#This Row],[Grau de Risco]]="Baixo"),"Não","Sim")</f>
        <v>Não</v>
      </c>
    </row>
    <row r="1301" spans="1:20" hidden="1">
      <c r="A1301" s="5" t="s">
        <v>175</v>
      </c>
      <c r="B1301" s="6" t="s">
        <v>1805</v>
      </c>
      <c r="C1301" s="5" t="s">
        <v>26</v>
      </c>
      <c r="D1301" s="38" t="s">
        <v>47</v>
      </c>
      <c r="E1301" s="2">
        <v>1</v>
      </c>
      <c r="F1301" s="2">
        <v>10</v>
      </c>
      <c r="G1301" s="2">
        <v>2021</v>
      </c>
      <c r="H1301" s="36" t="s">
        <v>66</v>
      </c>
      <c r="I1301" s="5" t="s">
        <v>176</v>
      </c>
      <c r="J1301" s="5" t="s">
        <v>54</v>
      </c>
      <c r="K1301" s="2">
        <v>0</v>
      </c>
      <c r="L1301" s="2">
        <v>0</v>
      </c>
      <c r="M1301" s="5" t="s">
        <v>30</v>
      </c>
      <c r="N1301" s="5">
        <v>0</v>
      </c>
      <c r="O1301" s="5" t="s">
        <v>4</v>
      </c>
      <c r="P1301" s="2" t="s">
        <v>31</v>
      </c>
      <c r="Q1301" s="2">
        <v>13</v>
      </c>
      <c r="R1301" s="2" t="s">
        <v>31</v>
      </c>
      <c r="S1301" s="5" t="s">
        <v>40</v>
      </c>
      <c r="T1301" s="4" t="str">
        <f>IF(OR(Tabela1[[#This Row],[Grau de Risco]]="Médio",Tabela1[[#This Row],[Grau de Risco]]="Baixo"),"Não","Sim")</f>
        <v>Não</v>
      </c>
    </row>
    <row r="1302" spans="1:20" hidden="1">
      <c r="A1302" s="5" t="s">
        <v>175</v>
      </c>
      <c r="B1302" s="6" t="s">
        <v>1805</v>
      </c>
      <c r="C1302" s="5" t="s">
        <v>26</v>
      </c>
      <c r="D1302" s="38" t="s">
        <v>1393</v>
      </c>
      <c r="E1302" s="2">
        <v>4</v>
      </c>
      <c r="F1302" s="2">
        <v>10</v>
      </c>
      <c r="G1302" s="2">
        <v>2021</v>
      </c>
      <c r="H1302" s="36" t="s">
        <v>66</v>
      </c>
      <c r="I1302" s="5" t="s">
        <v>176</v>
      </c>
      <c r="J1302" s="5" t="s">
        <v>54</v>
      </c>
      <c r="K1302" s="2">
        <v>0</v>
      </c>
      <c r="L1302" s="2">
        <v>0</v>
      </c>
      <c r="M1302" s="5" t="s">
        <v>30</v>
      </c>
      <c r="N1302" s="5">
        <v>0</v>
      </c>
      <c r="O1302" s="5" t="s">
        <v>4</v>
      </c>
      <c r="P1302" s="2" t="s">
        <v>31</v>
      </c>
      <c r="Q1302" s="2">
        <v>13</v>
      </c>
      <c r="R1302" s="2" t="s">
        <v>31</v>
      </c>
      <c r="S1302" s="5" t="s">
        <v>179</v>
      </c>
      <c r="T1302" s="4" t="str">
        <f>IF(OR(Tabela1[[#This Row],[Grau de Risco]]="Médio",Tabela1[[#This Row],[Grau de Risco]]="Baixo"),"Não","Sim")</f>
        <v>Não</v>
      </c>
    </row>
    <row r="1303" spans="1:20">
      <c r="A1303" s="4" t="s">
        <v>2</v>
      </c>
      <c r="B1303" s="10" t="s">
        <v>1809</v>
      </c>
      <c r="C1303" s="4" t="s">
        <v>97</v>
      </c>
      <c r="D1303" s="38" t="s">
        <v>1393</v>
      </c>
      <c r="E1303" s="3">
        <v>25</v>
      </c>
      <c r="F1303" s="3">
        <v>5</v>
      </c>
      <c r="G1303" s="3">
        <v>2021</v>
      </c>
      <c r="H1303" s="36" t="s">
        <v>107</v>
      </c>
      <c r="I1303" s="7" t="s">
        <v>191</v>
      </c>
      <c r="J1303" s="4" t="s">
        <v>192</v>
      </c>
      <c r="K1303" s="3">
        <v>3</v>
      </c>
      <c r="L1303" s="3">
        <v>0</v>
      </c>
      <c r="M1303" s="4" t="s">
        <v>30</v>
      </c>
      <c r="N1303" s="4"/>
      <c r="O1303" s="4" t="s">
        <v>4</v>
      </c>
      <c r="P1303" s="3" t="s">
        <v>31</v>
      </c>
      <c r="Q1303" s="11">
        <v>13</v>
      </c>
      <c r="R1303" s="3" t="str">
        <f>IF(Q1303="","",IF(Q1303&lt;4,"Crítico",IF(Q1303&lt;9,"Alto",IF(Q1303&lt;14,"Médio","Baixo"))))</f>
        <v>Médio</v>
      </c>
      <c r="S1303" s="10" t="s">
        <v>63</v>
      </c>
      <c r="T1303" s="4" t="str">
        <f>IF(OR(Tabela1[[#This Row],[Grau de Risco]]="Médio",Tabela1[[#This Row],[Grau de Risco]]="Baixo"),"Não","Sim")</f>
        <v>Não</v>
      </c>
    </row>
    <row r="1304" spans="1:20" hidden="1">
      <c r="A1304" s="4" t="s">
        <v>2</v>
      </c>
      <c r="B1304" s="10" t="s">
        <v>1793</v>
      </c>
      <c r="C1304" s="4" t="s">
        <v>58</v>
      </c>
      <c r="D1304" s="38" t="s">
        <v>1382</v>
      </c>
      <c r="E1304" s="3">
        <v>22</v>
      </c>
      <c r="F1304" s="3">
        <v>12</v>
      </c>
      <c r="G1304" s="3">
        <v>2021</v>
      </c>
      <c r="H1304" s="36" t="s">
        <v>66</v>
      </c>
      <c r="I1304" s="7" t="s">
        <v>198</v>
      </c>
      <c r="J1304" s="4" t="s">
        <v>61</v>
      </c>
      <c r="K1304" s="3">
        <v>2</v>
      </c>
      <c r="L1304" s="3">
        <v>0</v>
      </c>
      <c r="M1304" s="4" t="s">
        <v>30</v>
      </c>
      <c r="N1304" s="4"/>
      <c r="O1304" s="4" t="s">
        <v>70</v>
      </c>
      <c r="P1304" s="3" t="s">
        <v>52</v>
      </c>
      <c r="Q1304" s="11">
        <v>9</v>
      </c>
      <c r="R1304" s="3" t="str">
        <f>IF(Q1304="","",IF(Q1304&lt;4,"Crítico",IF(Q1304&lt;9,"Alto",IF(Q1304&lt;14,"Médio","Baixo"))))</f>
        <v>Médio</v>
      </c>
      <c r="S1304" s="10" t="s">
        <v>63</v>
      </c>
      <c r="T1304" s="4" t="str">
        <f>IF(OR(Tabela1[[#This Row],[Grau de Risco]]="Médio",Tabela1[[#This Row],[Grau de Risco]]="Baixo"),"Não","Sim")</f>
        <v>Não</v>
      </c>
    </row>
    <row r="1305" spans="1:20">
      <c r="A1305" s="5" t="s">
        <v>2</v>
      </c>
      <c r="B1305" s="10" t="s">
        <v>1809</v>
      </c>
      <c r="C1305" s="5" t="s">
        <v>26</v>
      </c>
      <c r="D1305" s="58" t="s">
        <v>1409</v>
      </c>
      <c r="E1305" s="2">
        <v>8</v>
      </c>
      <c r="F1305" s="2">
        <v>7</v>
      </c>
      <c r="G1305" s="2">
        <v>2021</v>
      </c>
      <c r="H1305" s="36" t="s">
        <v>66</v>
      </c>
      <c r="I1305" s="5" t="s">
        <v>235</v>
      </c>
      <c r="J1305" s="5" t="s">
        <v>38</v>
      </c>
      <c r="K1305" s="2">
        <v>10</v>
      </c>
      <c r="L1305" s="2">
        <v>0</v>
      </c>
      <c r="M1305" s="5" t="s">
        <v>30</v>
      </c>
      <c r="N1305" s="5">
        <v>0</v>
      </c>
      <c r="O1305" s="5" t="s">
        <v>74</v>
      </c>
      <c r="P1305" s="3" t="s">
        <v>52</v>
      </c>
      <c r="Q1305" s="2">
        <v>6</v>
      </c>
      <c r="R1305" s="2" t="s">
        <v>52</v>
      </c>
      <c r="S1305" s="5" t="s">
        <v>56</v>
      </c>
      <c r="T1305" s="4" t="str">
        <f>IF(OR(Tabela1[[#This Row],[Grau de Risco]]="Médio",Tabela1[[#This Row],[Grau de Risco]]="Baixo"),"Não","Sim")</f>
        <v>Não</v>
      </c>
    </row>
    <row r="1306" spans="1:20" hidden="1">
      <c r="A1306" s="5" t="s">
        <v>8</v>
      </c>
      <c r="B1306" s="6" t="s">
        <v>1805</v>
      </c>
      <c r="C1306" s="5" t="s">
        <v>26</v>
      </c>
      <c r="D1306" s="5" t="s">
        <v>148</v>
      </c>
      <c r="E1306" s="2">
        <v>10</v>
      </c>
      <c r="F1306" s="2">
        <v>7</v>
      </c>
      <c r="G1306" s="2">
        <v>2022</v>
      </c>
      <c r="H1306" s="4" t="s">
        <v>86</v>
      </c>
      <c r="I1306" s="5" t="s">
        <v>275</v>
      </c>
      <c r="J1306" s="5" t="s">
        <v>54</v>
      </c>
      <c r="K1306" s="2">
        <v>0</v>
      </c>
      <c r="L1306" s="2">
        <v>0</v>
      </c>
      <c r="M1306" s="5" t="s">
        <v>30</v>
      </c>
      <c r="N1306" s="5">
        <v>0</v>
      </c>
      <c r="O1306" s="5" t="s">
        <v>129</v>
      </c>
      <c r="P1306" s="2" t="s">
        <v>31</v>
      </c>
      <c r="Q1306" s="2">
        <v>13</v>
      </c>
      <c r="R1306" s="2" t="s">
        <v>31</v>
      </c>
      <c r="S1306" s="5" t="s">
        <v>141</v>
      </c>
      <c r="T1306" s="4" t="str">
        <f>IF(OR(Tabela1[[#This Row],[Grau de Risco]]="Médio",Tabela1[[#This Row],[Grau de Risco]]="Baixo"),"Não","Sim")</f>
        <v>Não</v>
      </c>
    </row>
    <row r="1307" spans="1:20">
      <c r="A1307" s="5" t="s">
        <v>2</v>
      </c>
      <c r="B1307" s="10" t="s">
        <v>1809</v>
      </c>
      <c r="C1307" s="5" t="s">
        <v>26</v>
      </c>
      <c r="D1307" s="38" t="s">
        <v>1320</v>
      </c>
      <c r="E1307" s="3">
        <v>12</v>
      </c>
      <c r="F1307" s="3">
        <v>6</v>
      </c>
      <c r="G1307" s="3">
        <v>2023</v>
      </c>
      <c r="H1307" s="36" t="s">
        <v>66</v>
      </c>
      <c r="I1307" s="7" t="s">
        <v>409</v>
      </c>
      <c r="J1307" s="4" t="s">
        <v>35</v>
      </c>
      <c r="K1307" s="3">
        <v>2</v>
      </c>
      <c r="L1307" s="3">
        <v>0</v>
      </c>
      <c r="M1307" s="5" t="s">
        <v>30</v>
      </c>
      <c r="N1307" s="4">
        <v>2</v>
      </c>
      <c r="O1307" s="4" t="s">
        <v>117</v>
      </c>
      <c r="P1307" s="3" t="s">
        <v>31</v>
      </c>
      <c r="Q1307" s="3">
        <v>11</v>
      </c>
      <c r="R1307" s="2" t="s">
        <v>31</v>
      </c>
      <c r="S1307" s="10" t="s">
        <v>32</v>
      </c>
      <c r="T1307" s="4" t="str">
        <f>IF(OR(Tabela1[[#This Row],[Grau de Risco]]="Médio",Tabela1[[#This Row],[Grau de Risco]]="Baixo"),"Não","Sim")</f>
        <v>Não</v>
      </c>
    </row>
    <row r="1308" spans="1:20" hidden="1">
      <c r="A1308" s="4" t="s">
        <v>2</v>
      </c>
      <c r="B1308" s="10" t="s">
        <v>1805</v>
      </c>
      <c r="C1308" s="4" t="s">
        <v>252</v>
      </c>
      <c r="D1308" s="38" t="s">
        <v>47</v>
      </c>
      <c r="E1308" s="3">
        <v>17</v>
      </c>
      <c r="F1308" s="3">
        <v>11</v>
      </c>
      <c r="G1308" s="3">
        <v>2023</v>
      </c>
      <c r="H1308" s="5" t="s">
        <v>123</v>
      </c>
      <c r="I1308" s="7" t="s">
        <v>455</v>
      </c>
      <c r="J1308" s="4" t="s">
        <v>69</v>
      </c>
      <c r="K1308" s="3">
        <v>40</v>
      </c>
      <c r="L1308" s="3">
        <v>0</v>
      </c>
      <c r="M1308" s="4" t="s">
        <v>30</v>
      </c>
      <c r="N1308" s="4">
        <v>0</v>
      </c>
      <c r="O1308" s="4" t="s">
        <v>45</v>
      </c>
      <c r="P1308" s="3" t="s">
        <v>31</v>
      </c>
      <c r="Q1308" s="3">
        <v>10</v>
      </c>
      <c r="R1308" s="3" t="s">
        <v>31</v>
      </c>
      <c r="S1308" s="5" t="s">
        <v>56</v>
      </c>
      <c r="T1308" s="4" t="str">
        <f>IF(OR(Tabela1[[#This Row],[Grau de Risco]]="Médio",Tabela1[[#This Row],[Grau de Risco]]="Baixo"),"Não","Sim")</f>
        <v>Não</v>
      </c>
    </row>
    <row r="1309" spans="1:20">
      <c r="A1309" s="4" t="s">
        <v>7</v>
      </c>
      <c r="B1309" s="10" t="s">
        <v>1809</v>
      </c>
      <c r="C1309" s="4" t="s">
        <v>26</v>
      </c>
      <c r="D1309" s="58" t="s">
        <v>1409</v>
      </c>
      <c r="E1309" s="3">
        <v>9</v>
      </c>
      <c r="F1309" s="3">
        <v>11</v>
      </c>
      <c r="G1309" s="3">
        <v>2023</v>
      </c>
      <c r="H1309" s="5" t="s">
        <v>71</v>
      </c>
      <c r="I1309" s="7" t="s">
        <v>456</v>
      </c>
      <c r="J1309" s="4" t="s">
        <v>61</v>
      </c>
      <c r="K1309" s="3" t="s">
        <v>62</v>
      </c>
      <c r="L1309" s="3">
        <v>0</v>
      </c>
      <c r="M1309" s="4" t="s">
        <v>30</v>
      </c>
      <c r="N1309" s="4">
        <v>0</v>
      </c>
      <c r="O1309" s="4" t="s">
        <v>85</v>
      </c>
      <c r="P1309" s="3" t="s">
        <v>52</v>
      </c>
      <c r="Q1309" s="11">
        <v>11</v>
      </c>
      <c r="R1309" s="3" t="str">
        <f>IF(Q1309="","",IF(Q1309&lt;4,"Crítico",IF(Q1309&lt;9,"Alto",IF(Q1309&lt;14,"Médio","Baixo"))))</f>
        <v>Médio</v>
      </c>
      <c r="S1309" s="5" t="s">
        <v>40</v>
      </c>
      <c r="T1309" s="4" t="str">
        <f>IF(OR(Tabela1[[#This Row],[Grau de Risco]]="Médio",Tabela1[[#This Row],[Grau de Risco]]="Baixo"),"Não","Sim")</f>
        <v>Não</v>
      </c>
    </row>
    <row r="1310" spans="1:20" hidden="1">
      <c r="A1310" s="4" t="s">
        <v>8</v>
      </c>
      <c r="B1310" s="10" t="s">
        <v>1793</v>
      </c>
      <c r="C1310" s="4" t="s">
        <v>89</v>
      </c>
      <c r="D1310" s="38" t="s">
        <v>1393</v>
      </c>
      <c r="E1310" s="3">
        <v>12</v>
      </c>
      <c r="F1310" s="3">
        <v>9</v>
      </c>
      <c r="G1310" s="3">
        <v>2023</v>
      </c>
      <c r="H1310" s="36" t="s">
        <v>33</v>
      </c>
      <c r="I1310" s="7" t="s">
        <v>570</v>
      </c>
      <c r="J1310" s="4" t="s">
        <v>111</v>
      </c>
      <c r="K1310" s="3">
        <v>0</v>
      </c>
      <c r="L1310" s="3">
        <v>0</v>
      </c>
      <c r="M1310" s="4" t="s">
        <v>25</v>
      </c>
      <c r="N1310" s="4">
        <v>0</v>
      </c>
      <c r="O1310" s="4" t="s">
        <v>55</v>
      </c>
      <c r="P1310" s="3" t="s">
        <v>52</v>
      </c>
      <c r="Q1310" s="11">
        <v>14</v>
      </c>
      <c r="R1310" s="3" t="str">
        <f>IF(Q1310="","",IF(Q1310&lt;4,"Crítico",IF(Q1310&lt;9,"Alto",IF(Q1310&lt;14,"Médio","Baixo"))))</f>
        <v>Baixo</v>
      </c>
      <c r="S1310" s="10" t="s">
        <v>32</v>
      </c>
      <c r="T1310" s="4" t="str">
        <f>IF(OR(Tabela1[[#This Row],[Grau de Risco]]="Médio",Tabela1[[#This Row],[Grau de Risco]]="Baixo"),"Não","Sim")</f>
        <v>Não</v>
      </c>
    </row>
    <row r="1311" spans="1:20" hidden="1">
      <c r="A1311" s="4" t="s">
        <v>7</v>
      </c>
      <c r="B1311" s="10" t="s">
        <v>1793</v>
      </c>
      <c r="C1311" s="4" t="s">
        <v>133</v>
      </c>
      <c r="D1311" s="38" t="s">
        <v>1393</v>
      </c>
      <c r="E1311" s="3">
        <v>21</v>
      </c>
      <c r="F1311" s="3">
        <v>3</v>
      </c>
      <c r="G1311" s="3">
        <v>2023</v>
      </c>
      <c r="H1311" s="34" t="s">
        <v>59</v>
      </c>
      <c r="I1311" s="7" t="s">
        <v>664</v>
      </c>
      <c r="J1311" s="4" t="s">
        <v>61</v>
      </c>
      <c r="K1311" s="3" t="s">
        <v>62</v>
      </c>
      <c r="L1311" s="3" t="s">
        <v>44</v>
      </c>
      <c r="M1311" s="4" t="s">
        <v>30</v>
      </c>
      <c r="N1311" s="4"/>
      <c r="O1311" s="4" t="s">
        <v>4</v>
      </c>
      <c r="P1311" s="3" t="s">
        <v>52</v>
      </c>
      <c r="Q1311" s="11">
        <v>16</v>
      </c>
      <c r="R1311" s="3" t="str">
        <f>IF(Q1311="","",IF(Q1311&lt;4,"Crítico",IF(Q1311&lt;9,"Alto",IF(Q1311&lt;14,"Médio","Baixo"))))</f>
        <v>Baixo</v>
      </c>
      <c r="S1311" s="10" t="s">
        <v>32</v>
      </c>
      <c r="T1311" s="4" t="str">
        <f>IF(OR(Tabela1[[#This Row],[Grau de Risco]]="Médio",Tabela1[[#This Row],[Grau de Risco]]="Baixo"),"Não","Sim")</f>
        <v>Não</v>
      </c>
    </row>
    <row r="1312" spans="1:20" hidden="1">
      <c r="A1312" s="4" t="s">
        <v>7</v>
      </c>
      <c r="B1312" s="10" t="s">
        <v>1805</v>
      </c>
      <c r="C1312" s="4" t="s">
        <v>133</v>
      </c>
      <c r="D1312" s="38" t="s">
        <v>1320</v>
      </c>
      <c r="E1312" s="3">
        <v>8</v>
      </c>
      <c r="F1312" s="3">
        <v>4</v>
      </c>
      <c r="G1312" s="3">
        <v>2024</v>
      </c>
      <c r="H1312" s="5" t="s">
        <v>256</v>
      </c>
      <c r="I1312" s="7" t="s">
        <v>1729</v>
      </c>
      <c r="J1312" s="4" t="s">
        <v>69</v>
      </c>
      <c r="K1312" s="3" t="s">
        <v>44</v>
      </c>
      <c r="L1312" s="3" t="s">
        <v>44</v>
      </c>
      <c r="M1312" s="4"/>
      <c r="N1312" s="4" t="s">
        <v>44</v>
      </c>
      <c r="O1312" s="4"/>
      <c r="P1312" s="3"/>
      <c r="Q1312" s="11">
        <v>15</v>
      </c>
      <c r="R1312" s="3" t="s">
        <v>52</v>
      </c>
      <c r="S1312" s="10" t="s">
        <v>32</v>
      </c>
      <c r="T1312" s="4" t="str">
        <f>IF(OR(Tabela1[[#This Row],[Grau de Risco]]="Médio",Tabela1[[#This Row],[Grau de Risco]]="Baixo"),"Não","Sim")</f>
        <v>Não</v>
      </c>
    </row>
    <row r="1313" spans="1:20" hidden="1">
      <c r="A1313" s="5" t="s">
        <v>7</v>
      </c>
      <c r="B1313" s="33" t="s">
        <v>1797</v>
      </c>
      <c r="C1313" s="28" t="s">
        <v>46</v>
      </c>
      <c r="D1313" s="38" t="s">
        <v>1382</v>
      </c>
      <c r="E1313" s="32">
        <v>18</v>
      </c>
      <c r="F1313" s="32">
        <v>9</v>
      </c>
      <c r="G1313" s="32">
        <v>2024</v>
      </c>
      <c r="H1313" s="36" t="s">
        <v>107</v>
      </c>
      <c r="I1313" s="29" t="s">
        <v>735</v>
      </c>
      <c r="J1313" s="28" t="s">
        <v>38</v>
      </c>
      <c r="K1313" s="3" t="s">
        <v>44</v>
      </c>
      <c r="L1313" s="32" t="s">
        <v>30</v>
      </c>
      <c r="M1313" s="28" t="s">
        <v>30</v>
      </c>
      <c r="N1313" s="28" t="s">
        <v>44</v>
      </c>
      <c r="O1313" s="28"/>
      <c r="P1313" s="32"/>
      <c r="Q1313" s="35">
        <v>13</v>
      </c>
      <c r="R1313" s="3" t="str">
        <f>IF(Q1313="","",IF(Q1313&lt;4,"Alto",IF(Q1313&lt;9,"Alto",IF(Q1313&lt;14,"Médio","Baixo"))))</f>
        <v>Médio</v>
      </c>
      <c r="S1313" s="33" t="s">
        <v>63</v>
      </c>
      <c r="T1313" s="4" t="str">
        <f>IF(OR(Tabela1[[#This Row],[Grau de Risco]]="Médio",Tabela1[[#This Row],[Grau de Risco]]="Baixo"),"Não","Sim")</f>
        <v>Não</v>
      </c>
    </row>
    <row r="1314" spans="1:20">
      <c r="A1314" s="4" t="s">
        <v>7</v>
      </c>
      <c r="B1314" s="10" t="s">
        <v>1809</v>
      </c>
      <c r="C1314" s="4" t="s">
        <v>26</v>
      </c>
      <c r="D1314" s="38" t="s">
        <v>47</v>
      </c>
      <c r="E1314" s="3">
        <v>18</v>
      </c>
      <c r="F1314" s="3">
        <v>10</v>
      </c>
      <c r="G1314" s="3">
        <v>2024</v>
      </c>
      <c r="H1314" s="4" t="s">
        <v>27</v>
      </c>
      <c r="I1314" s="7" t="s">
        <v>778</v>
      </c>
      <c r="J1314" s="4" t="s">
        <v>229</v>
      </c>
      <c r="K1314" s="3"/>
      <c r="L1314" s="3"/>
      <c r="M1314" s="4"/>
      <c r="N1314" s="4"/>
      <c r="O1314" s="4" t="s">
        <v>77</v>
      </c>
      <c r="P1314" s="3"/>
      <c r="Q1314" s="11">
        <v>10</v>
      </c>
      <c r="R1314" s="3" t="s">
        <v>31</v>
      </c>
      <c r="S1314" s="10" t="s">
        <v>63</v>
      </c>
      <c r="T1314" s="4" t="str">
        <f>IF(OR(Tabela1[[#This Row],[Grau de Risco]]="Médio",Tabela1[[#This Row],[Grau de Risco]]="Baixo"),"Não","Sim")</f>
        <v>Não</v>
      </c>
    </row>
    <row r="1315" spans="1:20" hidden="1">
      <c r="A1315" s="4" t="s">
        <v>2</v>
      </c>
      <c r="B1315" s="10" t="s">
        <v>1800</v>
      </c>
      <c r="C1315" s="4" t="s">
        <v>41</v>
      </c>
      <c r="D1315" s="5" t="s">
        <v>36</v>
      </c>
      <c r="E1315" s="3">
        <v>13</v>
      </c>
      <c r="F1315" s="3">
        <v>3</v>
      </c>
      <c r="G1315" s="3">
        <v>2024</v>
      </c>
      <c r="H1315" s="5" t="s">
        <v>71</v>
      </c>
      <c r="I1315" s="7" t="s">
        <v>843</v>
      </c>
      <c r="J1315" s="4" t="s">
        <v>35</v>
      </c>
      <c r="K1315" s="3">
        <v>15</v>
      </c>
      <c r="L1315" s="3" t="s">
        <v>80</v>
      </c>
      <c r="M1315" s="4" t="s">
        <v>30</v>
      </c>
      <c r="N1315" s="4" t="s">
        <v>80</v>
      </c>
      <c r="O1315" s="4" t="s">
        <v>4</v>
      </c>
      <c r="P1315" s="3" t="s">
        <v>52</v>
      </c>
      <c r="Q1315" s="11">
        <v>16</v>
      </c>
      <c r="R1315" s="3" t="str">
        <f>IF(Q1315="","",IF(Q1315&lt;4,"Alto",IF(Q1315&lt;9,"Alto",IF(Q1315&lt;14,"Médio","Baixo"))))</f>
        <v>Baixo</v>
      </c>
      <c r="S1315" s="10" t="s">
        <v>141</v>
      </c>
      <c r="T1315" s="4" t="str">
        <f>IF(OR(Tabela1[[#This Row],[Grau de Risco]]="Médio",Tabela1[[#This Row],[Grau de Risco]]="Baixo"),"Não","Sim")</f>
        <v>Não</v>
      </c>
    </row>
    <row r="1316" spans="1:20">
      <c r="A1316" s="4" t="s">
        <v>2</v>
      </c>
      <c r="B1316" s="10" t="s">
        <v>1809</v>
      </c>
      <c r="C1316" s="4" t="s">
        <v>81</v>
      </c>
      <c r="D1316" s="38" t="s">
        <v>47</v>
      </c>
      <c r="E1316" s="3">
        <v>24</v>
      </c>
      <c r="F1316" s="3">
        <v>5</v>
      </c>
      <c r="G1316" s="3">
        <v>2024</v>
      </c>
      <c r="H1316" s="5" t="s">
        <v>71</v>
      </c>
      <c r="I1316" s="7" t="s">
        <v>1834</v>
      </c>
      <c r="J1316" s="4" t="s">
        <v>111</v>
      </c>
      <c r="K1316" s="3">
        <v>60</v>
      </c>
      <c r="L1316" s="3">
        <v>0</v>
      </c>
      <c r="M1316" s="4" t="s">
        <v>30</v>
      </c>
      <c r="N1316" s="4"/>
      <c r="O1316" s="4" t="s">
        <v>129</v>
      </c>
      <c r="P1316" s="3" t="s">
        <v>31</v>
      </c>
      <c r="Q1316" s="11">
        <v>11</v>
      </c>
      <c r="R1316" s="3" t="s">
        <v>31</v>
      </c>
      <c r="S1316" s="10" t="s">
        <v>4</v>
      </c>
      <c r="T1316" s="4" t="str">
        <f>IF(OR(Tabela1[[#This Row],[Grau de Risco]]="Médio",Tabela1[[#This Row],[Grau de Risco]]="Baixo"),"Não","Sim")</f>
        <v>Não</v>
      </c>
    </row>
    <row r="1317" spans="1:20">
      <c r="A1317" s="28" t="s">
        <v>2</v>
      </c>
      <c r="B1317" s="10" t="s">
        <v>1809</v>
      </c>
      <c r="C1317" s="28" t="s">
        <v>81</v>
      </c>
      <c r="D1317" s="38" t="s">
        <v>1393</v>
      </c>
      <c r="E1317" s="32">
        <v>25</v>
      </c>
      <c r="F1317" s="32">
        <v>2</v>
      </c>
      <c r="G1317" s="32">
        <v>2025</v>
      </c>
      <c r="H1317" s="36" t="s">
        <v>107</v>
      </c>
      <c r="I1317" s="29" t="s">
        <v>1179</v>
      </c>
      <c r="J1317" s="28" t="s">
        <v>229</v>
      </c>
      <c r="K1317" s="32">
        <v>15</v>
      </c>
      <c r="L1317" s="32"/>
      <c r="M1317" s="28"/>
      <c r="N1317" s="28"/>
      <c r="O1317" s="28" t="s">
        <v>498</v>
      </c>
      <c r="P1317" s="3" t="s">
        <v>31</v>
      </c>
      <c r="Q1317" s="35">
        <v>11</v>
      </c>
      <c r="R1317" s="32" t="s">
        <v>31</v>
      </c>
      <c r="S1317" s="10" t="s">
        <v>56</v>
      </c>
      <c r="T1317" s="4" t="str">
        <f>IF(OR(Tabela1[[#This Row],[Grau de Risco]]="Médio",Tabela1[[#This Row],[Grau de Risco]]="Baixo"),"Não","Sim")</f>
        <v>Não</v>
      </c>
    </row>
    <row r="1318" spans="1:20" hidden="1">
      <c r="A1318" s="28" t="s">
        <v>6</v>
      </c>
      <c r="B1318" s="33" t="s">
        <v>1800</v>
      </c>
      <c r="C1318" s="28" t="s">
        <v>41</v>
      </c>
      <c r="D1318" s="38" t="s">
        <v>47</v>
      </c>
      <c r="E1318" s="32">
        <v>10</v>
      </c>
      <c r="F1318" s="32">
        <v>10</v>
      </c>
      <c r="G1318" s="32">
        <v>2025</v>
      </c>
      <c r="H1318" s="38" t="s">
        <v>59</v>
      </c>
      <c r="I1318" s="7" t="s">
        <v>1498</v>
      </c>
      <c r="J1318" s="28" t="s">
        <v>69</v>
      </c>
      <c r="K1318" s="32" t="s">
        <v>80</v>
      </c>
      <c r="L1318" s="32" t="s">
        <v>80</v>
      </c>
      <c r="M1318" s="28" t="s">
        <v>30</v>
      </c>
      <c r="N1318" s="28" t="s">
        <v>80</v>
      </c>
      <c r="O1318" s="4" t="s">
        <v>167</v>
      </c>
      <c r="P1318" s="32" t="s">
        <v>44</v>
      </c>
      <c r="Q1318" s="35">
        <v>7</v>
      </c>
      <c r="R1318" s="3" t="s">
        <v>102</v>
      </c>
      <c r="S1318" s="33" t="s">
        <v>63</v>
      </c>
      <c r="T1318" s="4" t="str">
        <f>IF(OR(Tabela1[[#This Row],[Grau de Risco]]="Médio",Tabela1[[#This Row],[Grau de Risco]]="Baixo"),"Não","Sim")</f>
        <v>Sim</v>
      </c>
    </row>
    <row r="1319" spans="1:20">
      <c r="A1319" s="4" t="s">
        <v>2</v>
      </c>
      <c r="B1319" s="10" t="s">
        <v>1809</v>
      </c>
      <c r="C1319" s="4" t="s">
        <v>81</v>
      </c>
      <c r="D1319" s="38" t="s">
        <v>1382</v>
      </c>
      <c r="E1319" s="3">
        <v>16</v>
      </c>
      <c r="F1319" s="3">
        <v>7</v>
      </c>
      <c r="G1319" s="3">
        <v>2025</v>
      </c>
      <c r="H1319" s="36" t="s">
        <v>112</v>
      </c>
      <c r="I1319" s="7" t="s">
        <v>1355</v>
      </c>
      <c r="J1319" s="4" t="s">
        <v>35</v>
      </c>
      <c r="K1319" s="3">
        <v>14</v>
      </c>
      <c r="L1319" s="3">
        <v>0</v>
      </c>
      <c r="M1319" s="4" t="s">
        <v>30</v>
      </c>
      <c r="N1319" s="4"/>
      <c r="O1319" s="4" t="s">
        <v>45</v>
      </c>
      <c r="P1319" s="3" t="s">
        <v>31</v>
      </c>
      <c r="Q1319" s="11">
        <v>7</v>
      </c>
      <c r="R1319" s="3" t="s">
        <v>102</v>
      </c>
      <c r="S1319" s="5" t="s">
        <v>56</v>
      </c>
      <c r="T1319" s="4" t="str">
        <f>IF(OR(Tabela1[[#This Row],[Grau de Risco]]="Médio",Tabela1[[#This Row],[Grau de Risco]]="Baixo"),"Não","Sim")</f>
        <v>Sim</v>
      </c>
    </row>
    <row r="1320" spans="1:20" hidden="1">
      <c r="A1320" s="4" t="s">
        <v>9</v>
      </c>
      <c r="B1320" s="10" t="s">
        <v>1797</v>
      </c>
      <c r="C1320" s="4" t="s">
        <v>41</v>
      </c>
      <c r="D1320" s="58" t="s">
        <v>1409</v>
      </c>
      <c r="E1320" s="3">
        <v>24</v>
      </c>
      <c r="F1320" s="3">
        <v>7</v>
      </c>
      <c r="G1320" s="3">
        <v>2025</v>
      </c>
      <c r="H1320" s="5" t="s">
        <v>48</v>
      </c>
      <c r="I1320" s="7" t="s">
        <v>1364</v>
      </c>
      <c r="J1320" s="4" t="s">
        <v>290</v>
      </c>
      <c r="K1320" s="3">
        <v>20</v>
      </c>
      <c r="L1320" s="3"/>
      <c r="M1320" s="4" t="s">
        <v>30</v>
      </c>
      <c r="N1320" s="4"/>
      <c r="O1320" s="4" t="s">
        <v>101</v>
      </c>
      <c r="P1320" s="3" t="s">
        <v>31</v>
      </c>
      <c r="Q1320" s="11">
        <v>10</v>
      </c>
      <c r="R1320" s="3" t="s">
        <v>31</v>
      </c>
      <c r="S1320" s="10" t="s">
        <v>63</v>
      </c>
      <c r="T1320" s="4" t="str">
        <f>IF(OR(Tabela1[[#This Row],[Grau de Risco]]="Médio",Tabela1[[#This Row],[Grau de Risco]]="Baixo"),"Não","Sim")</f>
        <v>Não</v>
      </c>
    </row>
    <row r="1321" spans="1:20" hidden="1">
      <c r="A1321" s="4" t="s">
        <v>7</v>
      </c>
      <c r="B1321" s="10" t="s">
        <v>1797</v>
      </c>
      <c r="C1321" s="4" t="s">
        <v>46</v>
      </c>
      <c r="D1321" s="58" t="s">
        <v>1409</v>
      </c>
      <c r="E1321" s="3">
        <v>31</v>
      </c>
      <c r="F1321" s="3">
        <v>7</v>
      </c>
      <c r="G1321" s="3">
        <v>2025</v>
      </c>
      <c r="H1321" s="5" t="s">
        <v>269</v>
      </c>
      <c r="I1321" s="7" t="s">
        <v>1689</v>
      </c>
      <c r="J1321" s="4" t="s">
        <v>290</v>
      </c>
      <c r="K1321" s="3">
        <v>0</v>
      </c>
      <c r="L1321" s="3">
        <v>0</v>
      </c>
      <c r="M1321" s="4">
        <v>0</v>
      </c>
      <c r="N1321" s="4">
        <v>0</v>
      </c>
      <c r="O1321" s="4"/>
      <c r="P1321" s="3"/>
      <c r="Q1321" s="11">
        <v>4</v>
      </c>
      <c r="R1321" s="3" t="s">
        <v>102</v>
      </c>
      <c r="S1321" s="10" t="s">
        <v>4</v>
      </c>
      <c r="T1321" s="4" t="str">
        <f>IF(OR(Tabela1[[#This Row],[Grau de Risco]]="Médio",Tabela1[[#This Row],[Grau de Risco]]="Baixo"),"Não","Sim")</f>
        <v>Sim</v>
      </c>
    </row>
    <row r="1322" spans="1:20" hidden="1">
      <c r="A1322" s="4" t="s">
        <v>7</v>
      </c>
      <c r="B1322" s="10" t="s">
        <v>1797</v>
      </c>
      <c r="C1322" s="4" t="s">
        <v>41</v>
      </c>
      <c r="D1322" s="5" t="s">
        <v>47</v>
      </c>
      <c r="E1322" s="3">
        <v>1</v>
      </c>
      <c r="F1322" s="3">
        <v>8</v>
      </c>
      <c r="G1322" s="3">
        <v>2025</v>
      </c>
      <c r="H1322" s="5" t="s">
        <v>71</v>
      </c>
      <c r="I1322" s="7" t="s">
        <v>1730</v>
      </c>
      <c r="J1322" s="4" t="s">
        <v>817</v>
      </c>
      <c r="K1322" s="3">
        <v>0</v>
      </c>
      <c r="L1322" s="3">
        <v>0</v>
      </c>
      <c r="M1322" s="4">
        <v>0</v>
      </c>
      <c r="N1322" s="4">
        <v>0</v>
      </c>
      <c r="O1322" s="4"/>
      <c r="P1322" s="3"/>
      <c r="Q1322" s="11">
        <v>16</v>
      </c>
      <c r="R1322" s="3" t="s">
        <v>52</v>
      </c>
      <c r="S1322" s="10" t="s">
        <v>63</v>
      </c>
      <c r="T1322" s="4" t="str">
        <f>IF(OR(Tabela1[[#This Row],[Grau de Risco]]="Médio",Tabela1[[#This Row],[Grau de Risco]]="Baixo"),"Não","Sim")</f>
        <v>Não</v>
      </c>
    </row>
    <row r="1323" spans="1:20" hidden="1">
      <c r="A1323" s="4" t="s">
        <v>7</v>
      </c>
      <c r="B1323" s="10" t="s">
        <v>1797</v>
      </c>
      <c r="C1323" s="4" t="s">
        <v>81</v>
      </c>
      <c r="D1323" s="5" t="s">
        <v>1320</v>
      </c>
      <c r="E1323" s="3">
        <v>5</v>
      </c>
      <c r="F1323" s="3">
        <v>8</v>
      </c>
      <c r="G1323" s="3">
        <v>2025</v>
      </c>
      <c r="H1323" s="5" t="s">
        <v>59</v>
      </c>
      <c r="I1323" s="7" t="s">
        <v>1731</v>
      </c>
      <c r="J1323" s="4" t="s">
        <v>79</v>
      </c>
      <c r="K1323" s="3">
        <v>0</v>
      </c>
      <c r="L1323" s="3">
        <v>0</v>
      </c>
      <c r="M1323" s="4">
        <v>0</v>
      </c>
      <c r="N1323" s="4">
        <v>0</v>
      </c>
      <c r="O1323" s="4"/>
      <c r="P1323" s="3"/>
      <c r="Q1323" s="11">
        <v>15</v>
      </c>
      <c r="R1323" s="3" t="s">
        <v>52</v>
      </c>
      <c r="S1323" s="10" t="s">
        <v>63</v>
      </c>
      <c r="T1323" s="4" t="str">
        <f>IF(OR(Tabela1[[#This Row],[Grau de Risco]]="Médio",Tabela1[[#This Row],[Grau de Risco]]="Baixo"),"Não","Sim")</f>
        <v>Não</v>
      </c>
    </row>
    <row r="1324" spans="1:20">
      <c r="A1324" s="28" t="s">
        <v>1110</v>
      </c>
      <c r="B1324" s="10" t="s">
        <v>1809</v>
      </c>
      <c r="C1324" s="28" t="s">
        <v>41</v>
      </c>
      <c r="D1324" s="28" t="s">
        <v>1320</v>
      </c>
      <c r="E1324" s="32">
        <v>22</v>
      </c>
      <c r="F1324" s="32">
        <v>9</v>
      </c>
      <c r="G1324" s="32">
        <v>2025</v>
      </c>
      <c r="H1324" s="34" t="s">
        <v>33</v>
      </c>
      <c r="I1324" s="29" t="s">
        <v>1732</v>
      </c>
      <c r="J1324" s="28" t="s">
        <v>76</v>
      </c>
      <c r="K1324" s="32" t="s">
        <v>44</v>
      </c>
      <c r="L1324" s="32" t="s">
        <v>44</v>
      </c>
      <c r="M1324" s="28"/>
      <c r="N1324" s="28" t="s">
        <v>44</v>
      </c>
      <c r="O1324" s="28"/>
      <c r="P1324" s="32"/>
      <c r="Q1324" s="35">
        <v>10</v>
      </c>
      <c r="R1324" s="32" t="s">
        <v>31</v>
      </c>
      <c r="S1324" s="33" t="s">
        <v>56</v>
      </c>
      <c r="T1324" s="4" t="str">
        <f>IF(OR(Tabela1[[#This Row],[Grau de Risco]]="Médio",Tabela1[[#This Row],[Grau de Risco]]="Baixo"),"Não","Sim")</f>
        <v>Não</v>
      </c>
    </row>
    <row r="1325" spans="1:20" hidden="1">
      <c r="A1325" s="28" t="s">
        <v>2</v>
      </c>
      <c r="B1325" s="10" t="s">
        <v>1797</v>
      </c>
      <c r="C1325" s="4" t="s">
        <v>46</v>
      </c>
      <c r="D1325" s="4" t="s">
        <v>36</v>
      </c>
      <c r="E1325" s="3">
        <v>30</v>
      </c>
      <c r="F1325" s="3">
        <v>8</v>
      </c>
      <c r="G1325" s="3">
        <v>2025</v>
      </c>
      <c r="H1325" s="21" t="s">
        <v>375</v>
      </c>
      <c r="I1325" s="7" t="s">
        <v>1417</v>
      </c>
      <c r="J1325" s="4" t="s">
        <v>69</v>
      </c>
      <c r="K1325" s="3">
        <v>3</v>
      </c>
      <c r="L1325" s="3">
        <v>0</v>
      </c>
      <c r="M1325" s="4" t="s">
        <v>30</v>
      </c>
      <c r="N1325" s="4"/>
      <c r="O1325" s="4" t="s">
        <v>101</v>
      </c>
      <c r="P1325" s="3" t="s">
        <v>52</v>
      </c>
      <c r="Q1325" s="11">
        <v>11</v>
      </c>
      <c r="R1325" s="3" t="str">
        <f>IF(Q1325="","",IF(Q1325&lt;4,"Crítico",IF(Q1325&lt;9,"Alto",IF(Q1325&lt;14,"Médio","Baixo"))))</f>
        <v>Médio</v>
      </c>
      <c r="S1325" s="10" t="s">
        <v>63</v>
      </c>
      <c r="T1325" s="4" t="str">
        <f>IF(OR(Tabela1[[#This Row],[Grau de Risco]]="Médio",Tabela1[[#This Row],[Grau de Risco]]="Baixo"),"Não","Sim")</f>
        <v>Não</v>
      </c>
    </row>
    <row r="1326" spans="1:20" hidden="1">
      <c r="A1326" s="28" t="s">
        <v>7</v>
      </c>
      <c r="B1326" s="33" t="s">
        <v>1797</v>
      </c>
      <c r="C1326" s="28" t="s">
        <v>81</v>
      </c>
      <c r="D1326" s="28" t="s">
        <v>1409</v>
      </c>
      <c r="E1326" s="32">
        <v>30</v>
      </c>
      <c r="F1326" s="32">
        <v>10</v>
      </c>
      <c r="G1326" s="32">
        <v>2025</v>
      </c>
      <c r="H1326" s="34" t="s">
        <v>48</v>
      </c>
      <c r="I1326" s="29" t="s">
        <v>1733</v>
      </c>
      <c r="J1326" s="28" t="s">
        <v>69</v>
      </c>
      <c r="K1326" s="32" t="s">
        <v>44</v>
      </c>
      <c r="L1326" s="32" t="s">
        <v>44</v>
      </c>
      <c r="M1326" s="28" t="s">
        <v>30</v>
      </c>
      <c r="N1326" s="28" t="s">
        <v>44</v>
      </c>
      <c r="O1326" s="28"/>
      <c r="P1326" s="32" t="s">
        <v>52</v>
      </c>
      <c r="Q1326" s="35">
        <v>14</v>
      </c>
      <c r="R1326" s="3" t="s">
        <v>52</v>
      </c>
      <c r="S1326" s="33" t="s">
        <v>56</v>
      </c>
      <c r="T1326" s="4" t="str">
        <f>IF(OR(Tabela1[[#This Row],[Grau de Risco]]="Médio",Tabela1[[#This Row],[Grau de Risco]]="Baixo"),"Não","Sim")</f>
        <v>Não</v>
      </c>
    </row>
    <row r="1327" spans="1:20" hidden="1">
      <c r="A1327" s="28" t="s">
        <v>9</v>
      </c>
      <c r="B1327" s="28" t="s">
        <v>1797</v>
      </c>
      <c r="C1327" s="32" t="s">
        <v>41</v>
      </c>
      <c r="D1327" s="32" t="s">
        <v>1409</v>
      </c>
      <c r="E1327" s="32">
        <v>27</v>
      </c>
      <c r="F1327" s="32">
        <v>11</v>
      </c>
      <c r="G1327" s="32">
        <v>2025</v>
      </c>
      <c r="H1327" s="32" t="s">
        <v>375</v>
      </c>
      <c r="I1327" s="76" t="s">
        <v>1555</v>
      </c>
      <c r="J1327" s="32" t="s">
        <v>61</v>
      </c>
      <c r="K1327" s="32">
        <v>8</v>
      </c>
      <c r="L1327" s="32"/>
      <c r="M1327" s="32"/>
      <c r="N1327" s="32"/>
      <c r="O1327" s="32" t="s">
        <v>4</v>
      </c>
      <c r="P1327" s="32"/>
      <c r="Q1327" s="32">
        <v>11</v>
      </c>
      <c r="R1327" s="32" t="s">
        <v>31</v>
      </c>
      <c r="S1327" s="4" t="s">
        <v>63</v>
      </c>
      <c r="T1327" s="4" t="str">
        <f>IF(OR(Tabela1[[#This Row],[Grau de Risco]]="Médio",Tabela1[[#This Row],[Grau de Risco]]="Baixo"),"Não","Sim")</f>
        <v>Não</v>
      </c>
    </row>
    <row r="1328" spans="1:20">
      <c r="A1328" s="4" t="s">
        <v>7</v>
      </c>
      <c r="B1328" s="10" t="s">
        <v>1809</v>
      </c>
      <c r="C1328" s="4" t="s">
        <v>64</v>
      </c>
      <c r="D1328" s="38" t="s">
        <v>1382</v>
      </c>
      <c r="E1328" s="3">
        <v>15</v>
      </c>
      <c r="F1328" s="3">
        <v>1</v>
      </c>
      <c r="G1328" s="3">
        <v>2020</v>
      </c>
      <c r="H1328" s="34" t="s">
        <v>59</v>
      </c>
      <c r="I1328" s="7" t="s">
        <v>60</v>
      </c>
      <c r="J1328" s="4" t="s">
        <v>61</v>
      </c>
      <c r="K1328" s="3" t="s">
        <v>62</v>
      </c>
      <c r="L1328" s="3" t="s">
        <v>44</v>
      </c>
      <c r="M1328" s="4" t="s">
        <v>30</v>
      </c>
      <c r="N1328" s="4"/>
      <c r="O1328" s="4" t="s">
        <v>4</v>
      </c>
      <c r="P1328" s="3" t="s">
        <v>52</v>
      </c>
      <c r="Q1328" s="11">
        <v>4</v>
      </c>
      <c r="R1328" s="3" t="str">
        <f>IF(Q1328="","",IF(Q1328&lt;4,"Crítico",IF(Q1328&lt;9,"Alto",IF(Q1328&lt;14,"Médio","Baixo"))))</f>
        <v>Alto</v>
      </c>
      <c r="S1328" s="10" t="s">
        <v>63</v>
      </c>
      <c r="T1328" s="4" t="str">
        <f>IF(OR(Tabela1[[#This Row],[Grau de Risco]]="Médio",Tabela1[[#This Row],[Grau de Risco]]="Baixo"),"Não","Sim")</f>
        <v>Sim</v>
      </c>
    </row>
    <row r="1329" spans="1:20" hidden="1">
      <c r="A1329" s="4" t="s">
        <v>8</v>
      </c>
      <c r="B1329" s="10" t="s">
        <v>1793</v>
      </c>
      <c r="C1329" s="4" t="s">
        <v>64</v>
      </c>
      <c r="D1329" s="38" t="s">
        <v>47</v>
      </c>
      <c r="E1329" s="3">
        <v>26</v>
      </c>
      <c r="F1329" s="3">
        <v>6</v>
      </c>
      <c r="G1329" s="3">
        <v>2020</v>
      </c>
      <c r="H1329" s="36" t="s">
        <v>107</v>
      </c>
      <c r="I1329" s="7" t="s">
        <v>108</v>
      </c>
      <c r="J1329" s="4" t="s">
        <v>61</v>
      </c>
      <c r="K1329" s="3">
        <v>0</v>
      </c>
      <c r="L1329" s="3">
        <v>0</v>
      </c>
      <c r="M1329" s="4" t="s">
        <v>30</v>
      </c>
      <c r="N1329" s="4"/>
      <c r="O1329" s="4" t="s">
        <v>4</v>
      </c>
      <c r="P1329" s="3" t="s">
        <v>52</v>
      </c>
      <c r="Q1329" s="11">
        <v>6</v>
      </c>
      <c r="R1329" s="3" t="str">
        <f>IF(Q1329="","",IF(Q1329&lt;4,"Crítico",IF(Q1329&lt;9,"Alto",IF(Q1329&lt;14,"Médio","Baixo"))))</f>
        <v>Alto</v>
      </c>
      <c r="S1329" s="10" t="s">
        <v>63</v>
      </c>
      <c r="T1329" s="4" t="str">
        <f>IF(OR(Tabela1[[#This Row],[Grau de Risco]]="Médio",Tabela1[[#This Row],[Grau de Risco]]="Baixo"),"Não","Sim")</f>
        <v>Sim</v>
      </c>
    </row>
    <row r="1330" spans="1:20">
      <c r="A1330" s="4" t="s">
        <v>9</v>
      </c>
      <c r="B1330" s="10" t="s">
        <v>1809</v>
      </c>
      <c r="C1330" s="4" t="s">
        <v>64</v>
      </c>
      <c r="D1330" s="38" t="s">
        <v>1382</v>
      </c>
      <c r="E1330" s="3">
        <v>10</v>
      </c>
      <c r="F1330" s="3">
        <v>2</v>
      </c>
      <c r="G1330" s="3">
        <v>2021</v>
      </c>
      <c r="H1330" s="4" t="s">
        <v>27</v>
      </c>
      <c r="I1330" s="7" t="s">
        <v>158</v>
      </c>
      <c r="J1330" s="4" t="s">
        <v>61</v>
      </c>
      <c r="K1330" s="3">
        <v>4</v>
      </c>
      <c r="L1330" s="3">
        <v>0</v>
      </c>
      <c r="M1330" s="4" t="s">
        <v>30</v>
      </c>
      <c r="N1330" s="4"/>
      <c r="O1330" s="4" t="s">
        <v>159</v>
      </c>
      <c r="P1330" s="3" t="s">
        <v>31</v>
      </c>
      <c r="Q1330" s="11">
        <v>4</v>
      </c>
      <c r="R1330" s="3" t="str">
        <f>IF(Q1330="","",IF(Q1330&lt;4,"Crítico",IF(Q1330&lt;9,"Alto",IF(Q1330&lt;14,"Médio","Baixo"))))</f>
        <v>Alto</v>
      </c>
      <c r="S1330" s="10" t="s">
        <v>63</v>
      </c>
      <c r="T1330" s="4" t="str">
        <f>IF(OR(Tabela1[[#This Row],[Grau de Risco]]="Médio",Tabela1[[#This Row],[Grau de Risco]]="Baixo"),"Não","Sim")</f>
        <v>Sim</v>
      </c>
    </row>
    <row r="1331" spans="1:20" hidden="1">
      <c r="A1331" s="4" t="s">
        <v>2</v>
      </c>
      <c r="B1331" s="10" t="s">
        <v>1805</v>
      </c>
      <c r="C1331" s="4" t="s">
        <v>64</v>
      </c>
      <c r="D1331" s="38" t="s">
        <v>1393</v>
      </c>
      <c r="E1331" s="3">
        <v>21</v>
      </c>
      <c r="F1331" s="3">
        <v>9</v>
      </c>
      <c r="G1331" s="3">
        <v>2021</v>
      </c>
      <c r="H1331" s="4" t="s">
        <v>27</v>
      </c>
      <c r="I1331" s="7" t="s">
        <v>184</v>
      </c>
      <c r="J1331" s="4" t="s">
        <v>61</v>
      </c>
      <c r="K1331" s="3">
        <v>15</v>
      </c>
      <c r="L1331" s="3">
        <v>0</v>
      </c>
      <c r="M1331" s="4" t="s">
        <v>30</v>
      </c>
      <c r="N1331" s="4"/>
      <c r="O1331" s="4" t="s">
        <v>74</v>
      </c>
      <c r="P1331" s="3" t="s">
        <v>31</v>
      </c>
      <c r="Q1331" s="11">
        <v>9</v>
      </c>
      <c r="R1331" s="3" t="str">
        <f>IF(Q1331="","",IF(Q1331&lt;4,"Crítico",IF(Q1331&lt;9,"Alto",IF(Q1331&lt;14,"Médio","Baixo"))))</f>
        <v>Médio</v>
      </c>
      <c r="S1331" s="10" t="s">
        <v>63</v>
      </c>
      <c r="T1331" s="4" t="str">
        <f>IF(OR(Tabela1[[#This Row],[Grau de Risco]]="Médio",Tabela1[[#This Row],[Grau de Risco]]="Baixo"),"Não","Sim")</f>
        <v>Não</v>
      </c>
    </row>
    <row r="1332" spans="1:20">
      <c r="A1332" s="5" t="s">
        <v>2</v>
      </c>
      <c r="B1332" s="10" t="s">
        <v>1809</v>
      </c>
      <c r="C1332" s="5" t="s">
        <v>26</v>
      </c>
      <c r="D1332" s="38" t="s">
        <v>1382</v>
      </c>
      <c r="E1332" s="3">
        <v>24</v>
      </c>
      <c r="F1332" s="2">
        <v>11</v>
      </c>
      <c r="G1332" s="3">
        <v>2021</v>
      </c>
      <c r="H1332" s="36" t="s">
        <v>82</v>
      </c>
      <c r="I1332" s="7" t="s">
        <v>195</v>
      </c>
      <c r="J1332" s="4" t="s">
        <v>76</v>
      </c>
      <c r="K1332" s="3">
        <v>12</v>
      </c>
      <c r="L1332" s="3">
        <v>0</v>
      </c>
      <c r="M1332" s="5" t="s">
        <v>30</v>
      </c>
      <c r="N1332" s="4">
        <v>12</v>
      </c>
      <c r="O1332" s="4" t="s">
        <v>129</v>
      </c>
      <c r="P1332" s="3" t="s">
        <v>31</v>
      </c>
      <c r="Q1332" s="3">
        <v>13</v>
      </c>
      <c r="R1332" s="2" t="s">
        <v>31</v>
      </c>
      <c r="S1332" s="10" t="s">
        <v>32</v>
      </c>
      <c r="T1332" s="4" t="str">
        <f>IF(OR(Tabela1[[#This Row],[Grau de Risco]]="Médio",Tabela1[[#This Row],[Grau de Risco]]="Baixo"),"Não","Sim")</f>
        <v>Não</v>
      </c>
    </row>
    <row r="1333" spans="1:20">
      <c r="A1333" s="4" t="s">
        <v>2</v>
      </c>
      <c r="B1333" s="10" t="s">
        <v>1809</v>
      </c>
      <c r="C1333" s="4" t="s">
        <v>64</v>
      </c>
      <c r="D1333" s="38" t="s">
        <v>1393</v>
      </c>
      <c r="E1333" s="3">
        <v>6</v>
      </c>
      <c r="F1333" s="3">
        <v>7</v>
      </c>
      <c r="G1333" s="3">
        <v>2021</v>
      </c>
      <c r="H1333" s="34" t="s">
        <v>59</v>
      </c>
      <c r="I1333" s="7" t="s">
        <v>217</v>
      </c>
      <c r="J1333" s="4" t="s">
        <v>192</v>
      </c>
      <c r="K1333" s="3">
        <v>2</v>
      </c>
      <c r="L1333" s="3">
        <v>0</v>
      </c>
      <c r="M1333" s="4" t="s">
        <v>30</v>
      </c>
      <c r="N1333" s="4"/>
      <c r="O1333" s="4" t="s">
        <v>4</v>
      </c>
      <c r="P1333" s="3" t="s">
        <v>31</v>
      </c>
      <c r="Q1333" s="11">
        <v>17</v>
      </c>
      <c r="R1333" s="3" t="str">
        <f>IF(Q1333="","",IF(Q1333&lt;4,"Crítico",IF(Q1333&lt;9,"Alto",IF(Q1333&lt;14,"Médio","Baixo"))))</f>
        <v>Baixo</v>
      </c>
      <c r="S1333" s="10" t="s">
        <v>63</v>
      </c>
      <c r="T1333" s="4" t="str">
        <f>IF(OR(Tabela1[[#This Row],[Grau de Risco]]="Médio",Tabela1[[#This Row],[Grau de Risco]]="Baixo"),"Não","Sim")</f>
        <v>Não</v>
      </c>
    </row>
    <row r="1334" spans="1:20">
      <c r="A1334" s="4" t="s">
        <v>2</v>
      </c>
      <c r="B1334" s="10" t="s">
        <v>1809</v>
      </c>
      <c r="C1334" s="4" t="s">
        <v>64</v>
      </c>
      <c r="D1334" s="58" t="s">
        <v>1409</v>
      </c>
      <c r="E1334" s="3">
        <v>2</v>
      </c>
      <c r="F1334" s="3">
        <v>12</v>
      </c>
      <c r="G1334" s="3">
        <v>2021</v>
      </c>
      <c r="H1334" s="4" t="s">
        <v>27</v>
      </c>
      <c r="I1334" s="7" t="s">
        <v>230</v>
      </c>
      <c r="J1334" s="4" t="s">
        <v>229</v>
      </c>
      <c r="K1334" s="3">
        <v>15</v>
      </c>
      <c r="L1334" s="3">
        <v>0</v>
      </c>
      <c r="M1334" s="4" t="s">
        <v>30</v>
      </c>
      <c r="N1334" s="4"/>
      <c r="O1334" s="4" t="s">
        <v>4</v>
      </c>
      <c r="P1334" s="3" t="s">
        <v>31</v>
      </c>
      <c r="Q1334" s="11">
        <v>12</v>
      </c>
      <c r="R1334" s="3" t="str">
        <f>IF(Q1334="","",IF(Q1334&lt;4,"Crítico",IF(Q1334&lt;9,"Alto",IF(Q1334&lt;14,"Médio","Baixo"))))</f>
        <v>Médio</v>
      </c>
      <c r="S1334" s="10" t="s">
        <v>63</v>
      </c>
      <c r="T1334" s="4" t="str">
        <f>IF(OR(Tabela1[[#This Row],[Grau de Risco]]="Médio",Tabela1[[#This Row],[Grau de Risco]]="Baixo"),"Não","Sim")</f>
        <v>Não</v>
      </c>
    </row>
    <row r="1335" spans="1:20">
      <c r="A1335" s="4" t="s">
        <v>8</v>
      </c>
      <c r="B1335" s="10" t="s">
        <v>1809</v>
      </c>
      <c r="C1335" s="4" t="s">
        <v>26</v>
      </c>
      <c r="D1335" s="38" t="s">
        <v>1393</v>
      </c>
      <c r="E1335" s="3">
        <v>15</v>
      </c>
      <c r="F1335" s="3">
        <v>3</v>
      </c>
      <c r="G1335" s="3">
        <v>2022</v>
      </c>
      <c r="H1335" s="36" t="s">
        <v>107</v>
      </c>
      <c r="I1335" s="7" t="s">
        <v>249</v>
      </c>
      <c r="J1335" s="4" t="s">
        <v>93</v>
      </c>
      <c r="K1335" s="3" t="s">
        <v>62</v>
      </c>
      <c r="L1335" s="3">
        <v>0</v>
      </c>
      <c r="M1335" s="4" t="s">
        <v>30</v>
      </c>
      <c r="N1335" s="4">
        <v>0</v>
      </c>
      <c r="O1335" s="4" t="s">
        <v>248</v>
      </c>
      <c r="P1335" s="3" t="s">
        <v>31</v>
      </c>
      <c r="Q1335" s="11">
        <v>6</v>
      </c>
      <c r="R1335" s="3" t="s">
        <v>102</v>
      </c>
      <c r="S1335" s="10" t="s">
        <v>180</v>
      </c>
      <c r="T1335" s="4" t="str">
        <f>IF(OR(Tabela1[[#This Row],[Grau de Risco]]="Médio",Tabela1[[#This Row],[Grau de Risco]]="Baixo"),"Não","Sim")</f>
        <v>Sim</v>
      </c>
    </row>
    <row r="1336" spans="1:20">
      <c r="A1336" s="5" t="s">
        <v>2</v>
      </c>
      <c r="B1336" s="10" t="s">
        <v>1809</v>
      </c>
      <c r="C1336" s="5" t="s">
        <v>26</v>
      </c>
      <c r="D1336" s="38" t="s">
        <v>47</v>
      </c>
      <c r="E1336" s="2">
        <v>19</v>
      </c>
      <c r="F1336" s="2">
        <v>8</v>
      </c>
      <c r="G1336" s="2">
        <v>2022</v>
      </c>
      <c r="H1336" s="36" t="s">
        <v>66</v>
      </c>
      <c r="I1336" s="5" t="s">
        <v>309</v>
      </c>
      <c r="J1336" s="5" t="s">
        <v>54</v>
      </c>
      <c r="K1336" s="2">
        <v>47</v>
      </c>
      <c r="L1336" s="2">
        <v>0</v>
      </c>
      <c r="M1336" s="5" t="s">
        <v>30</v>
      </c>
      <c r="N1336" s="5">
        <v>0</v>
      </c>
      <c r="O1336" s="5" t="s">
        <v>45</v>
      </c>
      <c r="P1336" s="2" t="s">
        <v>31</v>
      </c>
      <c r="Q1336" s="2">
        <v>10</v>
      </c>
      <c r="R1336" s="2" t="s">
        <v>31</v>
      </c>
      <c r="S1336" s="5" t="s">
        <v>56</v>
      </c>
      <c r="T1336" s="4" t="str">
        <f>IF(OR(Tabela1[[#This Row],[Grau de Risco]]="Médio",Tabela1[[#This Row],[Grau de Risco]]="Baixo"),"Não","Sim")</f>
        <v>Não</v>
      </c>
    </row>
    <row r="1337" spans="1:20" hidden="1">
      <c r="A1337" s="5" t="s">
        <v>2</v>
      </c>
      <c r="B1337" s="4" t="s">
        <v>1805</v>
      </c>
      <c r="C1337" s="5" t="s">
        <v>26</v>
      </c>
      <c r="D1337" s="38" t="s">
        <v>47</v>
      </c>
      <c r="E1337" s="3">
        <v>25</v>
      </c>
      <c r="F1337" s="2">
        <v>3</v>
      </c>
      <c r="G1337" s="3">
        <v>2022</v>
      </c>
      <c r="H1337" s="36" t="s">
        <v>107</v>
      </c>
      <c r="I1337" s="7" t="s">
        <v>354</v>
      </c>
      <c r="J1337" s="4" t="s">
        <v>35</v>
      </c>
      <c r="K1337" s="3">
        <v>15</v>
      </c>
      <c r="L1337" s="3">
        <v>0</v>
      </c>
      <c r="M1337" s="5" t="s">
        <v>30</v>
      </c>
      <c r="N1337" s="4">
        <v>15</v>
      </c>
      <c r="O1337" s="4" t="s">
        <v>88</v>
      </c>
      <c r="P1337" s="3" t="s">
        <v>31</v>
      </c>
      <c r="Q1337" s="3">
        <v>17</v>
      </c>
      <c r="R1337" s="2" t="s">
        <v>31</v>
      </c>
      <c r="S1337" s="10" t="s">
        <v>32</v>
      </c>
      <c r="T1337" s="4" t="str">
        <f>IF(OR(Tabela1[[#This Row],[Grau de Risco]]="Médio",Tabela1[[#This Row],[Grau de Risco]]="Baixo"),"Não","Sim")</f>
        <v>Não</v>
      </c>
    </row>
    <row r="1338" spans="1:20">
      <c r="A1338" s="4" t="s">
        <v>8</v>
      </c>
      <c r="B1338" s="10" t="s">
        <v>1809</v>
      </c>
      <c r="C1338" s="4" t="s">
        <v>26</v>
      </c>
      <c r="D1338" s="38" t="s">
        <v>1393</v>
      </c>
      <c r="E1338" s="3">
        <v>24</v>
      </c>
      <c r="F1338" s="3">
        <v>10</v>
      </c>
      <c r="G1338" s="3">
        <v>2023</v>
      </c>
      <c r="H1338" s="34" t="s">
        <v>59</v>
      </c>
      <c r="I1338" s="7" t="s">
        <v>432</v>
      </c>
      <c r="J1338" s="4" t="s">
        <v>135</v>
      </c>
      <c r="K1338" s="3">
        <v>0</v>
      </c>
      <c r="L1338" s="3">
        <v>0</v>
      </c>
      <c r="M1338" s="4" t="s">
        <v>30</v>
      </c>
      <c r="N1338" s="4">
        <v>0</v>
      </c>
      <c r="O1338" s="4" t="s">
        <v>301</v>
      </c>
      <c r="P1338" s="3" t="s">
        <v>31</v>
      </c>
      <c r="Q1338" s="11">
        <v>10</v>
      </c>
      <c r="R1338" s="3" t="str">
        <f>IF(Q1338="","",IF(Q1338&lt;4,"Crítico",IF(Q1338&lt;9,"Alto",IF(Q1338&lt;14,"Médio","Baixo"))))</f>
        <v>Médio</v>
      </c>
      <c r="S1338" s="10" t="s">
        <v>63</v>
      </c>
      <c r="T1338" s="4" t="str">
        <f>IF(OR(Tabela1[[#This Row],[Grau de Risco]]="Médio",Tabela1[[#This Row],[Grau de Risco]]="Baixo"),"Não","Sim")</f>
        <v>Não</v>
      </c>
    </row>
    <row r="1339" spans="1:20" hidden="1">
      <c r="A1339" s="4" t="s">
        <v>10</v>
      </c>
      <c r="B1339" s="10" t="s">
        <v>1800</v>
      </c>
      <c r="C1339" s="5" t="s">
        <v>26</v>
      </c>
      <c r="D1339" s="58" t="s">
        <v>1409</v>
      </c>
      <c r="E1339" s="3">
        <v>19</v>
      </c>
      <c r="F1339" s="3">
        <v>1</v>
      </c>
      <c r="G1339" s="3">
        <v>2023</v>
      </c>
      <c r="H1339" s="21" t="s">
        <v>450</v>
      </c>
      <c r="I1339" s="7" t="s">
        <v>451</v>
      </c>
      <c r="J1339" s="4" t="s">
        <v>69</v>
      </c>
      <c r="K1339" s="3">
        <v>0</v>
      </c>
      <c r="L1339" s="3">
        <v>0</v>
      </c>
      <c r="M1339" s="4" t="s">
        <v>30</v>
      </c>
      <c r="N1339" s="4">
        <v>0</v>
      </c>
      <c r="O1339" s="4" t="s">
        <v>77</v>
      </c>
      <c r="P1339" s="3" t="s">
        <v>52</v>
      </c>
      <c r="Q1339" s="11">
        <v>7</v>
      </c>
      <c r="R1339" s="3" t="s">
        <v>102</v>
      </c>
      <c r="S1339" s="10" t="s">
        <v>63</v>
      </c>
      <c r="T1339" s="4" t="str">
        <f>IF(OR(Tabela1[[#This Row],[Grau de Risco]]="Médio",Tabela1[[#This Row],[Grau de Risco]]="Baixo"),"Não","Sim")</f>
        <v>Sim</v>
      </c>
    </row>
    <row r="1340" spans="1:20">
      <c r="A1340" s="4" t="s">
        <v>7</v>
      </c>
      <c r="B1340" s="10" t="s">
        <v>1809</v>
      </c>
      <c r="C1340" s="4" t="s">
        <v>46</v>
      </c>
      <c r="D1340" s="38" t="s">
        <v>47</v>
      </c>
      <c r="E1340" s="3">
        <v>5</v>
      </c>
      <c r="F1340" s="3">
        <v>5</v>
      </c>
      <c r="G1340" s="3">
        <v>2023</v>
      </c>
      <c r="H1340" s="36" t="s">
        <v>112</v>
      </c>
      <c r="I1340" s="7" t="s">
        <v>503</v>
      </c>
      <c r="J1340" s="4" t="s">
        <v>91</v>
      </c>
      <c r="K1340" s="3">
        <v>2</v>
      </c>
      <c r="L1340" s="3">
        <v>0</v>
      </c>
      <c r="M1340" s="4" t="s">
        <v>30</v>
      </c>
      <c r="N1340" s="4"/>
      <c r="O1340" s="4" t="s">
        <v>101</v>
      </c>
      <c r="P1340" s="3" t="s">
        <v>31</v>
      </c>
      <c r="Q1340" s="11">
        <v>5</v>
      </c>
      <c r="R1340" s="3" t="str">
        <f>IF(Q1340="","",IF(Q1340&lt;4,"Crítico",IF(Q1340&lt;9,"Alto",IF(Q1340&lt;14,"Médio","Baixo"))))</f>
        <v>Alto</v>
      </c>
      <c r="S1340" s="10" t="s">
        <v>63</v>
      </c>
      <c r="T1340" s="4" t="str">
        <f>IF(OR(Tabela1[[#This Row],[Grau de Risco]]="Médio",Tabela1[[#This Row],[Grau de Risco]]="Baixo"),"Não","Sim")</f>
        <v>Sim</v>
      </c>
    </row>
    <row r="1341" spans="1:20" hidden="1">
      <c r="A1341" s="4" t="s">
        <v>7</v>
      </c>
      <c r="B1341" s="10" t="s">
        <v>1805</v>
      </c>
      <c r="C1341" s="4" t="s">
        <v>97</v>
      </c>
      <c r="D1341" s="38" t="s">
        <v>1393</v>
      </c>
      <c r="E1341" s="3">
        <v>28</v>
      </c>
      <c r="F1341" s="3">
        <v>3</v>
      </c>
      <c r="G1341" s="3">
        <v>2023</v>
      </c>
      <c r="H1341" s="21" t="s">
        <v>463</v>
      </c>
      <c r="I1341" s="7" t="s">
        <v>550</v>
      </c>
      <c r="J1341" s="4" t="s">
        <v>61</v>
      </c>
      <c r="K1341" s="3" t="s">
        <v>62</v>
      </c>
      <c r="L1341" s="3" t="s">
        <v>44</v>
      </c>
      <c r="M1341" s="4" t="s">
        <v>30</v>
      </c>
      <c r="N1341" s="4"/>
      <c r="O1341" s="4" t="s">
        <v>4</v>
      </c>
      <c r="P1341" s="3" t="s">
        <v>52</v>
      </c>
      <c r="Q1341" s="11">
        <v>16</v>
      </c>
      <c r="R1341" s="3" t="str">
        <f>IF(Q1341="","",IF(Q1341&lt;4,"Crítico",IF(Q1341&lt;9,"Alto",IF(Q1341&lt;14,"Médio","Baixo"))))</f>
        <v>Baixo</v>
      </c>
      <c r="S1341" s="10" t="s">
        <v>32</v>
      </c>
      <c r="T1341" s="4" t="str">
        <f>IF(OR(Tabela1[[#This Row],[Grau de Risco]]="Médio",Tabela1[[#This Row],[Grau de Risco]]="Baixo"),"Não","Sim")</f>
        <v>Não</v>
      </c>
    </row>
    <row r="1342" spans="1:20">
      <c r="A1342" s="4" t="s">
        <v>8</v>
      </c>
      <c r="B1342" s="10" t="s">
        <v>1809</v>
      </c>
      <c r="C1342" s="4" t="s">
        <v>26</v>
      </c>
      <c r="D1342" s="38" t="s">
        <v>1320</v>
      </c>
      <c r="E1342" s="3">
        <v>13</v>
      </c>
      <c r="F1342" s="3">
        <v>11</v>
      </c>
      <c r="G1342" s="3">
        <v>2023</v>
      </c>
      <c r="H1342" s="36" t="s">
        <v>66</v>
      </c>
      <c r="I1342" s="7" t="s">
        <v>588</v>
      </c>
      <c r="J1342" s="4" t="s">
        <v>50</v>
      </c>
      <c r="K1342" s="3" t="s">
        <v>62</v>
      </c>
      <c r="L1342" s="3">
        <v>0</v>
      </c>
      <c r="M1342" s="4" t="s">
        <v>30</v>
      </c>
      <c r="N1342" s="4">
        <v>0</v>
      </c>
      <c r="O1342" s="4" t="s">
        <v>4</v>
      </c>
      <c r="P1342" s="3" t="s">
        <v>52</v>
      </c>
      <c r="Q1342" s="11">
        <v>11</v>
      </c>
      <c r="R1342" s="3" t="s">
        <v>31</v>
      </c>
      <c r="S1342" s="5" t="s">
        <v>56</v>
      </c>
      <c r="T1342" s="4" t="str">
        <f>IF(OR(Tabela1[[#This Row],[Grau de Risco]]="Médio",Tabela1[[#This Row],[Grau de Risco]]="Baixo"),"Não","Sim")</f>
        <v>Não</v>
      </c>
    </row>
    <row r="1343" spans="1:20" hidden="1">
      <c r="A1343" s="4" t="s">
        <v>9</v>
      </c>
      <c r="B1343" s="10" t="s">
        <v>1793</v>
      </c>
      <c r="C1343" s="5" t="s">
        <v>26</v>
      </c>
      <c r="D1343" s="38" t="s">
        <v>1320</v>
      </c>
      <c r="E1343" s="3">
        <v>13</v>
      </c>
      <c r="F1343" s="3">
        <v>2</v>
      </c>
      <c r="G1343" s="3">
        <v>2023</v>
      </c>
      <c r="H1343" s="36" t="s">
        <v>375</v>
      </c>
      <c r="I1343" s="7" t="s">
        <v>649</v>
      </c>
      <c r="J1343" s="4" t="s">
        <v>38</v>
      </c>
      <c r="K1343" s="3">
        <v>88</v>
      </c>
      <c r="L1343" s="3">
        <v>15</v>
      </c>
      <c r="M1343" s="4" t="s">
        <v>30</v>
      </c>
      <c r="N1343" s="4">
        <v>73</v>
      </c>
      <c r="O1343" s="4" t="s">
        <v>101</v>
      </c>
      <c r="P1343" s="3" t="s">
        <v>31</v>
      </c>
      <c r="Q1343" s="11">
        <v>4</v>
      </c>
      <c r="R1343" s="3" t="s">
        <v>102</v>
      </c>
      <c r="S1343" s="10" t="s">
        <v>63</v>
      </c>
      <c r="T1343" s="4" t="str">
        <f>IF(OR(Tabela1[[#This Row],[Grau de Risco]]="Médio",Tabela1[[#This Row],[Grau de Risco]]="Baixo"),"Não","Sim")</f>
        <v>Sim</v>
      </c>
    </row>
    <row r="1344" spans="1:20">
      <c r="A1344" s="5" t="s">
        <v>7</v>
      </c>
      <c r="B1344" s="10" t="s">
        <v>1809</v>
      </c>
      <c r="C1344" s="4" t="s">
        <v>26</v>
      </c>
      <c r="D1344" s="38" t="s">
        <v>1382</v>
      </c>
      <c r="E1344" s="32">
        <v>19</v>
      </c>
      <c r="F1344" s="32">
        <v>6</v>
      </c>
      <c r="G1344" s="32">
        <v>2024</v>
      </c>
      <c r="H1344" s="36" t="s">
        <v>82</v>
      </c>
      <c r="I1344" s="29" t="s">
        <v>1734</v>
      </c>
      <c r="J1344" s="28" t="s">
        <v>38</v>
      </c>
      <c r="K1344" s="3" t="s">
        <v>44</v>
      </c>
      <c r="L1344" s="32" t="s">
        <v>30</v>
      </c>
      <c r="M1344" s="28" t="s">
        <v>30</v>
      </c>
      <c r="N1344" s="28" t="s">
        <v>44</v>
      </c>
      <c r="O1344" s="28"/>
      <c r="P1344" s="32"/>
      <c r="Q1344" s="35">
        <v>10</v>
      </c>
      <c r="R1344" s="3" t="s">
        <v>31</v>
      </c>
      <c r="S1344" s="33" t="s">
        <v>63</v>
      </c>
      <c r="T1344" s="4" t="str">
        <f>IF(OR(Tabela1[[#This Row],[Grau de Risco]]="Médio",Tabela1[[#This Row],[Grau de Risco]]="Baixo"),"Não","Sim")</f>
        <v>Não</v>
      </c>
    </row>
    <row r="1345" spans="1:20">
      <c r="A1345" s="4" t="s">
        <v>7</v>
      </c>
      <c r="B1345" s="10" t="s">
        <v>1809</v>
      </c>
      <c r="C1345" s="4" t="s">
        <v>46</v>
      </c>
      <c r="D1345" s="38" t="s">
        <v>1382</v>
      </c>
      <c r="E1345" s="3">
        <v>24</v>
      </c>
      <c r="F1345" s="3">
        <v>1</v>
      </c>
      <c r="G1345" s="3">
        <v>2024</v>
      </c>
      <c r="H1345" s="4" t="s">
        <v>27</v>
      </c>
      <c r="I1345" s="7" t="s">
        <v>923</v>
      </c>
      <c r="J1345" s="4" t="s">
        <v>111</v>
      </c>
      <c r="K1345" s="3" t="s">
        <v>62</v>
      </c>
      <c r="L1345" s="3">
        <v>0</v>
      </c>
      <c r="M1345" s="4" t="s">
        <v>30</v>
      </c>
      <c r="N1345" s="4">
        <v>0</v>
      </c>
      <c r="O1345" s="4" t="s">
        <v>527</v>
      </c>
      <c r="P1345" s="3"/>
      <c r="Q1345" s="11">
        <v>10</v>
      </c>
      <c r="R1345" s="3" t="s">
        <v>31</v>
      </c>
      <c r="S1345" s="10" t="s">
        <v>4</v>
      </c>
      <c r="T1345" s="4" t="str">
        <f>IF(OR(Tabela1[[#This Row],[Grau de Risco]]="Médio",Tabela1[[#This Row],[Grau de Risco]]="Baixo"),"Não","Sim")</f>
        <v>Não</v>
      </c>
    </row>
    <row r="1346" spans="1:20" hidden="1">
      <c r="A1346" s="4" t="s">
        <v>7</v>
      </c>
      <c r="B1346" s="10" t="s">
        <v>1793</v>
      </c>
      <c r="C1346" s="4" t="s">
        <v>125</v>
      </c>
      <c r="D1346" s="38" t="s">
        <v>47</v>
      </c>
      <c r="E1346" s="3">
        <v>26</v>
      </c>
      <c r="F1346" s="3">
        <v>7</v>
      </c>
      <c r="G1346" s="3">
        <v>2024</v>
      </c>
      <c r="H1346" s="36" t="s">
        <v>66</v>
      </c>
      <c r="I1346" s="7" t="s">
        <v>951</v>
      </c>
      <c r="J1346" s="4" t="s">
        <v>35</v>
      </c>
      <c r="K1346" s="3" t="s">
        <v>44</v>
      </c>
      <c r="L1346" s="3" t="s">
        <v>44</v>
      </c>
      <c r="M1346" s="4"/>
      <c r="N1346" s="4" t="s">
        <v>44</v>
      </c>
      <c r="O1346" s="4"/>
      <c r="P1346" s="3"/>
      <c r="Q1346" s="11">
        <v>14</v>
      </c>
      <c r="R1346" s="3" t="s">
        <v>52</v>
      </c>
      <c r="S1346" s="5" t="s">
        <v>56</v>
      </c>
      <c r="T1346" s="4" t="str">
        <f>IF(OR(Tabela1[[#This Row],[Grau de Risco]]="Médio",Tabela1[[#This Row],[Grau de Risco]]="Baixo"),"Não","Sim")</f>
        <v>Não</v>
      </c>
    </row>
    <row r="1347" spans="1:20" hidden="1">
      <c r="A1347" s="28" t="s">
        <v>8</v>
      </c>
      <c r="B1347" s="33" t="s">
        <v>1800</v>
      </c>
      <c r="C1347" s="28" t="s">
        <v>41</v>
      </c>
      <c r="D1347" s="5" t="s">
        <v>36</v>
      </c>
      <c r="E1347" s="32">
        <v>6</v>
      </c>
      <c r="F1347" s="32">
        <v>7</v>
      </c>
      <c r="G1347" s="32">
        <v>2024</v>
      </c>
      <c r="H1347" s="4" t="s">
        <v>86</v>
      </c>
      <c r="I1347" s="29" t="s">
        <v>1001</v>
      </c>
      <c r="J1347" s="28" t="s">
        <v>54</v>
      </c>
      <c r="K1347" s="3">
        <v>0</v>
      </c>
      <c r="L1347" s="32" t="s">
        <v>80</v>
      </c>
      <c r="M1347" s="28" t="s">
        <v>30</v>
      </c>
      <c r="N1347" s="28" t="s">
        <v>80</v>
      </c>
      <c r="O1347" s="28" t="s">
        <v>45</v>
      </c>
      <c r="P1347" s="32" t="s">
        <v>52</v>
      </c>
      <c r="Q1347" s="35">
        <v>10</v>
      </c>
      <c r="R1347" s="32" t="s">
        <v>31</v>
      </c>
      <c r="S1347" s="33" t="s">
        <v>178</v>
      </c>
      <c r="T1347" s="4" t="str">
        <f>IF(OR(Tabela1[[#This Row],[Grau de Risco]]="Médio",Tabela1[[#This Row],[Grau de Risco]]="Baixo"),"Não","Sim")</f>
        <v>Não</v>
      </c>
    </row>
    <row r="1348" spans="1:20" hidden="1">
      <c r="A1348" s="28" t="s">
        <v>7</v>
      </c>
      <c r="B1348" s="56" t="s">
        <v>1797</v>
      </c>
      <c r="C1348" s="28" t="s">
        <v>125</v>
      </c>
      <c r="D1348" s="38" t="s">
        <v>1382</v>
      </c>
      <c r="E1348" s="32">
        <v>2</v>
      </c>
      <c r="F1348" s="32">
        <v>4</v>
      </c>
      <c r="G1348" s="32">
        <v>2025</v>
      </c>
      <c r="H1348" s="36" t="s">
        <v>107</v>
      </c>
      <c r="I1348" s="29" t="s">
        <v>1215</v>
      </c>
      <c r="J1348" s="28" t="s">
        <v>111</v>
      </c>
      <c r="K1348" s="32"/>
      <c r="L1348" s="32"/>
      <c r="M1348" s="28"/>
      <c r="N1348" s="28"/>
      <c r="O1348" s="28" t="s">
        <v>70</v>
      </c>
      <c r="P1348" s="32"/>
      <c r="Q1348" s="11">
        <v>15</v>
      </c>
      <c r="R1348" s="32" t="s">
        <v>52</v>
      </c>
      <c r="S1348" s="33" t="s">
        <v>63</v>
      </c>
      <c r="T1348" s="4" t="str">
        <f>IF(OR(Tabela1[[#This Row],[Grau de Risco]]="Médio",Tabela1[[#This Row],[Grau de Risco]]="Baixo"),"Não","Sim")</f>
        <v>Não</v>
      </c>
    </row>
    <row r="1349" spans="1:20" hidden="1">
      <c r="A1349" s="4" t="s">
        <v>9</v>
      </c>
      <c r="B1349" s="10" t="s">
        <v>1793</v>
      </c>
      <c r="C1349" s="4" t="s">
        <v>26</v>
      </c>
      <c r="D1349" s="38" t="s">
        <v>1382</v>
      </c>
      <c r="E1349" s="3">
        <v>2</v>
      </c>
      <c r="F1349" s="3">
        <v>4</v>
      </c>
      <c r="G1349" s="3">
        <v>2025</v>
      </c>
      <c r="H1349" s="4" t="s">
        <v>27</v>
      </c>
      <c r="I1349" s="7" t="s">
        <v>1217</v>
      </c>
      <c r="J1349" s="4" t="s">
        <v>35</v>
      </c>
      <c r="K1349" s="3">
        <v>12</v>
      </c>
      <c r="L1349" s="3">
        <v>0</v>
      </c>
      <c r="M1349" s="4" t="s">
        <v>30</v>
      </c>
      <c r="N1349" s="4"/>
      <c r="O1349" s="4" t="s">
        <v>55</v>
      </c>
      <c r="P1349" s="3" t="s">
        <v>52</v>
      </c>
      <c r="Q1349" s="11">
        <v>14</v>
      </c>
      <c r="R1349" s="3" t="s">
        <v>52</v>
      </c>
      <c r="S1349" s="5" t="s">
        <v>56</v>
      </c>
      <c r="T1349" s="4" t="str">
        <f>IF(OR(Tabela1[[#This Row],[Grau de Risco]]="Médio",Tabela1[[#This Row],[Grau de Risco]]="Baixo"),"Não","Sim")</f>
        <v>Não</v>
      </c>
    </row>
    <row r="1350" spans="1:20">
      <c r="A1350" s="4" t="s">
        <v>9</v>
      </c>
      <c r="B1350" s="10" t="s">
        <v>1809</v>
      </c>
      <c r="C1350" s="4" t="s">
        <v>81</v>
      </c>
      <c r="D1350" s="38" t="s">
        <v>1382</v>
      </c>
      <c r="E1350" s="3">
        <v>7</v>
      </c>
      <c r="F1350" s="3">
        <v>5</v>
      </c>
      <c r="G1350" s="3">
        <v>2025</v>
      </c>
      <c r="H1350" s="5" t="s">
        <v>71</v>
      </c>
      <c r="I1350" s="7" t="s">
        <v>1253</v>
      </c>
      <c r="J1350" s="4" t="s">
        <v>79</v>
      </c>
      <c r="K1350" s="3">
        <v>6</v>
      </c>
      <c r="L1350" s="3">
        <v>0</v>
      </c>
      <c r="M1350" s="4" t="s">
        <v>30</v>
      </c>
      <c r="N1350" s="4">
        <v>0</v>
      </c>
      <c r="O1350" s="4" t="s">
        <v>1254</v>
      </c>
      <c r="P1350" s="3" t="s">
        <v>31</v>
      </c>
      <c r="Q1350" s="11">
        <v>5</v>
      </c>
      <c r="R1350" s="3" t="s">
        <v>102</v>
      </c>
      <c r="S1350" s="10" t="s">
        <v>63</v>
      </c>
      <c r="T1350" s="4" t="str">
        <f>IF(OR(Tabela1[[#This Row],[Grau de Risco]]="Médio",Tabela1[[#This Row],[Grau de Risco]]="Baixo"),"Não","Sim")</f>
        <v>Sim</v>
      </c>
    </row>
    <row r="1351" spans="1:20" hidden="1">
      <c r="A1351" s="28" t="s">
        <v>7</v>
      </c>
      <c r="B1351" s="33" t="s">
        <v>1797</v>
      </c>
      <c r="C1351" s="28" t="s">
        <v>81</v>
      </c>
      <c r="D1351" s="28" t="s">
        <v>1393</v>
      </c>
      <c r="E1351" s="32">
        <v>30</v>
      </c>
      <c r="F1351" s="32">
        <v>9</v>
      </c>
      <c r="G1351" s="32">
        <v>2025</v>
      </c>
      <c r="H1351" s="34" t="s">
        <v>112</v>
      </c>
      <c r="I1351" s="7" t="s">
        <v>1735</v>
      </c>
      <c r="J1351" s="28" t="s">
        <v>76</v>
      </c>
      <c r="K1351" s="32">
        <v>0</v>
      </c>
      <c r="L1351" s="32">
        <v>0</v>
      </c>
      <c r="M1351" s="4" t="s">
        <v>30</v>
      </c>
      <c r="N1351" s="4">
        <v>0</v>
      </c>
      <c r="O1351" s="28"/>
      <c r="P1351" s="32"/>
      <c r="Q1351" s="35">
        <v>11</v>
      </c>
      <c r="R1351" s="32" t="s">
        <v>31</v>
      </c>
      <c r="S1351" s="33" t="s">
        <v>63</v>
      </c>
      <c r="T1351" s="4" t="str">
        <f>IF(OR(Tabela1[[#This Row],[Grau de Risco]]="Médio",Tabela1[[#This Row],[Grau de Risco]]="Baixo"),"Não","Sim")</f>
        <v>Não</v>
      </c>
    </row>
    <row r="1352" spans="1:20">
      <c r="A1352" s="28" t="s">
        <v>8</v>
      </c>
      <c r="B1352" s="10" t="s">
        <v>1809</v>
      </c>
      <c r="C1352" s="28" t="s">
        <v>26</v>
      </c>
      <c r="D1352" s="28" t="s">
        <v>1320</v>
      </c>
      <c r="E1352" s="32">
        <v>6</v>
      </c>
      <c r="F1352" s="32">
        <v>10</v>
      </c>
      <c r="G1352" s="32">
        <v>2025</v>
      </c>
      <c r="H1352" s="34" t="s">
        <v>33</v>
      </c>
      <c r="I1352" s="7" t="s">
        <v>1485</v>
      </c>
      <c r="J1352" s="28" t="s">
        <v>93</v>
      </c>
      <c r="K1352" s="3">
        <v>0</v>
      </c>
      <c r="L1352" s="3">
        <v>0</v>
      </c>
      <c r="M1352" s="4" t="s">
        <v>25</v>
      </c>
      <c r="N1352" s="4">
        <v>27</v>
      </c>
      <c r="O1352" s="28" t="s">
        <v>45</v>
      </c>
      <c r="P1352" s="32" t="s">
        <v>31</v>
      </c>
      <c r="Q1352" s="35">
        <v>13</v>
      </c>
      <c r="R1352" s="32" t="s">
        <v>31</v>
      </c>
      <c r="S1352" s="33" t="s">
        <v>63</v>
      </c>
      <c r="T1352" s="4" t="str">
        <f>IF(OR(Tabela1[[#This Row],[Grau de Risco]]="Médio",Tabela1[[#This Row],[Grau de Risco]]="Baixo"),"Não","Sim")</f>
        <v>Não</v>
      </c>
    </row>
    <row r="1353" spans="1:20">
      <c r="A1353" s="4" t="s">
        <v>2</v>
      </c>
      <c r="B1353" s="10" t="s">
        <v>1809</v>
      </c>
      <c r="C1353" s="4" t="s">
        <v>64</v>
      </c>
      <c r="D1353" s="38" t="s">
        <v>47</v>
      </c>
      <c r="E1353" s="3">
        <v>31</v>
      </c>
      <c r="F1353" s="3">
        <v>1</v>
      </c>
      <c r="G1353" s="3">
        <v>2020</v>
      </c>
      <c r="H1353" s="36" t="s">
        <v>107</v>
      </c>
      <c r="I1353" s="7" t="s">
        <v>137</v>
      </c>
      <c r="J1353" s="4" t="s">
        <v>61</v>
      </c>
      <c r="K1353" s="3">
        <v>7</v>
      </c>
      <c r="L1353" s="3">
        <v>0</v>
      </c>
      <c r="M1353" s="4" t="s">
        <v>30</v>
      </c>
      <c r="N1353" s="4"/>
      <c r="O1353" s="4" t="s">
        <v>4</v>
      </c>
      <c r="P1353" s="3" t="s">
        <v>31</v>
      </c>
      <c r="Q1353" s="11">
        <v>17</v>
      </c>
      <c r="R1353" s="3" t="str">
        <f>IF(Q1353="","",IF(Q1353&lt;4,"Crítico",IF(Q1353&lt;9,"Alto",IF(Q1353&lt;14,"Médio","Baixo"))))</f>
        <v>Baixo</v>
      </c>
      <c r="S1353" s="10" t="s">
        <v>63</v>
      </c>
      <c r="T1353" s="4" t="str">
        <f>IF(OR(Tabela1[[#This Row],[Grau de Risco]]="Médio",Tabela1[[#This Row],[Grau de Risco]]="Baixo"),"Não","Sim")</f>
        <v>Não</v>
      </c>
    </row>
    <row r="1354" spans="1:20">
      <c r="A1354" s="4" t="s">
        <v>8</v>
      </c>
      <c r="B1354" s="10" t="s">
        <v>1809</v>
      </c>
      <c r="C1354" s="5" t="s">
        <v>26</v>
      </c>
      <c r="D1354" s="38" t="s">
        <v>1320</v>
      </c>
      <c r="E1354" s="3">
        <v>27</v>
      </c>
      <c r="F1354" s="2">
        <v>9</v>
      </c>
      <c r="G1354" s="3">
        <v>2021</v>
      </c>
      <c r="H1354" s="36" t="s">
        <v>82</v>
      </c>
      <c r="I1354" s="7" t="s">
        <v>165</v>
      </c>
      <c r="J1354" s="4" t="s">
        <v>76</v>
      </c>
      <c r="K1354" s="3">
        <v>0</v>
      </c>
      <c r="L1354" s="3">
        <v>0</v>
      </c>
      <c r="M1354" s="5" t="s">
        <v>30</v>
      </c>
      <c r="N1354" s="4">
        <v>0</v>
      </c>
      <c r="O1354" s="4" t="s">
        <v>39</v>
      </c>
      <c r="P1354" s="3" t="s">
        <v>52</v>
      </c>
      <c r="Q1354" s="3">
        <v>21</v>
      </c>
      <c r="R1354" s="2" t="s">
        <v>52</v>
      </c>
      <c r="S1354" s="10" t="s">
        <v>32</v>
      </c>
      <c r="T1354" s="4" t="str">
        <f>IF(OR(Tabela1[[#This Row],[Grau de Risco]]="Médio",Tabela1[[#This Row],[Grau de Risco]]="Baixo"),"Não","Sim")</f>
        <v>Não</v>
      </c>
    </row>
    <row r="1355" spans="1:20" hidden="1">
      <c r="A1355" s="4" t="s">
        <v>7</v>
      </c>
      <c r="B1355" s="10" t="s">
        <v>1805</v>
      </c>
      <c r="C1355" s="4" t="s">
        <v>58</v>
      </c>
      <c r="D1355" s="58" t="s">
        <v>1409</v>
      </c>
      <c r="E1355" s="3">
        <v>4</v>
      </c>
      <c r="F1355" s="3">
        <v>2</v>
      </c>
      <c r="G1355" s="3">
        <v>2021</v>
      </c>
      <c r="H1355" s="36" t="s">
        <v>107</v>
      </c>
      <c r="I1355" s="7" t="s">
        <v>219</v>
      </c>
      <c r="J1355" s="4" t="s">
        <v>135</v>
      </c>
      <c r="K1355" s="3" t="s">
        <v>62</v>
      </c>
      <c r="L1355" s="3" t="s">
        <v>44</v>
      </c>
      <c r="M1355" s="4" t="s">
        <v>30</v>
      </c>
      <c r="N1355" s="4"/>
      <c r="O1355" s="4" t="s">
        <v>77</v>
      </c>
      <c r="P1355" s="3" t="s">
        <v>52</v>
      </c>
      <c r="Q1355" s="11">
        <v>4</v>
      </c>
      <c r="R1355" s="3" t="str">
        <f>IF(Q1355="","",IF(Q1355&lt;4,"Crítico",IF(Q1355&lt;9,"Alto",IF(Q1355&lt;14,"Médio","Baixo"))))</f>
        <v>Alto</v>
      </c>
      <c r="S1355" s="10" t="s">
        <v>63</v>
      </c>
      <c r="T1355" s="4" t="str">
        <f>IF(OR(Tabela1[[#This Row],[Grau de Risco]]="Médio",Tabela1[[#This Row],[Grau de Risco]]="Baixo"),"Não","Sim")</f>
        <v>Sim</v>
      </c>
    </row>
    <row r="1356" spans="1:20">
      <c r="A1356" s="4" t="s">
        <v>2</v>
      </c>
      <c r="B1356" s="10" t="s">
        <v>1809</v>
      </c>
      <c r="C1356" s="4" t="s">
        <v>26</v>
      </c>
      <c r="D1356" s="38" t="s">
        <v>47</v>
      </c>
      <c r="E1356" s="3">
        <v>2</v>
      </c>
      <c r="F1356" s="3">
        <v>9</v>
      </c>
      <c r="G1356" s="3">
        <v>2022</v>
      </c>
      <c r="H1356" s="36" t="s">
        <v>82</v>
      </c>
      <c r="I1356" s="7" t="s">
        <v>250</v>
      </c>
      <c r="J1356" s="4" t="s">
        <v>93</v>
      </c>
      <c r="K1356" s="3">
        <v>5</v>
      </c>
      <c r="L1356" s="3">
        <v>0</v>
      </c>
      <c r="M1356" s="4" t="s">
        <v>30</v>
      </c>
      <c r="N1356" s="4">
        <v>0</v>
      </c>
      <c r="O1356" s="4" t="s">
        <v>117</v>
      </c>
      <c r="P1356" s="3" t="s">
        <v>52</v>
      </c>
      <c r="Q1356" s="11">
        <v>18</v>
      </c>
      <c r="R1356" s="3" t="s">
        <v>52</v>
      </c>
      <c r="S1356" s="10" t="s">
        <v>141</v>
      </c>
      <c r="T1356" s="4" t="str">
        <f>IF(OR(Tabela1[[#This Row],[Grau de Risco]]="Médio",Tabela1[[#This Row],[Grau de Risco]]="Baixo"),"Não","Sim")</f>
        <v>Não</v>
      </c>
    </row>
    <row r="1357" spans="1:20">
      <c r="A1357" s="5" t="s">
        <v>2</v>
      </c>
      <c r="B1357" s="10" t="s">
        <v>1809</v>
      </c>
      <c r="C1357" s="5" t="s">
        <v>46</v>
      </c>
      <c r="D1357" s="38" t="s">
        <v>47</v>
      </c>
      <c r="E1357" s="2">
        <v>18</v>
      </c>
      <c r="F1357" s="2">
        <v>2</v>
      </c>
      <c r="G1357" s="2">
        <v>2022</v>
      </c>
      <c r="H1357" s="36" t="s">
        <v>82</v>
      </c>
      <c r="I1357" s="5" t="s">
        <v>262</v>
      </c>
      <c r="J1357" s="5" t="s">
        <v>169</v>
      </c>
      <c r="K1357" s="2">
        <v>15</v>
      </c>
      <c r="L1357" s="2">
        <v>0</v>
      </c>
      <c r="M1357" s="5" t="s">
        <v>30</v>
      </c>
      <c r="N1357" s="5">
        <v>0</v>
      </c>
      <c r="O1357" s="5" t="s">
        <v>55</v>
      </c>
      <c r="P1357" s="2" t="s">
        <v>31</v>
      </c>
      <c r="Q1357" s="2">
        <v>13</v>
      </c>
      <c r="R1357" s="2" t="s">
        <v>31</v>
      </c>
      <c r="S1357" s="5" t="s">
        <v>56</v>
      </c>
      <c r="T1357" s="4" t="str">
        <f>IF(OR(Tabela1[[#This Row],[Grau de Risco]]="Médio",Tabela1[[#This Row],[Grau de Risco]]="Baixo"),"Não","Sim")</f>
        <v>Não</v>
      </c>
    </row>
    <row r="1358" spans="1:20">
      <c r="A1358" s="5" t="s">
        <v>2</v>
      </c>
      <c r="B1358" s="10" t="s">
        <v>1809</v>
      </c>
      <c r="C1358" s="5" t="s">
        <v>26</v>
      </c>
      <c r="D1358" s="38" t="s">
        <v>1393</v>
      </c>
      <c r="E1358" s="2">
        <v>19</v>
      </c>
      <c r="F1358" s="2">
        <v>7</v>
      </c>
      <c r="G1358" s="2">
        <v>2022</v>
      </c>
      <c r="H1358" s="36" t="s">
        <v>107</v>
      </c>
      <c r="I1358" s="5" t="s">
        <v>294</v>
      </c>
      <c r="J1358" s="5" t="s">
        <v>38</v>
      </c>
      <c r="K1358" s="2">
        <v>10</v>
      </c>
      <c r="L1358" s="2">
        <v>0</v>
      </c>
      <c r="M1358" s="5" t="s">
        <v>30</v>
      </c>
      <c r="N1358" s="5">
        <v>0</v>
      </c>
      <c r="O1358" s="5" t="s">
        <v>70</v>
      </c>
      <c r="P1358" s="2" t="s">
        <v>31</v>
      </c>
      <c r="Q1358" s="2">
        <v>13</v>
      </c>
      <c r="R1358" s="2" t="s">
        <v>31</v>
      </c>
      <c r="S1358" s="5" t="s">
        <v>56</v>
      </c>
      <c r="T1358" s="4" t="str">
        <f>IF(OR(Tabela1[[#This Row],[Grau de Risco]]="Médio",Tabela1[[#This Row],[Grau de Risco]]="Baixo"),"Não","Sim")</f>
        <v>Não</v>
      </c>
    </row>
    <row r="1359" spans="1:20">
      <c r="A1359" s="4" t="s">
        <v>9</v>
      </c>
      <c r="B1359" s="10" t="s">
        <v>1809</v>
      </c>
      <c r="C1359" s="4" t="s">
        <v>64</v>
      </c>
      <c r="D1359" s="38" t="s">
        <v>47</v>
      </c>
      <c r="E1359" s="3">
        <v>11</v>
      </c>
      <c r="F1359" s="3">
        <v>2</v>
      </c>
      <c r="G1359" s="3">
        <v>2022</v>
      </c>
      <c r="H1359" s="4" t="s">
        <v>86</v>
      </c>
      <c r="I1359" s="7" t="s">
        <v>316</v>
      </c>
      <c r="J1359" s="4" t="s">
        <v>61</v>
      </c>
      <c r="K1359" s="3">
        <v>14</v>
      </c>
      <c r="L1359" s="3">
        <v>0</v>
      </c>
      <c r="M1359" s="4" t="s">
        <v>30</v>
      </c>
      <c r="N1359" s="4"/>
      <c r="O1359" s="4" t="s">
        <v>55</v>
      </c>
      <c r="P1359" s="3" t="s">
        <v>52</v>
      </c>
      <c r="Q1359" s="11">
        <v>12</v>
      </c>
      <c r="R1359" s="3" t="str">
        <f>IF(Q1359="","",IF(Q1359&lt;4,"Crítico",IF(Q1359&lt;9,"Alto",IF(Q1359&lt;14,"Médio","Baixo"))))</f>
        <v>Médio</v>
      </c>
      <c r="S1359" s="5" t="s">
        <v>56</v>
      </c>
      <c r="T1359" s="4" t="str">
        <f>IF(OR(Tabela1[[#This Row],[Grau de Risco]]="Médio",Tabela1[[#This Row],[Grau de Risco]]="Baixo"),"Não","Sim")</f>
        <v>Não</v>
      </c>
    </row>
    <row r="1360" spans="1:20" hidden="1">
      <c r="A1360" s="4" t="s">
        <v>7</v>
      </c>
      <c r="B1360" s="10" t="s">
        <v>1805</v>
      </c>
      <c r="C1360" s="4" t="s">
        <v>64</v>
      </c>
      <c r="D1360" s="58" t="s">
        <v>1409</v>
      </c>
      <c r="E1360" s="3">
        <v>17</v>
      </c>
      <c r="F1360" s="3">
        <v>2</v>
      </c>
      <c r="G1360" s="3">
        <v>2022</v>
      </c>
      <c r="H1360" s="4" t="s">
        <v>27</v>
      </c>
      <c r="I1360" s="7" t="s">
        <v>329</v>
      </c>
      <c r="J1360" s="4" t="s">
        <v>111</v>
      </c>
      <c r="K1360" s="3" t="s">
        <v>62</v>
      </c>
      <c r="L1360" s="3" t="s">
        <v>44</v>
      </c>
      <c r="M1360" s="4" t="s">
        <v>30</v>
      </c>
      <c r="N1360" s="4"/>
      <c r="O1360" s="4" t="s">
        <v>45</v>
      </c>
      <c r="P1360" s="3" t="s">
        <v>52</v>
      </c>
      <c r="Q1360" s="11">
        <v>21</v>
      </c>
      <c r="R1360" s="3" t="str">
        <f>IF(Q1360="","",IF(Q1360&lt;4,"Crítico",IF(Q1360&lt;9,"Alto",IF(Q1360&lt;14,"Médio","Baixo"))))</f>
        <v>Baixo</v>
      </c>
      <c r="S1360" s="10" t="s">
        <v>63</v>
      </c>
      <c r="T1360" s="4" t="str">
        <f>IF(OR(Tabela1[[#This Row],[Grau de Risco]]="Médio",Tabela1[[#This Row],[Grau de Risco]]="Baixo"),"Não","Sim")</f>
        <v>Não</v>
      </c>
    </row>
    <row r="1361" spans="1:20" hidden="1">
      <c r="A1361" s="4" t="s">
        <v>9</v>
      </c>
      <c r="B1361" s="10" t="s">
        <v>1805</v>
      </c>
      <c r="C1361" s="4"/>
      <c r="D1361" s="38" t="s">
        <v>1320</v>
      </c>
      <c r="E1361" s="3">
        <v>4</v>
      </c>
      <c r="F1361" s="3">
        <v>7</v>
      </c>
      <c r="G1361" s="3">
        <v>2022</v>
      </c>
      <c r="H1361" s="34" t="s">
        <v>59</v>
      </c>
      <c r="I1361" s="7" t="s">
        <v>389</v>
      </c>
      <c r="J1361" s="4" t="s">
        <v>93</v>
      </c>
      <c r="K1361" s="3">
        <v>3</v>
      </c>
      <c r="L1361" s="3">
        <v>0</v>
      </c>
      <c r="M1361" s="4" t="s">
        <v>30</v>
      </c>
      <c r="N1361" s="4">
        <v>0</v>
      </c>
      <c r="O1361" s="4" t="s">
        <v>386</v>
      </c>
      <c r="P1361" s="3" t="s">
        <v>52</v>
      </c>
      <c r="Q1361" s="11">
        <v>14</v>
      </c>
      <c r="R1361" s="3" t="s">
        <v>52</v>
      </c>
      <c r="S1361" s="10" t="s">
        <v>63</v>
      </c>
      <c r="T1361" s="4" t="str">
        <f>IF(OR(Tabela1[[#This Row],[Grau de Risco]]="Médio",Tabela1[[#This Row],[Grau de Risco]]="Baixo"),"Não","Sim")</f>
        <v>Não</v>
      </c>
    </row>
    <row r="1362" spans="1:20">
      <c r="A1362" s="4" t="s">
        <v>8</v>
      </c>
      <c r="B1362" s="10" t="s">
        <v>1809</v>
      </c>
      <c r="C1362" s="4" t="s">
        <v>26</v>
      </c>
      <c r="D1362" s="4" t="s">
        <v>148</v>
      </c>
      <c r="E1362" s="3">
        <v>10</v>
      </c>
      <c r="F1362" s="3">
        <v>12</v>
      </c>
      <c r="G1362" s="3">
        <v>2023</v>
      </c>
      <c r="H1362" s="59" t="s">
        <v>516</v>
      </c>
      <c r="I1362" s="7" t="s">
        <v>517</v>
      </c>
      <c r="J1362" s="4" t="s">
        <v>111</v>
      </c>
      <c r="K1362" s="3" t="s">
        <v>44</v>
      </c>
      <c r="L1362" s="3">
        <v>0</v>
      </c>
      <c r="M1362" s="4" t="s">
        <v>25</v>
      </c>
      <c r="N1362" s="4">
        <v>0</v>
      </c>
      <c r="O1362" s="4" t="s">
        <v>55</v>
      </c>
      <c r="P1362" s="3" t="s">
        <v>52</v>
      </c>
      <c r="Q1362" s="11">
        <v>15</v>
      </c>
      <c r="R1362" s="3" t="str">
        <f>IF(Q1362="","",IF(Q1362&lt;4,"Crítico",IF(Q1362&lt;9,"Alto",IF(Q1362&lt;14,"Médio","Baixo"))))</f>
        <v>Baixo</v>
      </c>
      <c r="S1362" s="10" t="s">
        <v>32</v>
      </c>
      <c r="T1362" s="4" t="str">
        <f>IF(OR(Tabela1[[#This Row],[Grau de Risco]]="Médio",Tabela1[[#This Row],[Grau de Risco]]="Baixo"),"Não","Sim")</f>
        <v>Não</v>
      </c>
    </row>
    <row r="1363" spans="1:20" hidden="1">
      <c r="A1363" s="5" t="s">
        <v>7</v>
      </c>
      <c r="B1363" s="23" t="s">
        <v>1793</v>
      </c>
      <c r="C1363" s="5" t="s">
        <v>26</v>
      </c>
      <c r="D1363" s="38" t="s">
        <v>47</v>
      </c>
      <c r="E1363" s="3">
        <v>11</v>
      </c>
      <c r="F1363" s="3">
        <v>8</v>
      </c>
      <c r="G1363" s="3">
        <v>2023</v>
      </c>
      <c r="H1363" s="36" t="s">
        <v>82</v>
      </c>
      <c r="I1363" s="7" t="s">
        <v>542</v>
      </c>
      <c r="J1363" s="4" t="s">
        <v>54</v>
      </c>
      <c r="K1363" s="3" t="s">
        <v>44</v>
      </c>
      <c r="L1363" s="3" t="s">
        <v>80</v>
      </c>
      <c r="M1363" s="4" t="s">
        <v>30</v>
      </c>
      <c r="N1363" s="4" t="s">
        <v>80</v>
      </c>
      <c r="O1363" s="4" t="s">
        <v>77</v>
      </c>
      <c r="P1363" s="3"/>
      <c r="Q1363" s="11">
        <v>4</v>
      </c>
      <c r="R1363" s="3" t="s">
        <v>102</v>
      </c>
      <c r="S1363" s="10" t="s">
        <v>63</v>
      </c>
      <c r="T1363" s="4" t="str">
        <f>IF(OR(Tabela1[[#This Row],[Grau de Risco]]="Médio",Tabela1[[#This Row],[Grau de Risco]]="Baixo"),"Não","Sim")</f>
        <v>Sim</v>
      </c>
    </row>
    <row r="1364" spans="1:20" hidden="1">
      <c r="A1364" s="4" t="s">
        <v>8</v>
      </c>
      <c r="B1364" s="10" t="s">
        <v>1800</v>
      </c>
      <c r="C1364" s="4" t="s">
        <v>26</v>
      </c>
      <c r="D1364" s="38" t="s">
        <v>1393</v>
      </c>
      <c r="E1364" s="3">
        <v>5</v>
      </c>
      <c r="F1364" s="3">
        <v>12</v>
      </c>
      <c r="G1364" s="3">
        <v>2023</v>
      </c>
      <c r="H1364" s="36" t="s">
        <v>33</v>
      </c>
      <c r="I1364" s="7" t="s">
        <v>574</v>
      </c>
      <c r="J1364" s="4" t="s">
        <v>575</v>
      </c>
      <c r="K1364" s="3" t="s">
        <v>62</v>
      </c>
      <c r="L1364" s="3"/>
      <c r="M1364" s="4"/>
      <c r="N1364" s="4"/>
      <c r="O1364" s="4" t="s">
        <v>129</v>
      </c>
      <c r="P1364" s="3" t="s">
        <v>52</v>
      </c>
      <c r="Q1364" s="11">
        <v>11</v>
      </c>
      <c r="R1364" s="3" t="s">
        <v>31</v>
      </c>
      <c r="S1364" s="5" t="s">
        <v>56</v>
      </c>
      <c r="T1364" s="4" t="str">
        <f>IF(OR(Tabela1[[#This Row],[Grau de Risco]]="Médio",Tabela1[[#This Row],[Grau de Risco]]="Baixo"),"Não","Sim")</f>
        <v>Não</v>
      </c>
    </row>
    <row r="1365" spans="1:20" ht="16.5" hidden="1" customHeight="1">
      <c r="A1365" s="4" t="s">
        <v>2</v>
      </c>
      <c r="B1365" s="10" t="s">
        <v>1793</v>
      </c>
      <c r="C1365" s="4" t="s">
        <v>81</v>
      </c>
      <c r="D1365" s="38" t="s">
        <v>1320</v>
      </c>
      <c r="E1365" s="3">
        <v>27</v>
      </c>
      <c r="F1365" s="3">
        <v>2</v>
      </c>
      <c r="G1365" s="3">
        <v>2023</v>
      </c>
      <c r="H1365" s="5" t="s">
        <v>71</v>
      </c>
      <c r="I1365" s="7" t="s">
        <v>598</v>
      </c>
      <c r="J1365" s="4" t="s">
        <v>54</v>
      </c>
      <c r="K1365" s="3">
        <v>4</v>
      </c>
      <c r="L1365" s="3">
        <v>0</v>
      </c>
      <c r="M1365" s="4" t="s">
        <v>30</v>
      </c>
      <c r="N1365" s="4">
        <v>0</v>
      </c>
      <c r="O1365" s="4" t="s">
        <v>101</v>
      </c>
      <c r="P1365" s="3" t="s">
        <v>31</v>
      </c>
      <c r="Q1365" s="11">
        <v>11</v>
      </c>
      <c r="R1365" s="2" t="s">
        <v>31</v>
      </c>
      <c r="S1365" s="5" t="s">
        <v>56</v>
      </c>
      <c r="T1365" s="4" t="str">
        <f>IF(OR(Tabela1[[#This Row],[Grau de Risco]]="Médio",Tabela1[[#This Row],[Grau de Risco]]="Baixo"),"Não","Sim")</f>
        <v>Não</v>
      </c>
    </row>
    <row r="1366" spans="1:20" hidden="1">
      <c r="A1366" s="4" t="s">
        <v>8</v>
      </c>
      <c r="B1366" s="10" t="s">
        <v>1793</v>
      </c>
      <c r="C1366" s="4" t="s">
        <v>252</v>
      </c>
      <c r="D1366" s="38" t="s">
        <v>47</v>
      </c>
      <c r="E1366" s="3">
        <v>27</v>
      </c>
      <c r="F1366" s="3">
        <v>10</v>
      </c>
      <c r="G1366" s="3">
        <v>2023</v>
      </c>
      <c r="H1366" s="36" t="s">
        <v>33</v>
      </c>
      <c r="I1366" s="7" t="s">
        <v>644</v>
      </c>
      <c r="J1366" s="4" t="s">
        <v>54</v>
      </c>
      <c r="K1366" s="3">
        <v>0</v>
      </c>
      <c r="L1366" s="3"/>
      <c r="M1366" s="4"/>
      <c r="N1366" s="4"/>
      <c r="O1366" s="4" t="s">
        <v>159</v>
      </c>
      <c r="P1366" s="3" t="s">
        <v>52</v>
      </c>
      <c r="Q1366" s="11">
        <v>11</v>
      </c>
      <c r="R1366" s="3" t="s">
        <v>31</v>
      </c>
      <c r="S1366" s="5" t="s">
        <v>56</v>
      </c>
      <c r="T1366" s="4" t="str">
        <f>IF(OR(Tabela1[[#This Row],[Grau de Risco]]="Médio",Tabela1[[#This Row],[Grau de Risco]]="Baixo"),"Não","Sim")</f>
        <v>Não</v>
      </c>
    </row>
    <row r="1367" spans="1:20">
      <c r="A1367" s="4" t="s">
        <v>7</v>
      </c>
      <c r="B1367" s="10" t="s">
        <v>1809</v>
      </c>
      <c r="C1367" s="4" t="s">
        <v>26</v>
      </c>
      <c r="D1367" s="58" t="s">
        <v>1409</v>
      </c>
      <c r="E1367" s="3">
        <v>23</v>
      </c>
      <c r="F1367" s="3">
        <v>11</v>
      </c>
      <c r="G1367" s="3">
        <v>2023</v>
      </c>
      <c r="H1367" s="5" t="s">
        <v>71</v>
      </c>
      <c r="I1367" s="7" t="s">
        <v>1825</v>
      </c>
      <c r="J1367" s="4" t="s">
        <v>229</v>
      </c>
      <c r="K1367" s="3" t="s">
        <v>62</v>
      </c>
      <c r="L1367" s="3">
        <v>0</v>
      </c>
      <c r="M1367" s="4" t="s">
        <v>30</v>
      </c>
      <c r="N1367" s="4">
        <v>0</v>
      </c>
      <c r="O1367" s="4" t="s">
        <v>77</v>
      </c>
      <c r="P1367" s="3" t="s">
        <v>52</v>
      </c>
      <c r="Q1367" s="11">
        <v>16</v>
      </c>
      <c r="R1367" s="3" t="str">
        <f>IF(Q1367="","",IF(Q1367&lt;4,"Crítico",IF(Q1367&lt;9,"Alto",IF(Q1367&lt;14,"Médio","Baixo"))))</f>
        <v>Baixo</v>
      </c>
      <c r="S1367" s="10" t="s">
        <v>63</v>
      </c>
      <c r="T1367" s="4" t="str">
        <f>IF(OR(Tabela1[[#This Row],[Grau de Risco]]="Médio",Tabela1[[#This Row],[Grau de Risco]]="Baixo"),"Não","Sim")</f>
        <v>Não</v>
      </c>
    </row>
    <row r="1368" spans="1:20" hidden="1">
      <c r="A1368" s="4" t="s">
        <v>7</v>
      </c>
      <c r="B1368" s="10" t="s">
        <v>1793</v>
      </c>
      <c r="C1368" s="4" t="s">
        <v>252</v>
      </c>
      <c r="D1368" s="38" t="s">
        <v>1320</v>
      </c>
      <c r="E1368" s="3">
        <v>11</v>
      </c>
      <c r="F1368" s="3">
        <v>11</v>
      </c>
      <c r="G1368" s="3">
        <v>2024</v>
      </c>
      <c r="H1368" s="5" t="s">
        <v>71</v>
      </c>
      <c r="I1368" s="7" t="s">
        <v>1736</v>
      </c>
      <c r="J1368" s="4" t="s">
        <v>76</v>
      </c>
      <c r="K1368" s="3" t="s">
        <v>44</v>
      </c>
      <c r="L1368" s="3" t="s">
        <v>44</v>
      </c>
      <c r="M1368" s="4"/>
      <c r="N1368" s="4" t="s">
        <v>44</v>
      </c>
      <c r="O1368" s="4"/>
      <c r="P1368" s="3"/>
      <c r="Q1368" s="11">
        <v>15</v>
      </c>
      <c r="R1368" s="3" t="s">
        <v>52</v>
      </c>
      <c r="S1368" s="5" t="s">
        <v>56</v>
      </c>
      <c r="T1368" s="4" t="str">
        <f>IF(OR(Tabela1[[#This Row],[Grau de Risco]]="Médio",Tabela1[[#This Row],[Grau de Risco]]="Baixo"),"Não","Sim")</f>
        <v>Não</v>
      </c>
    </row>
    <row r="1369" spans="1:20">
      <c r="A1369" s="4" t="s">
        <v>8</v>
      </c>
      <c r="B1369" s="10" t="s">
        <v>1809</v>
      </c>
      <c r="C1369" s="4" t="s">
        <v>26</v>
      </c>
      <c r="D1369" s="58" t="s">
        <v>1409</v>
      </c>
      <c r="E1369" s="3">
        <v>25</v>
      </c>
      <c r="F1369" s="3">
        <v>4</v>
      </c>
      <c r="G1369" s="3">
        <v>2024</v>
      </c>
      <c r="H1369" s="4" t="s">
        <v>27</v>
      </c>
      <c r="I1369" s="7" t="s">
        <v>812</v>
      </c>
      <c r="J1369" s="4" t="s">
        <v>38</v>
      </c>
      <c r="K1369" s="3">
        <v>0</v>
      </c>
      <c r="L1369" s="3" t="s">
        <v>30</v>
      </c>
      <c r="M1369" s="4" t="s">
        <v>30</v>
      </c>
      <c r="N1369" s="4" t="s">
        <v>44</v>
      </c>
      <c r="O1369" s="4" t="s">
        <v>55</v>
      </c>
      <c r="P1369" s="3" t="s">
        <v>52</v>
      </c>
      <c r="Q1369" s="11">
        <v>11</v>
      </c>
      <c r="R1369" s="3" t="s">
        <v>31</v>
      </c>
      <c r="S1369" s="5" t="s">
        <v>56</v>
      </c>
      <c r="T1369" s="4" t="str">
        <f>IF(OR(Tabela1[[#This Row],[Grau de Risco]]="Médio",Tabela1[[#This Row],[Grau de Risco]]="Baixo"),"Não","Sim")</f>
        <v>Não</v>
      </c>
    </row>
    <row r="1370" spans="1:20" hidden="1">
      <c r="A1370" s="4" t="s">
        <v>7</v>
      </c>
      <c r="B1370" s="10" t="s">
        <v>1797</v>
      </c>
      <c r="C1370" s="4" t="s">
        <v>252</v>
      </c>
      <c r="D1370" s="38" t="s">
        <v>47</v>
      </c>
      <c r="E1370" s="3">
        <v>12</v>
      </c>
      <c r="F1370" s="3">
        <v>7</v>
      </c>
      <c r="G1370" s="3">
        <v>2024</v>
      </c>
      <c r="H1370" s="36" t="s">
        <v>33</v>
      </c>
      <c r="I1370" s="7" t="s">
        <v>891</v>
      </c>
      <c r="J1370" s="4" t="s">
        <v>69</v>
      </c>
      <c r="K1370" s="3" t="s">
        <v>44</v>
      </c>
      <c r="L1370" s="3" t="s">
        <v>44</v>
      </c>
      <c r="M1370" s="4"/>
      <c r="N1370" s="4" t="s">
        <v>44</v>
      </c>
      <c r="O1370" s="4"/>
      <c r="P1370" s="3" t="s">
        <v>52</v>
      </c>
      <c r="Q1370" s="11">
        <v>14</v>
      </c>
      <c r="R1370" s="3" t="s">
        <v>52</v>
      </c>
      <c r="S1370" s="10" t="s">
        <v>63</v>
      </c>
      <c r="T1370" s="4" t="str">
        <f>IF(OR(Tabela1[[#This Row],[Grau de Risco]]="Médio",Tabela1[[#This Row],[Grau de Risco]]="Baixo"),"Não","Sim")</f>
        <v>Não</v>
      </c>
    </row>
    <row r="1371" spans="1:20" hidden="1">
      <c r="A1371" s="4" t="s">
        <v>8</v>
      </c>
      <c r="B1371" s="10" t="s">
        <v>1800</v>
      </c>
      <c r="C1371" s="4" t="s">
        <v>26</v>
      </c>
      <c r="D1371" s="58" t="s">
        <v>1409</v>
      </c>
      <c r="E1371" s="3">
        <v>18</v>
      </c>
      <c r="F1371" s="3">
        <v>1</v>
      </c>
      <c r="G1371" s="3">
        <v>2024</v>
      </c>
      <c r="H1371" s="36" t="s">
        <v>33</v>
      </c>
      <c r="I1371" s="7" t="s">
        <v>982</v>
      </c>
      <c r="J1371" s="4" t="s">
        <v>54</v>
      </c>
      <c r="K1371" s="3">
        <v>0</v>
      </c>
      <c r="L1371" s="3" t="s">
        <v>30</v>
      </c>
      <c r="M1371" s="4" t="s">
        <v>30</v>
      </c>
      <c r="N1371" s="4" t="s">
        <v>44</v>
      </c>
      <c r="O1371" s="4" t="s">
        <v>129</v>
      </c>
      <c r="P1371" s="3" t="s">
        <v>52</v>
      </c>
      <c r="Q1371" s="11">
        <v>11</v>
      </c>
      <c r="R1371" s="3" t="s">
        <v>31</v>
      </c>
      <c r="S1371" s="5" t="s">
        <v>56</v>
      </c>
      <c r="T1371" s="4" t="str">
        <f>IF(OR(Tabela1[[#This Row],[Grau de Risco]]="Médio",Tabela1[[#This Row],[Grau de Risco]]="Baixo"),"Não","Sim")</f>
        <v>Não</v>
      </c>
    </row>
    <row r="1372" spans="1:20" hidden="1">
      <c r="A1372" s="52" t="s">
        <v>8</v>
      </c>
      <c r="B1372" s="53" t="s">
        <v>1800</v>
      </c>
      <c r="C1372" s="4" t="s">
        <v>81</v>
      </c>
      <c r="D1372" s="38" t="s">
        <v>1393</v>
      </c>
      <c r="E1372" s="3">
        <v>30</v>
      </c>
      <c r="F1372" s="3">
        <v>4</v>
      </c>
      <c r="G1372" s="3">
        <v>2024</v>
      </c>
      <c r="H1372" s="5" t="s">
        <v>123</v>
      </c>
      <c r="I1372" s="7" t="s">
        <v>998</v>
      </c>
      <c r="J1372" s="4" t="s">
        <v>54</v>
      </c>
      <c r="K1372" s="3">
        <v>0</v>
      </c>
      <c r="L1372" s="3" t="s">
        <v>80</v>
      </c>
      <c r="M1372" s="4" t="s">
        <v>30</v>
      </c>
      <c r="N1372" s="4" t="s">
        <v>80</v>
      </c>
      <c r="O1372" s="4" t="s">
        <v>4</v>
      </c>
      <c r="P1372" s="3" t="s">
        <v>52</v>
      </c>
      <c r="Q1372" s="11">
        <v>10</v>
      </c>
      <c r="R1372" s="3" t="s">
        <v>31</v>
      </c>
      <c r="S1372" s="10" t="s">
        <v>178</v>
      </c>
      <c r="T1372" s="4" t="str">
        <f>IF(OR(Tabela1[[#This Row],[Grau de Risco]]="Médio",Tabela1[[#This Row],[Grau de Risco]]="Baixo"),"Não","Sim")</f>
        <v>Não</v>
      </c>
    </row>
    <row r="1373" spans="1:20" hidden="1">
      <c r="A1373" s="4" t="s">
        <v>9</v>
      </c>
      <c r="B1373" s="10" t="s">
        <v>1800</v>
      </c>
      <c r="C1373" s="4" t="s">
        <v>41</v>
      </c>
      <c r="D1373" s="38" t="s">
        <v>1393</v>
      </c>
      <c r="E1373" s="3">
        <v>21</v>
      </c>
      <c r="F1373" s="3">
        <v>5</v>
      </c>
      <c r="G1373" s="3">
        <v>2024</v>
      </c>
      <c r="H1373" s="5" t="s">
        <v>209</v>
      </c>
      <c r="I1373" s="7" t="s">
        <v>1027</v>
      </c>
      <c r="J1373" s="4" t="s">
        <v>54</v>
      </c>
      <c r="K1373" s="3">
        <v>10</v>
      </c>
      <c r="L1373" s="3" t="s">
        <v>80</v>
      </c>
      <c r="M1373" s="4" t="s">
        <v>30</v>
      </c>
      <c r="N1373" s="4" t="s">
        <v>80</v>
      </c>
      <c r="O1373" s="4" t="s">
        <v>904</v>
      </c>
      <c r="P1373" s="3" t="s">
        <v>31</v>
      </c>
      <c r="Q1373" s="11">
        <v>10</v>
      </c>
      <c r="R1373" s="3" t="s">
        <v>31</v>
      </c>
      <c r="S1373" s="10" t="s">
        <v>63</v>
      </c>
      <c r="T1373" s="4" t="str">
        <f>IF(OR(Tabela1[[#This Row],[Grau de Risco]]="Médio",Tabela1[[#This Row],[Grau de Risco]]="Baixo"),"Não","Sim")</f>
        <v>Não</v>
      </c>
    </row>
    <row r="1374" spans="1:20">
      <c r="A1374" s="4" t="s">
        <v>7</v>
      </c>
      <c r="B1374" s="10" t="s">
        <v>1809</v>
      </c>
      <c r="C1374" s="4" t="s">
        <v>26</v>
      </c>
      <c r="D1374" s="38" t="s">
        <v>1393</v>
      </c>
      <c r="E1374" s="3">
        <v>28</v>
      </c>
      <c r="F1374" s="3">
        <v>5</v>
      </c>
      <c r="G1374" s="3">
        <v>2024</v>
      </c>
      <c r="H1374" s="4" t="s">
        <v>27</v>
      </c>
      <c r="I1374" s="7" t="s">
        <v>1058</v>
      </c>
      <c r="J1374" s="4" t="s">
        <v>61</v>
      </c>
      <c r="K1374" s="3" t="s">
        <v>62</v>
      </c>
      <c r="L1374" s="3"/>
      <c r="M1374" s="4"/>
      <c r="N1374" s="4"/>
      <c r="O1374" s="4" t="s">
        <v>4</v>
      </c>
      <c r="P1374" s="3"/>
      <c r="Q1374" s="11">
        <v>15</v>
      </c>
      <c r="R1374" s="3" t="s">
        <v>52</v>
      </c>
      <c r="S1374" s="5" t="s">
        <v>40</v>
      </c>
      <c r="T1374" s="4" t="str">
        <f>IF(OR(Tabela1[[#This Row],[Grau de Risco]]="Médio",Tabela1[[#This Row],[Grau de Risco]]="Baixo"),"Não","Sim")</f>
        <v>Não</v>
      </c>
    </row>
    <row r="1375" spans="1:20">
      <c r="A1375" s="28" t="s">
        <v>7</v>
      </c>
      <c r="B1375" s="10" t="s">
        <v>1809</v>
      </c>
      <c r="C1375" s="28" t="s">
        <v>252</v>
      </c>
      <c r="D1375" s="58" t="s">
        <v>1409</v>
      </c>
      <c r="E1375" s="32">
        <v>9</v>
      </c>
      <c r="F1375" s="32">
        <v>1</v>
      </c>
      <c r="G1375" s="32">
        <v>2025</v>
      </c>
      <c r="H1375" s="5" t="s">
        <v>71</v>
      </c>
      <c r="I1375" s="29" t="s">
        <v>1113</v>
      </c>
      <c r="J1375" s="28" t="s">
        <v>111</v>
      </c>
      <c r="K1375" s="32"/>
      <c r="L1375" s="32"/>
      <c r="M1375" s="28"/>
      <c r="N1375" s="28"/>
      <c r="O1375" s="28" t="s">
        <v>77</v>
      </c>
      <c r="P1375" s="32"/>
      <c r="Q1375" s="35">
        <v>10</v>
      </c>
      <c r="R1375" s="32" t="s">
        <v>31</v>
      </c>
      <c r="S1375" s="33" t="s">
        <v>63</v>
      </c>
      <c r="T1375" s="4" t="str">
        <f>IF(OR(Tabela1[[#This Row],[Grau de Risco]]="Médio",Tabela1[[#This Row],[Grau de Risco]]="Baixo"),"Não","Sim")</f>
        <v>Não</v>
      </c>
    </row>
    <row r="1376" spans="1:20" hidden="1">
      <c r="A1376" s="28" t="s">
        <v>7</v>
      </c>
      <c r="B1376" s="56" t="s">
        <v>1793</v>
      </c>
      <c r="C1376" s="28" t="s">
        <v>26</v>
      </c>
      <c r="D1376" s="28" t="s">
        <v>1382</v>
      </c>
      <c r="E1376" s="32">
        <v>3</v>
      </c>
      <c r="F1376" s="32">
        <v>9</v>
      </c>
      <c r="G1376" s="32">
        <v>2025</v>
      </c>
      <c r="H1376" s="34" t="s">
        <v>66</v>
      </c>
      <c r="I1376" s="29" t="s">
        <v>1428</v>
      </c>
      <c r="J1376" s="28" t="s">
        <v>111</v>
      </c>
      <c r="K1376" s="32"/>
      <c r="L1376" s="32"/>
      <c r="M1376" s="28"/>
      <c r="N1376" s="28"/>
      <c r="O1376" s="28" t="s">
        <v>55</v>
      </c>
      <c r="P1376" s="32"/>
      <c r="Q1376" s="35">
        <v>15</v>
      </c>
      <c r="R1376" s="32" t="s">
        <v>52</v>
      </c>
      <c r="S1376" s="10" t="s">
        <v>56</v>
      </c>
      <c r="T1376" s="4" t="str">
        <f>IF(OR(Tabela1[[#This Row],[Grau de Risco]]="Médio",Tabela1[[#This Row],[Grau de Risco]]="Baixo"),"Não","Sim")</f>
        <v>Não</v>
      </c>
    </row>
    <row r="1377" spans="1:20">
      <c r="A1377" s="28" t="s">
        <v>10</v>
      </c>
      <c r="B1377" s="10" t="s">
        <v>1809</v>
      </c>
      <c r="C1377" s="32" t="s">
        <v>26</v>
      </c>
      <c r="D1377" s="32" t="s">
        <v>148</v>
      </c>
      <c r="E1377" s="32">
        <v>2</v>
      </c>
      <c r="F1377" s="32">
        <v>11</v>
      </c>
      <c r="G1377" s="32">
        <v>2025</v>
      </c>
      <c r="H1377" s="32" t="s">
        <v>86</v>
      </c>
      <c r="I1377" s="73" t="s">
        <v>1547</v>
      </c>
      <c r="J1377" s="32" t="s">
        <v>79</v>
      </c>
      <c r="K1377" s="32"/>
      <c r="L1377" s="32"/>
      <c r="M1377" s="32"/>
      <c r="N1377" s="32"/>
      <c r="O1377" s="32"/>
      <c r="P1377" s="32" t="s">
        <v>52</v>
      </c>
      <c r="Q1377" s="32">
        <v>11</v>
      </c>
      <c r="R1377" s="32" t="s">
        <v>31</v>
      </c>
      <c r="S1377" s="28" t="s">
        <v>63</v>
      </c>
      <c r="T1377" s="4" t="str">
        <f>IF(OR(Tabela1[[#This Row],[Grau de Risco]]="Médio",Tabela1[[#This Row],[Grau de Risco]]="Baixo"),"Não","Sim")</f>
        <v>Não</v>
      </c>
    </row>
    <row r="1378" spans="1:20" hidden="1">
      <c r="A1378" s="4" t="s">
        <v>2</v>
      </c>
      <c r="B1378" s="10" t="s">
        <v>1793</v>
      </c>
      <c r="C1378" s="4" t="s">
        <v>26</v>
      </c>
      <c r="D1378" s="38" t="s">
        <v>1393</v>
      </c>
      <c r="E1378" s="3">
        <v>15</v>
      </c>
      <c r="F1378" s="3">
        <v>3</v>
      </c>
      <c r="G1378" s="3">
        <v>2022</v>
      </c>
      <c r="H1378" s="36" t="s">
        <v>107</v>
      </c>
      <c r="I1378" s="7" t="s">
        <v>249</v>
      </c>
      <c r="J1378" s="4" t="s">
        <v>93</v>
      </c>
      <c r="K1378" s="3">
        <v>2</v>
      </c>
      <c r="L1378" s="3">
        <v>0</v>
      </c>
      <c r="M1378" s="4" t="s">
        <v>30</v>
      </c>
      <c r="N1378" s="4">
        <v>0</v>
      </c>
      <c r="O1378" s="4" t="s">
        <v>248</v>
      </c>
      <c r="P1378" s="3" t="s">
        <v>31</v>
      </c>
      <c r="Q1378" s="11">
        <v>6</v>
      </c>
      <c r="R1378" s="3" t="s">
        <v>102</v>
      </c>
      <c r="S1378" s="10" t="s">
        <v>180</v>
      </c>
      <c r="T1378" s="4" t="str">
        <f>IF(OR(Tabela1[[#This Row],[Grau de Risco]]="Médio",Tabela1[[#This Row],[Grau de Risco]]="Baixo"),"Não","Sim")</f>
        <v>Sim</v>
      </c>
    </row>
    <row r="1379" spans="1:20" hidden="1">
      <c r="A1379" s="5" t="s">
        <v>2</v>
      </c>
      <c r="B1379" s="4" t="s">
        <v>1805</v>
      </c>
      <c r="C1379" s="5" t="s">
        <v>26</v>
      </c>
      <c r="D1379" s="38" t="s">
        <v>1382</v>
      </c>
      <c r="E1379" s="3">
        <v>11</v>
      </c>
      <c r="F1379" s="2">
        <v>5</v>
      </c>
      <c r="G1379" s="3">
        <v>2022</v>
      </c>
      <c r="H1379" s="4" t="s">
        <v>27</v>
      </c>
      <c r="I1379" s="7" t="s">
        <v>289</v>
      </c>
      <c r="J1379" s="4" t="s">
        <v>69</v>
      </c>
      <c r="K1379" s="3">
        <v>1</v>
      </c>
      <c r="L1379" s="3">
        <v>0</v>
      </c>
      <c r="M1379" s="5" t="s">
        <v>30</v>
      </c>
      <c r="N1379" s="4">
        <v>1</v>
      </c>
      <c r="O1379" s="4" t="s">
        <v>55</v>
      </c>
      <c r="P1379" s="3" t="s">
        <v>52</v>
      </c>
      <c r="Q1379" s="3">
        <v>17</v>
      </c>
      <c r="R1379" s="2" t="s">
        <v>31</v>
      </c>
      <c r="S1379" s="10" t="s">
        <v>32</v>
      </c>
      <c r="T1379" s="4" t="str">
        <f>IF(OR(Tabela1[[#This Row],[Grau de Risco]]="Médio",Tabela1[[#This Row],[Grau de Risco]]="Baixo"),"Não","Sim")</f>
        <v>Não</v>
      </c>
    </row>
    <row r="1380" spans="1:20" hidden="1">
      <c r="A1380" s="4" t="s">
        <v>9</v>
      </c>
      <c r="B1380" s="4" t="s">
        <v>1793</v>
      </c>
      <c r="C1380" s="5" t="s">
        <v>125</v>
      </c>
      <c r="D1380" s="38" t="s">
        <v>1320</v>
      </c>
      <c r="E1380" s="3">
        <v>13</v>
      </c>
      <c r="F1380" s="2">
        <v>6</v>
      </c>
      <c r="G1380" s="3">
        <v>2022</v>
      </c>
      <c r="H1380" s="4" t="s">
        <v>127</v>
      </c>
      <c r="I1380" s="7" t="s">
        <v>359</v>
      </c>
      <c r="J1380" s="4" t="s">
        <v>35</v>
      </c>
      <c r="K1380" s="3">
        <v>14</v>
      </c>
      <c r="L1380" s="3">
        <v>0</v>
      </c>
      <c r="M1380" s="5" t="s">
        <v>30</v>
      </c>
      <c r="N1380" s="4">
        <v>14</v>
      </c>
      <c r="O1380" s="4" t="s">
        <v>129</v>
      </c>
      <c r="P1380" s="3" t="s">
        <v>52</v>
      </c>
      <c r="Q1380" s="3">
        <v>17</v>
      </c>
      <c r="R1380" s="2" t="s">
        <v>31</v>
      </c>
      <c r="S1380" s="10" t="s">
        <v>32</v>
      </c>
      <c r="T1380" s="4" t="str">
        <f>IF(OR(Tabela1[[#This Row],[Grau de Risco]]="Médio",Tabela1[[#This Row],[Grau de Risco]]="Baixo"),"Não","Sim")</f>
        <v>Não</v>
      </c>
    </row>
    <row r="1381" spans="1:20">
      <c r="A1381" s="4" t="s">
        <v>7</v>
      </c>
      <c r="B1381" s="10" t="s">
        <v>1809</v>
      </c>
      <c r="C1381" s="4" t="s">
        <v>133</v>
      </c>
      <c r="D1381" s="58" t="s">
        <v>1409</v>
      </c>
      <c r="E1381" s="3">
        <v>20</v>
      </c>
      <c r="F1381" s="3">
        <v>1</v>
      </c>
      <c r="G1381" s="3">
        <v>2022</v>
      </c>
      <c r="H1381" s="36" t="s">
        <v>33</v>
      </c>
      <c r="I1381" s="7" t="s">
        <v>384</v>
      </c>
      <c r="J1381" s="4" t="s">
        <v>115</v>
      </c>
      <c r="K1381" s="3" t="s">
        <v>62</v>
      </c>
      <c r="L1381" s="3" t="s">
        <v>44</v>
      </c>
      <c r="M1381" s="4" t="s">
        <v>30</v>
      </c>
      <c r="N1381" s="4"/>
      <c r="O1381" s="4" t="s">
        <v>4</v>
      </c>
      <c r="P1381" s="3" t="s">
        <v>52</v>
      </c>
      <c r="Q1381" s="11">
        <v>25</v>
      </c>
      <c r="R1381" s="3" t="str">
        <f>IF(Q1381="","",IF(Q1381&lt;4,"Crítico",IF(Q1381&lt;9,"Alto",IF(Q1381&lt;14,"Médio","Baixo"))))</f>
        <v>Baixo</v>
      </c>
      <c r="S1381" s="10" t="s">
        <v>141</v>
      </c>
      <c r="T1381" s="4" t="str">
        <f>IF(OR(Tabela1[[#This Row],[Grau de Risco]]="Médio",Tabela1[[#This Row],[Grau de Risco]]="Baixo"),"Não","Sim")</f>
        <v>Não</v>
      </c>
    </row>
    <row r="1382" spans="1:20" hidden="1">
      <c r="A1382" s="4" t="s">
        <v>8</v>
      </c>
      <c r="B1382" s="10" t="s">
        <v>1803</v>
      </c>
      <c r="C1382" s="5" t="s">
        <v>26</v>
      </c>
      <c r="D1382" s="5" t="s">
        <v>36</v>
      </c>
      <c r="E1382" s="3">
        <v>2</v>
      </c>
      <c r="F1382" s="3">
        <v>9</v>
      </c>
      <c r="G1382" s="3">
        <v>2023</v>
      </c>
      <c r="H1382" s="5" t="s">
        <v>71</v>
      </c>
      <c r="I1382" s="7" t="s">
        <v>412</v>
      </c>
      <c r="J1382" s="4" t="s">
        <v>29</v>
      </c>
      <c r="K1382" s="3">
        <v>0</v>
      </c>
      <c r="L1382" s="3">
        <v>0</v>
      </c>
      <c r="M1382" s="4" t="s">
        <v>30</v>
      </c>
      <c r="N1382" s="4" t="s">
        <v>44</v>
      </c>
      <c r="O1382" s="4" t="s">
        <v>413</v>
      </c>
      <c r="P1382" s="3" t="s">
        <v>52</v>
      </c>
      <c r="Q1382" s="11">
        <v>11</v>
      </c>
      <c r="R1382" s="2" t="s">
        <v>31</v>
      </c>
      <c r="S1382" s="5" t="s">
        <v>56</v>
      </c>
      <c r="T1382" s="4" t="str">
        <f>IF(OR(Tabela1[[#This Row],[Grau de Risco]]="Médio",Tabela1[[#This Row],[Grau de Risco]]="Baixo"),"Não","Sim")</f>
        <v>Não</v>
      </c>
    </row>
    <row r="1383" spans="1:20">
      <c r="A1383" s="5" t="s">
        <v>7</v>
      </c>
      <c r="B1383" s="10" t="s">
        <v>1809</v>
      </c>
      <c r="C1383" s="4" t="s">
        <v>26</v>
      </c>
      <c r="D1383" s="38" t="s">
        <v>1382</v>
      </c>
      <c r="E1383" s="3">
        <v>29</v>
      </c>
      <c r="F1383" s="3">
        <v>11</v>
      </c>
      <c r="G1383" s="3">
        <v>2023</v>
      </c>
      <c r="H1383" s="5" t="s">
        <v>48</v>
      </c>
      <c r="I1383" s="7" t="s">
        <v>459</v>
      </c>
      <c r="J1383" s="4" t="s">
        <v>54</v>
      </c>
      <c r="K1383" s="3" t="s">
        <v>44</v>
      </c>
      <c r="L1383" s="3"/>
      <c r="M1383" s="4"/>
      <c r="N1383" s="4"/>
      <c r="O1383" s="4" t="s">
        <v>4</v>
      </c>
      <c r="P1383" s="3"/>
      <c r="Q1383" s="11">
        <v>15</v>
      </c>
      <c r="R1383" s="3" t="s">
        <v>52</v>
      </c>
      <c r="S1383" s="10" t="s">
        <v>63</v>
      </c>
      <c r="T1383" s="4" t="str">
        <f>IF(OR(Tabela1[[#This Row],[Grau de Risco]]="Médio",Tabela1[[#This Row],[Grau de Risco]]="Baixo"),"Não","Sim")</f>
        <v>Não</v>
      </c>
    </row>
    <row r="1384" spans="1:20">
      <c r="A1384" s="4" t="s">
        <v>2</v>
      </c>
      <c r="B1384" s="10" t="s">
        <v>1809</v>
      </c>
      <c r="C1384" s="4"/>
      <c r="D1384" s="38" t="s">
        <v>1393</v>
      </c>
      <c r="E1384" s="3">
        <v>11</v>
      </c>
      <c r="F1384" s="3">
        <v>4</v>
      </c>
      <c r="G1384" s="3">
        <v>2023</v>
      </c>
      <c r="H1384" s="36" t="s">
        <v>107</v>
      </c>
      <c r="I1384" s="7" t="s">
        <v>489</v>
      </c>
      <c r="J1384" s="4" t="s">
        <v>111</v>
      </c>
      <c r="K1384" s="3">
        <v>7</v>
      </c>
      <c r="L1384" s="3">
        <v>0</v>
      </c>
      <c r="M1384" s="4" t="s">
        <v>30</v>
      </c>
      <c r="N1384" s="4"/>
      <c r="O1384" s="4" t="s">
        <v>45</v>
      </c>
      <c r="P1384" s="3" t="s">
        <v>31</v>
      </c>
      <c r="Q1384" s="11">
        <v>11</v>
      </c>
      <c r="R1384" s="3" t="str">
        <f>IF(Q1384="","",IF(Q1384&lt;4,"Crítico",IF(Q1384&lt;9,"Alto",IF(Q1384&lt;14,"Médio","Baixo"))))</f>
        <v>Médio</v>
      </c>
      <c r="S1384" s="10" t="s">
        <v>178</v>
      </c>
      <c r="T1384" s="4" t="str">
        <f>IF(OR(Tabela1[[#This Row],[Grau de Risco]]="Médio",Tabela1[[#This Row],[Grau de Risco]]="Baixo"),"Não","Sim")</f>
        <v>Não</v>
      </c>
    </row>
    <row r="1385" spans="1:20" hidden="1">
      <c r="A1385" s="4" t="s">
        <v>9</v>
      </c>
      <c r="B1385" s="6" t="s">
        <v>1793</v>
      </c>
      <c r="C1385" s="5" t="s">
        <v>26</v>
      </c>
      <c r="D1385" s="38" t="s">
        <v>1382</v>
      </c>
      <c r="E1385" s="3">
        <v>12</v>
      </c>
      <c r="F1385" s="3">
        <v>4</v>
      </c>
      <c r="G1385" s="3">
        <v>2023</v>
      </c>
      <c r="H1385" s="36" t="s">
        <v>112</v>
      </c>
      <c r="I1385" s="4" t="s">
        <v>507</v>
      </c>
      <c r="J1385" s="4" t="s">
        <v>35</v>
      </c>
      <c r="K1385" s="3">
        <v>4</v>
      </c>
      <c r="L1385" s="3">
        <v>0</v>
      </c>
      <c r="M1385" s="5" t="s">
        <v>30</v>
      </c>
      <c r="N1385" s="4">
        <v>4</v>
      </c>
      <c r="O1385" s="4" t="s">
        <v>508</v>
      </c>
      <c r="P1385" s="3" t="s">
        <v>52</v>
      </c>
      <c r="Q1385" s="3">
        <v>10</v>
      </c>
      <c r="R1385" s="2" t="s">
        <v>31</v>
      </c>
      <c r="S1385" s="10" t="s">
        <v>32</v>
      </c>
      <c r="T1385" s="4" t="str">
        <f>IF(OR(Tabela1[[#This Row],[Grau de Risco]]="Médio",Tabela1[[#This Row],[Grau de Risco]]="Baixo"),"Não","Sim")</f>
        <v>Não</v>
      </c>
    </row>
    <row r="1386" spans="1:20" hidden="1">
      <c r="A1386" s="4" t="s">
        <v>10</v>
      </c>
      <c r="B1386" s="10" t="s">
        <v>1793</v>
      </c>
      <c r="C1386" s="5" t="s">
        <v>26</v>
      </c>
      <c r="D1386" s="38" t="s">
        <v>1320</v>
      </c>
      <c r="E1386" s="3">
        <v>14</v>
      </c>
      <c r="F1386" s="3">
        <v>8</v>
      </c>
      <c r="G1386" s="3">
        <v>2023</v>
      </c>
      <c r="H1386" s="36" t="s">
        <v>112</v>
      </c>
      <c r="I1386" s="7" t="s">
        <v>580</v>
      </c>
      <c r="J1386" s="4" t="s">
        <v>35</v>
      </c>
      <c r="K1386" s="3">
        <v>0</v>
      </c>
      <c r="L1386" s="3">
        <v>0</v>
      </c>
      <c r="M1386" s="4" t="s">
        <v>30</v>
      </c>
      <c r="N1386" s="4">
        <v>0</v>
      </c>
      <c r="O1386" s="4" t="s">
        <v>101</v>
      </c>
      <c r="P1386" s="3" t="s">
        <v>52</v>
      </c>
      <c r="Q1386" s="11">
        <v>10</v>
      </c>
      <c r="R1386" s="2" t="s">
        <v>31</v>
      </c>
      <c r="S1386" s="10" t="s">
        <v>32</v>
      </c>
      <c r="T1386" s="4" t="str">
        <f>IF(OR(Tabela1[[#This Row],[Grau de Risco]]="Médio",Tabela1[[#This Row],[Grau de Risco]]="Baixo"),"Não","Sim")</f>
        <v>Não</v>
      </c>
    </row>
    <row r="1387" spans="1:20">
      <c r="A1387" s="4" t="s">
        <v>9</v>
      </c>
      <c r="B1387" s="10" t="s">
        <v>1809</v>
      </c>
      <c r="C1387" s="4" t="s">
        <v>81</v>
      </c>
      <c r="D1387" s="58" t="s">
        <v>1409</v>
      </c>
      <c r="E1387" s="3">
        <v>14</v>
      </c>
      <c r="F1387" s="3">
        <v>9</v>
      </c>
      <c r="G1387" s="3">
        <v>2023</v>
      </c>
      <c r="H1387" s="59" t="s">
        <v>516</v>
      </c>
      <c r="I1387" s="7" t="s">
        <v>592</v>
      </c>
      <c r="J1387" s="4" t="s">
        <v>111</v>
      </c>
      <c r="K1387" s="3">
        <v>10</v>
      </c>
      <c r="L1387" s="3">
        <v>0</v>
      </c>
      <c r="M1387" s="4" t="s">
        <v>30</v>
      </c>
      <c r="N1387" s="4">
        <v>0</v>
      </c>
      <c r="O1387" s="4" t="s">
        <v>301</v>
      </c>
      <c r="P1387" s="3" t="s">
        <v>102</v>
      </c>
      <c r="Q1387" s="11">
        <v>2</v>
      </c>
      <c r="R1387" s="3" t="str">
        <f>IF(Q1387="","",IF(Q1387&lt;4,"Crítico",IF(Q1387&lt;9,"Alto",IF(Q1387&lt;14,"Médio","Baixo"))))</f>
        <v>Crítico</v>
      </c>
      <c r="S1387" s="10" t="s">
        <v>63</v>
      </c>
      <c r="T1387" s="4" t="str">
        <f>IF(OR(Tabela1[[#This Row],[Grau de Risco]]="Médio",Tabela1[[#This Row],[Grau de Risco]]="Baixo"),"Não","Sim")</f>
        <v>Sim</v>
      </c>
    </row>
    <row r="1388" spans="1:20">
      <c r="A1388" s="4" t="s">
        <v>10</v>
      </c>
      <c r="B1388" s="10" t="s">
        <v>1809</v>
      </c>
      <c r="C1388" s="5" t="s">
        <v>26</v>
      </c>
      <c r="D1388" s="38" t="s">
        <v>47</v>
      </c>
      <c r="E1388" s="3">
        <v>1</v>
      </c>
      <c r="F1388" s="3">
        <v>12</v>
      </c>
      <c r="G1388" s="3">
        <v>2023</v>
      </c>
      <c r="H1388" s="5" t="s">
        <v>71</v>
      </c>
      <c r="I1388" s="7" t="s">
        <v>1737</v>
      </c>
      <c r="J1388" s="4" t="s">
        <v>35</v>
      </c>
      <c r="K1388" s="3">
        <v>0</v>
      </c>
      <c r="L1388" s="3"/>
      <c r="M1388" s="4"/>
      <c r="N1388" s="4"/>
      <c r="O1388" s="4"/>
      <c r="P1388" s="3" t="s">
        <v>52</v>
      </c>
      <c r="Q1388" s="3">
        <v>14</v>
      </c>
      <c r="R1388" s="3" t="s">
        <v>52</v>
      </c>
      <c r="S1388" s="10" t="s">
        <v>63</v>
      </c>
      <c r="T1388" s="4" t="str">
        <f>IF(OR(Tabela1[[#This Row],[Grau de Risco]]="Médio",Tabela1[[#This Row],[Grau de Risco]]="Baixo"),"Não","Sim")</f>
        <v>Não</v>
      </c>
    </row>
    <row r="1389" spans="1:20" hidden="1">
      <c r="A1389" s="4" t="s">
        <v>10</v>
      </c>
      <c r="B1389" s="10" t="s">
        <v>1793</v>
      </c>
      <c r="C1389" s="4" t="s">
        <v>41</v>
      </c>
      <c r="D1389" s="38" t="s">
        <v>1382</v>
      </c>
      <c r="E1389" s="3">
        <v>27</v>
      </c>
      <c r="F1389" s="3">
        <v>12</v>
      </c>
      <c r="G1389" s="3">
        <v>2023</v>
      </c>
      <c r="H1389" s="36" t="s">
        <v>112</v>
      </c>
      <c r="I1389" s="7" t="s">
        <v>657</v>
      </c>
      <c r="J1389" s="4" t="s">
        <v>290</v>
      </c>
      <c r="K1389" s="3" t="s">
        <v>62</v>
      </c>
      <c r="L1389" s="3">
        <v>0</v>
      </c>
      <c r="M1389" s="4" t="s">
        <v>30</v>
      </c>
      <c r="N1389" s="4">
        <v>0</v>
      </c>
      <c r="O1389" s="4" t="s">
        <v>508</v>
      </c>
      <c r="P1389" s="3" t="s">
        <v>52</v>
      </c>
      <c r="Q1389" s="11">
        <v>13</v>
      </c>
      <c r="R1389" s="3" t="s">
        <v>31</v>
      </c>
      <c r="S1389" s="10" t="s">
        <v>63</v>
      </c>
      <c r="T1389" s="4" t="str">
        <f>IF(OR(Tabela1[[#This Row],[Grau de Risco]]="Médio",Tabela1[[#This Row],[Grau de Risco]]="Baixo"),"Não","Sim")</f>
        <v>Não</v>
      </c>
    </row>
    <row r="1390" spans="1:20" hidden="1">
      <c r="A1390" s="5" t="s">
        <v>7</v>
      </c>
      <c r="B1390" s="33" t="s">
        <v>1797</v>
      </c>
      <c r="C1390" s="28" t="s">
        <v>46</v>
      </c>
      <c r="D1390" s="58" t="s">
        <v>1409</v>
      </c>
      <c r="E1390" s="32">
        <v>14</v>
      </c>
      <c r="F1390" s="32">
        <v>11</v>
      </c>
      <c r="G1390" s="32">
        <v>2024</v>
      </c>
      <c r="H1390" s="5" t="s">
        <v>71</v>
      </c>
      <c r="I1390" s="29" t="s">
        <v>1738</v>
      </c>
      <c r="J1390" s="28" t="s">
        <v>54</v>
      </c>
      <c r="K1390" s="32"/>
      <c r="L1390" s="32"/>
      <c r="M1390" s="28"/>
      <c r="N1390" s="28"/>
      <c r="O1390" s="28"/>
      <c r="P1390" s="32"/>
      <c r="Q1390" s="35">
        <v>10</v>
      </c>
      <c r="R1390" s="3" t="s">
        <v>31</v>
      </c>
      <c r="S1390" s="33" t="s">
        <v>63</v>
      </c>
      <c r="T1390" s="4" t="str">
        <f>IF(OR(Tabela1[[#This Row],[Grau de Risco]]="Médio",Tabela1[[#This Row],[Grau de Risco]]="Baixo"),"Não","Sim")</f>
        <v>Não</v>
      </c>
    </row>
    <row r="1391" spans="1:20">
      <c r="A1391" s="5" t="s">
        <v>7</v>
      </c>
      <c r="B1391" s="10" t="s">
        <v>1809</v>
      </c>
      <c r="C1391" s="4" t="s">
        <v>26</v>
      </c>
      <c r="D1391" s="38" t="s">
        <v>1393</v>
      </c>
      <c r="E1391" s="3">
        <v>12</v>
      </c>
      <c r="F1391" s="3">
        <v>3</v>
      </c>
      <c r="G1391" s="3">
        <v>2024</v>
      </c>
      <c r="H1391" s="4" t="s">
        <v>27</v>
      </c>
      <c r="I1391" s="7" t="s">
        <v>1835</v>
      </c>
      <c r="J1391" s="4" t="s">
        <v>38</v>
      </c>
      <c r="K1391" s="3" t="s">
        <v>44</v>
      </c>
      <c r="L1391" s="3" t="s">
        <v>30</v>
      </c>
      <c r="M1391" s="4" t="s">
        <v>30</v>
      </c>
      <c r="N1391" s="4"/>
      <c r="O1391" s="4"/>
      <c r="P1391" s="3" t="s">
        <v>31</v>
      </c>
      <c r="Q1391" s="11">
        <v>11</v>
      </c>
      <c r="R1391" s="3" t="s">
        <v>31</v>
      </c>
      <c r="S1391" s="10" t="s">
        <v>32</v>
      </c>
      <c r="T1391" s="4" t="str">
        <f>IF(OR(Tabela1[[#This Row],[Grau de Risco]]="Médio",Tabela1[[#This Row],[Grau de Risco]]="Baixo"),"Não","Sim")</f>
        <v>Não</v>
      </c>
    </row>
    <row r="1392" spans="1:20" hidden="1">
      <c r="A1392" s="28" t="s">
        <v>8</v>
      </c>
      <c r="B1392" s="33" t="s">
        <v>1797</v>
      </c>
      <c r="C1392" s="28" t="s">
        <v>252</v>
      </c>
      <c r="D1392" s="38" t="s">
        <v>47</v>
      </c>
      <c r="E1392" s="32">
        <v>27</v>
      </c>
      <c r="F1392" s="32">
        <v>9</v>
      </c>
      <c r="G1392" s="32">
        <v>2024</v>
      </c>
      <c r="H1392" s="36" t="s">
        <v>33</v>
      </c>
      <c r="I1392" s="29" t="s">
        <v>887</v>
      </c>
      <c r="J1392" s="28" t="s">
        <v>84</v>
      </c>
      <c r="K1392" s="32">
        <v>0</v>
      </c>
      <c r="L1392" s="32" t="s">
        <v>30</v>
      </c>
      <c r="M1392" s="28" t="s">
        <v>30</v>
      </c>
      <c r="N1392" s="28" t="s">
        <v>44</v>
      </c>
      <c r="O1392" s="28"/>
      <c r="P1392" s="32" t="s">
        <v>31</v>
      </c>
      <c r="Q1392" s="35">
        <v>10</v>
      </c>
      <c r="R1392" s="3" t="str">
        <f>IF(Q1392="","",IF(Q1392&lt;4,"Alto",IF(Q1392&lt;9,"Alto",IF(Q1392&lt;14,"Médio","Baixo"))))</f>
        <v>Médio</v>
      </c>
      <c r="S1392" s="10" t="s">
        <v>32</v>
      </c>
      <c r="T1392" s="4" t="str">
        <f>IF(OR(Tabela1[[#This Row],[Grau de Risco]]="Médio",Tabela1[[#This Row],[Grau de Risco]]="Baixo"),"Não","Sim")</f>
        <v>Não</v>
      </c>
    </row>
    <row r="1393" spans="1:20" hidden="1">
      <c r="A1393" s="4" t="s">
        <v>9</v>
      </c>
      <c r="B1393" s="10" t="s">
        <v>1793</v>
      </c>
      <c r="C1393" s="4" t="s">
        <v>26</v>
      </c>
      <c r="D1393" s="38" t="s">
        <v>1382</v>
      </c>
      <c r="E1393" s="3">
        <v>4</v>
      </c>
      <c r="F1393" s="3">
        <v>12</v>
      </c>
      <c r="G1393" s="3">
        <v>2024</v>
      </c>
      <c r="H1393" s="5" t="s">
        <v>123</v>
      </c>
      <c r="I1393" s="7" t="s">
        <v>955</v>
      </c>
      <c r="J1393" s="4" t="s">
        <v>35</v>
      </c>
      <c r="K1393" s="3">
        <v>15</v>
      </c>
      <c r="L1393" s="3">
        <v>0</v>
      </c>
      <c r="M1393" s="4" t="s">
        <v>30</v>
      </c>
      <c r="N1393" s="4"/>
      <c r="O1393" s="4" t="s">
        <v>55</v>
      </c>
      <c r="P1393" s="3" t="s">
        <v>52</v>
      </c>
      <c r="Q1393" s="11">
        <v>14</v>
      </c>
      <c r="R1393" s="3" t="s">
        <v>52</v>
      </c>
      <c r="S1393" s="5" t="s">
        <v>56</v>
      </c>
      <c r="T1393" s="4" t="str">
        <f>IF(OR(Tabela1[[#This Row],[Grau de Risco]]="Médio",Tabela1[[#This Row],[Grau de Risco]]="Baixo"),"Não","Sim")</f>
        <v>Não</v>
      </c>
    </row>
    <row r="1394" spans="1:20" hidden="1">
      <c r="A1394" s="28" t="s">
        <v>7</v>
      </c>
      <c r="B1394" s="56" t="s">
        <v>1797</v>
      </c>
      <c r="C1394" s="28" t="s">
        <v>252</v>
      </c>
      <c r="D1394" s="58" t="s">
        <v>1409</v>
      </c>
      <c r="E1394" s="32">
        <v>6</v>
      </c>
      <c r="F1394" s="32">
        <v>2</v>
      </c>
      <c r="G1394" s="32">
        <v>2025</v>
      </c>
      <c r="H1394" s="5" t="s">
        <v>48</v>
      </c>
      <c r="I1394" s="29" t="s">
        <v>1148</v>
      </c>
      <c r="J1394" s="28" t="s">
        <v>111</v>
      </c>
      <c r="K1394" s="32"/>
      <c r="L1394" s="32"/>
      <c r="M1394" s="28"/>
      <c r="N1394" s="28"/>
      <c r="O1394" s="28" t="s">
        <v>4</v>
      </c>
      <c r="P1394" s="32"/>
      <c r="Q1394" s="11">
        <v>15</v>
      </c>
      <c r="R1394" s="3" t="s">
        <v>52</v>
      </c>
      <c r="S1394" s="10" t="s">
        <v>56</v>
      </c>
      <c r="T1394" s="4" t="str">
        <f>IF(OR(Tabela1[[#This Row],[Grau de Risco]]="Médio",Tabela1[[#This Row],[Grau de Risco]]="Baixo"),"Não","Sim")</f>
        <v>Não</v>
      </c>
    </row>
    <row r="1395" spans="1:20" hidden="1">
      <c r="A1395" s="28" t="s">
        <v>7</v>
      </c>
      <c r="B1395" s="33" t="s">
        <v>1800</v>
      </c>
      <c r="C1395" s="28" t="s">
        <v>252</v>
      </c>
      <c r="D1395" s="38" t="s">
        <v>1320</v>
      </c>
      <c r="E1395" s="32">
        <v>7</v>
      </c>
      <c r="F1395" s="32">
        <v>7</v>
      </c>
      <c r="G1395" s="32">
        <v>2025</v>
      </c>
      <c r="H1395" s="38" t="s">
        <v>1132</v>
      </c>
      <c r="I1395" s="29" t="s">
        <v>1342</v>
      </c>
      <c r="J1395" s="28" t="s">
        <v>84</v>
      </c>
      <c r="K1395" s="32" t="s">
        <v>80</v>
      </c>
      <c r="L1395" s="32" t="s">
        <v>80</v>
      </c>
      <c r="M1395" s="28" t="s">
        <v>30</v>
      </c>
      <c r="N1395" s="28" t="s">
        <v>80</v>
      </c>
      <c r="O1395" s="28" t="s">
        <v>4</v>
      </c>
      <c r="P1395" s="32" t="s">
        <v>52</v>
      </c>
      <c r="Q1395" s="35">
        <v>14</v>
      </c>
      <c r="R1395" s="32" t="s">
        <v>52</v>
      </c>
      <c r="S1395" s="33" t="s">
        <v>4</v>
      </c>
      <c r="T1395" s="4" t="str">
        <f>IF(OR(Tabela1[[#This Row],[Grau de Risco]]="Médio",Tabela1[[#This Row],[Grau de Risco]]="Baixo"),"Não","Sim")</f>
        <v>Não</v>
      </c>
    </row>
    <row r="1396" spans="1:20" hidden="1">
      <c r="A1396" s="28" t="s">
        <v>7</v>
      </c>
      <c r="B1396" s="33" t="s">
        <v>1800</v>
      </c>
      <c r="C1396" s="28" t="s">
        <v>81</v>
      </c>
      <c r="D1396" s="38" t="s">
        <v>1382</v>
      </c>
      <c r="E1396" s="32">
        <v>20</v>
      </c>
      <c r="F1396" s="32">
        <v>8</v>
      </c>
      <c r="G1396" s="32">
        <v>2025</v>
      </c>
      <c r="H1396" s="38" t="s">
        <v>112</v>
      </c>
      <c r="I1396" s="7" t="s">
        <v>1401</v>
      </c>
      <c r="J1396" s="28" t="s">
        <v>229</v>
      </c>
      <c r="K1396" s="32" t="s">
        <v>80</v>
      </c>
      <c r="L1396" s="32" t="s">
        <v>80</v>
      </c>
      <c r="M1396" s="28" t="s">
        <v>30</v>
      </c>
      <c r="N1396" s="28" t="s">
        <v>80</v>
      </c>
      <c r="O1396" s="28" t="s">
        <v>386</v>
      </c>
      <c r="P1396" s="32" t="s">
        <v>44</v>
      </c>
      <c r="Q1396" s="35">
        <v>7</v>
      </c>
      <c r="R1396" s="32" t="s">
        <v>102</v>
      </c>
      <c r="S1396" s="33" t="s">
        <v>4</v>
      </c>
      <c r="T1396" s="4" t="str">
        <f>IF(OR(Tabela1[[#This Row],[Grau de Risco]]="Médio",Tabela1[[#This Row],[Grau de Risco]]="Baixo"),"Não","Sim")</f>
        <v>Sim</v>
      </c>
    </row>
    <row r="1397" spans="1:20" hidden="1">
      <c r="A1397" s="28" t="s">
        <v>8</v>
      </c>
      <c r="B1397" s="33" t="s">
        <v>1800</v>
      </c>
      <c r="C1397" s="28" t="s">
        <v>41</v>
      </c>
      <c r="D1397" s="38" t="s">
        <v>47</v>
      </c>
      <c r="E1397" s="32">
        <v>5</v>
      </c>
      <c r="F1397" s="32">
        <v>9</v>
      </c>
      <c r="G1397" s="32">
        <v>2025</v>
      </c>
      <c r="H1397" s="38" t="s">
        <v>27</v>
      </c>
      <c r="I1397" s="7" t="s">
        <v>1454</v>
      </c>
      <c r="J1397" s="28" t="s">
        <v>61</v>
      </c>
      <c r="K1397" s="32" t="s">
        <v>80</v>
      </c>
      <c r="L1397" s="32" t="s">
        <v>80</v>
      </c>
      <c r="M1397" s="28" t="s">
        <v>30</v>
      </c>
      <c r="N1397" s="28" t="s">
        <v>80</v>
      </c>
      <c r="O1397" s="4" t="s">
        <v>129</v>
      </c>
      <c r="P1397" s="32" t="s">
        <v>31</v>
      </c>
      <c r="Q1397" s="35">
        <v>10</v>
      </c>
      <c r="R1397" s="32" t="s">
        <v>31</v>
      </c>
      <c r="S1397" s="33" t="s">
        <v>141</v>
      </c>
      <c r="T1397" s="4" t="str">
        <f>IF(OR(Tabela1[[#This Row],[Grau de Risco]]="Médio",Tabela1[[#This Row],[Grau de Risco]]="Baixo"),"Não","Sim")</f>
        <v>Não</v>
      </c>
    </row>
    <row r="1398" spans="1:20" hidden="1">
      <c r="A1398" s="5" t="s">
        <v>2</v>
      </c>
      <c r="B1398" s="6" t="s">
        <v>1793</v>
      </c>
      <c r="C1398" s="5" t="s">
        <v>26</v>
      </c>
      <c r="D1398" s="58" t="s">
        <v>1409</v>
      </c>
      <c r="E1398" s="1">
        <v>10</v>
      </c>
      <c r="F1398" s="1">
        <v>12</v>
      </c>
      <c r="G1398" s="1">
        <v>2020</v>
      </c>
      <c r="H1398" s="4" t="s">
        <v>27</v>
      </c>
      <c r="I1398" s="103" t="s">
        <v>28</v>
      </c>
      <c r="J1398" s="6" t="s">
        <v>29</v>
      </c>
      <c r="K1398" s="1">
        <v>13</v>
      </c>
      <c r="L1398" s="1">
        <v>0</v>
      </c>
      <c r="M1398" s="5" t="s">
        <v>30</v>
      </c>
      <c r="N1398" s="6">
        <v>13</v>
      </c>
      <c r="O1398" s="6" t="s">
        <v>4</v>
      </c>
      <c r="P1398" s="1" t="s">
        <v>31</v>
      </c>
      <c r="Q1398" s="1">
        <v>13</v>
      </c>
      <c r="R1398" s="2" t="s">
        <v>31</v>
      </c>
      <c r="S1398" s="10" t="s">
        <v>32</v>
      </c>
      <c r="T1398" s="4" t="str">
        <f>IF(OR(Tabela1[[#This Row],[Grau de Risco]]="Médio",Tabela1[[#This Row],[Grau de Risco]]="Baixo"),"Não","Sim")</f>
        <v>Não</v>
      </c>
    </row>
    <row r="1399" spans="1:20">
      <c r="A1399" s="5" t="s">
        <v>2</v>
      </c>
      <c r="B1399" s="10" t="s">
        <v>1809</v>
      </c>
      <c r="C1399" s="5" t="s">
        <v>26</v>
      </c>
      <c r="D1399" s="38" t="s">
        <v>1393</v>
      </c>
      <c r="E1399" s="2">
        <v>2</v>
      </c>
      <c r="F1399" s="2">
        <v>3</v>
      </c>
      <c r="G1399" s="2">
        <v>2021</v>
      </c>
      <c r="H1399" s="36" t="s">
        <v>107</v>
      </c>
      <c r="I1399" s="5" t="s">
        <v>181</v>
      </c>
      <c r="J1399" s="5" t="s">
        <v>38</v>
      </c>
      <c r="K1399" s="2">
        <v>10</v>
      </c>
      <c r="L1399" s="2">
        <v>0</v>
      </c>
      <c r="M1399" s="5" t="s">
        <v>30</v>
      </c>
      <c r="N1399" s="5">
        <v>0</v>
      </c>
      <c r="O1399" s="5" t="s">
        <v>4</v>
      </c>
      <c r="P1399" s="2" t="s">
        <v>31</v>
      </c>
      <c r="Q1399" s="2">
        <v>13</v>
      </c>
      <c r="R1399" s="2" t="s">
        <v>31</v>
      </c>
      <c r="S1399" s="5" t="s">
        <v>56</v>
      </c>
      <c r="T1399" s="4" t="str">
        <f>IF(OR(Tabela1[[#This Row],[Grau de Risco]]="Médio",Tabela1[[#This Row],[Grau de Risco]]="Baixo"),"Não","Sim")</f>
        <v>Não</v>
      </c>
    </row>
    <row r="1400" spans="1:20" hidden="1">
      <c r="A1400" s="5" t="s">
        <v>2</v>
      </c>
      <c r="B1400" s="4" t="s">
        <v>1805</v>
      </c>
      <c r="C1400" s="5" t="s">
        <v>26</v>
      </c>
      <c r="D1400" s="38" t="s">
        <v>1393</v>
      </c>
      <c r="E1400" s="3">
        <v>28</v>
      </c>
      <c r="F1400" s="2">
        <v>9</v>
      </c>
      <c r="G1400" s="3">
        <v>2021</v>
      </c>
      <c r="H1400" s="4" t="s">
        <v>212</v>
      </c>
      <c r="I1400" s="7" t="s">
        <v>213</v>
      </c>
      <c r="J1400" s="4" t="s">
        <v>35</v>
      </c>
      <c r="K1400" s="3">
        <v>2</v>
      </c>
      <c r="L1400" s="3">
        <v>0</v>
      </c>
      <c r="M1400" s="5" t="s">
        <v>30</v>
      </c>
      <c r="N1400" s="4">
        <v>2</v>
      </c>
      <c r="O1400" s="4" t="s">
        <v>74</v>
      </c>
      <c r="P1400" s="3" t="s">
        <v>31</v>
      </c>
      <c r="Q1400" s="3">
        <v>17</v>
      </c>
      <c r="R1400" s="2" t="s">
        <v>31</v>
      </c>
      <c r="S1400" s="10" t="s">
        <v>32</v>
      </c>
      <c r="T1400" s="4" t="str">
        <f>IF(OR(Tabela1[[#This Row],[Grau de Risco]]="Médio",Tabela1[[#This Row],[Grau de Risco]]="Baixo"),"Não","Sim")</f>
        <v>Não</v>
      </c>
    </row>
    <row r="1401" spans="1:20" hidden="1">
      <c r="A1401" s="5" t="s">
        <v>10</v>
      </c>
      <c r="B1401" s="6" t="s">
        <v>1793</v>
      </c>
      <c r="C1401" s="5" t="s">
        <v>26</v>
      </c>
      <c r="D1401" s="38" t="s">
        <v>1320</v>
      </c>
      <c r="E1401" s="2">
        <v>16</v>
      </c>
      <c r="F1401" s="2">
        <v>5</v>
      </c>
      <c r="G1401" s="2">
        <v>2022</v>
      </c>
      <c r="H1401" s="5" t="s">
        <v>48</v>
      </c>
      <c r="I1401" s="5" t="s">
        <v>357</v>
      </c>
      <c r="J1401" s="5" t="s">
        <v>35</v>
      </c>
      <c r="K1401" s="2">
        <v>0</v>
      </c>
      <c r="L1401" s="2">
        <v>0</v>
      </c>
      <c r="M1401" s="5" t="s">
        <v>30</v>
      </c>
      <c r="N1401" s="5">
        <v>0</v>
      </c>
      <c r="O1401" s="5" t="s">
        <v>55</v>
      </c>
      <c r="P1401" s="3" t="s">
        <v>52</v>
      </c>
      <c r="Q1401" s="2">
        <v>13</v>
      </c>
      <c r="R1401" s="2" t="s">
        <v>31</v>
      </c>
      <c r="S1401" s="10" t="s">
        <v>32</v>
      </c>
      <c r="T1401" s="4" t="str">
        <f>IF(OR(Tabela1[[#This Row],[Grau de Risco]]="Médio",Tabela1[[#This Row],[Grau de Risco]]="Baixo"),"Não","Sim")</f>
        <v>Não</v>
      </c>
    </row>
    <row r="1402" spans="1:20">
      <c r="A1402" s="5" t="s">
        <v>2</v>
      </c>
      <c r="B1402" s="10" t="s">
        <v>1809</v>
      </c>
      <c r="C1402" s="5" t="s">
        <v>26</v>
      </c>
      <c r="D1402" s="38" t="s">
        <v>1393</v>
      </c>
      <c r="E1402" s="2">
        <v>22</v>
      </c>
      <c r="F1402" s="2">
        <v>3</v>
      </c>
      <c r="G1402" s="2">
        <v>2022</v>
      </c>
      <c r="H1402" s="34" t="s">
        <v>59</v>
      </c>
      <c r="I1402" s="5" t="s">
        <v>377</v>
      </c>
      <c r="J1402" s="5" t="s">
        <v>38</v>
      </c>
      <c r="K1402" s="2">
        <v>1</v>
      </c>
      <c r="L1402" s="2">
        <v>0</v>
      </c>
      <c r="M1402" s="5" t="s">
        <v>30</v>
      </c>
      <c r="N1402" s="5">
        <v>0</v>
      </c>
      <c r="O1402" s="5" t="s">
        <v>74</v>
      </c>
      <c r="P1402" s="2" t="s">
        <v>31</v>
      </c>
      <c r="Q1402" s="2">
        <v>9</v>
      </c>
      <c r="R1402" s="2" t="s">
        <v>31</v>
      </c>
      <c r="S1402" s="5" t="s">
        <v>56</v>
      </c>
      <c r="T1402" s="4" t="str">
        <f>IF(OR(Tabela1[[#This Row],[Grau de Risco]]="Médio",Tabela1[[#This Row],[Grau de Risco]]="Baixo"),"Não","Sim")</f>
        <v>Não</v>
      </c>
    </row>
    <row r="1403" spans="1:20" hidden="1">
      <c r="A1403" s="4" t="s">
        <v>7</v>
      </c>
      <c r="B1403" s="10" t="s">
        <v>1793</v>
      </c>
      <c r="C1403" s="4" t="s">
        <v>89</v>
      </c>
      <c r="D1403" s="38" t="s">
        <v>1320</v>
      </c>
      <c r="E1403" s="3">
        <v>12</v>
      </c>
      <c r="F1403" s="3">
        <v>12</v>
      </c>
      <c r="G1403" s="3">
        <v>2022</v>
      </c>
      <c r="H1403" s="36" t="s">
        <v>112</v>
      </c>
      <c r="I1403" s="7" t="s">
        <v>382</v>
      </c>
      <c r="J1403" s="4" t="s">
        <v>61</v>
      </c>
      <c r="K1403" s="3" t="s">
        <v>62</v>
      </c>
      <c r="L1403" s="3" t="s">
        <v>44</v>
      </c>
      <c r="M1403" s="4" t="s">
        <v>30</v>
      </c>
      <c r="N1403" s="4"/>
      <c r="O1403" s="4" t="s">
        <v>4</v>
      </c>
      <c r="P1403" s="3" t="s">
        <v>52</v>
      </c>
      <c r="Q1403" s="11">
        <v>24</v>
      </c>
      <c r="R1403" s="3" t="str">
        <f>IF(Q1403="","",IF(Q1403&lt;4,"Crítico",IF(Q1403&lt;9,"Alto",IF(Q1403&lt;14,"Médio","Baixo"))))</f>
        <v>Baixo</v>
      </c>
      <c r="S1403" s="10" t="s">
        <v>63</v>
      </c>
      <c r="T1403" s="4" t="str">
        <f>IF(OR(Tabela1[[#This Row],[Grau de Risco]]="Médio",Tabela1[[#This Row],[Grau de Risco]]="Baixo"),"Não","Sim")</f>
        <v>Não</v>
      </c>
    </row>
    <row r="1404" spans="1:20">
      <c r="A1404" s="4" t="s">
        <v>2</v>
      </c>
      <c r="B1404" s="10" t="s">
        <v>1809</v>
      </c>
      <c r="C1404" s="4"/>
      <c r="D1404" s="38" t="s">
        <v>1320</v>
      </c>
      <c r="E1404" s="3">
        <v>25</v>
      </c>
      <c r="F1404" s="3">
        <v>7</v>
      </c>
      <c r="G1404" s="3">
        <v>2022</v>
      </c>
      <c r="H1404" s="36" t="s">
        <v>82</v>
      </c>
      <c r="I1404" s="7" t="s">
        <v>392</v>
      </c>
      <c r="J1404" s="4" t="s">
        <v>93</v>
      </c>
      <c r="K1404" s="3">
        <v>4</v>
      </c>
      <c r="L1404" s="3">
        <v>0</v>
      </c>
      <c r="M1404" s="4" t="s">
        <v>30</v>
      </c>
      <c r="N1404" s="4">
        <v>0</v>
      </c>
      <c r="O1404" s="4" t="s">
        <v>45</v>
      </c>
      <c r="P1404" s="3" t="s">
        <v>52</v>
      </c>
      <c r="Q1404" s="11">
        <v>10</v>
      </c>
      <c r="R1404" s="3" t="s">
        <v>31</v>
      </c>
      <c r="S1404" s="5" t="s">
        <v>56</v>
      </c>
      <c r="T1404" s="4" t="str">
        <f>IF(OR(Tabela1[[#This Row],[Grau de Risco]]="Médio",Tabela1[[#This Row],[Grau de Risco]]="Baixo"),"Não","Sim")</f>
        <v>Não</v>
      </c>
    </row>
    <row r="1405" spans="1:20">
      <c r="A1405" s="5" t="s">
        <v>7</v>
      </c>
      <c r="B1405" s="10" t="s">
        <v>1809</v>
      </c>
      <c r="C1405" s="5" t="s">
        <v>26</v>
      </c>
      <c r="D1405" s="38" t="s">
        <v>1382</v>
      </c>
      <c r="E1405" s="3">
        <v>8</v>
      </c>
      <c r="F1405" s="3">
        <v>8</v>
      </c>
      <c r="G1405" s="3">
        <v>2023</v>
      </c>
      <c r="H1405" s="36" t="s">
        <v>33</v>
      </c>
      <c r="I1405" s="7" t="s">
        <v>435</v>
      </c>
      <c r="J1405" s="4" t="s">
        <v>84</v>
      </c>
      <c r="K1405" s="3" t="s">
        <v>44</v>
      </c>
      <c r="L1405" s="3">
        <v>0</v>
      </c>
      <c r="M1405" s="4" t="s">
        <v>30</v>
      </c>
      <c r="N1405" s="4">
        <v>0</v>
      </c>
      <c r="O1405" s="4" t="s">
        <v>77</v>
      </c>
      <c r="P1405" s="3"/>
      <c r="Q1405" s="11">
        <v>15</v>
      </c>
      <c r="R1405" s="3" t="s">
        <v>52</v>
      </c>
      <c r="S1405" s="5" t="s">
        <v>56</v>
      </c>
      <c r="T1405" s="4" t="str">
        <f>IF(OR(Tabela1[[#This Row],[Grau de Risco]]="Médio",Tabela1[[#This Row],[Grau de Risco]]="Baixo"),"Não","Sim")</f>
        <v>Não</v>
      </c>
    </row>
    <row r="1406" spans="1:20" hidden="1">
      <c r="A1406" s="4" t="s">
        <v>2</v>
      </c>
      <c r="B1406" s="10" t="s">
        <v>1805</v>
      </c>
      <c r="C1406" s="4" t="s">
        <v>26</v>
      </c>
      <c r="D1406" s="38" t="s">
        <v>47</v>
      </c>
      <c r="E1406" s="3">
        <v>22</v>
      </c>
      <c r="F1406" s="3">
        <v>12</v>
      </c>
      <c r="G1406" s="3">
        <v>2023</v>
      </c>
      <c r="H1406" s="36" t="s">
        <v>33</v>
      </c>
      <c r="I1406" s="7" t="s">
        <v>525</v>
      </c>
      <c r="J1406" s="4" t="s">
        <v>61</v>
      </c>
      <c r="K1406" s="3">
        <v>2</v>
      </c>
      <c r="L1406" s="3">
        <v>0</v>
      </c>
      <c r="M1406" s="4" t="s">
        <v>30</v>
      </c>
      <c r="N1406" s="4">
        <v>0</v>
      </c>
      <c r="O1406" s="4" t="s">
        <v>55</v>
      </c>
      <c r="P1406" s="3" t="s">
        <v>31</v>
      </c>
      <c r="Q1406" s="11">
        <v>11</v>
      </c>
      <c r="R1406" s="3" t="str">
        <f>IF(Q1406="","",IF(Q1406&lt;4,"Crítico",IF(Q1406&lt;9,"Alto",IF(Q1406&lt;14,"Médio","Baixo"))))</f>
        <v>Médio</v>
      </c>
      <c r="S1406" s="10" t="s">
        <v>32</v>
      </c>
      <c r="T1406" s="4" t="str">
        <f>IF(OR(Tabela1[[#This Row],[Grau de Risco]]="Médio",Tabela1[[#This Row],[Grau de Risco]]="Baixo"),"Não","Sim")</f>
        <v>Não</v>
      </c>
    </row>
    <row r="1407" spans="1:20">
      <c r="A1407" s="4" t="s">
        <v>8</v>
      </c>
      <c r="B1407" s="10" t="s">
        <v>1809</v>
      </c>
      <c r="C1407" s="4" t="s">
        <v>26</v>
      </c>
      <c r="D1407" s="38" t="s">
        <v>1393</v>
      </c>
      <c r="E1407" s="3">
        <v>5</v>
      </c>
      <c r="F1407" s="3">
        <v>3</v>
      </c>
      <c r="G1407" s="3">
        <v>2024</v>
      </c>
      <c r="H1407" s="36" t="s">
        <v>107</v>
      </c>
      <c r="I1407" s="7" t="s">
        <v>799</v>
      </c>
      <c r="J1407" s="4" t="s">
        <v>111</v>
      </c>
      <c r="K1407" s="3">
        <v>3</v>
      </c>
      <c r="L1407" s="3">
        <v>0</v>
      </c>
      <c r="M1407" s="4" t="s">
        <v>25</v>
      </c>
      <c r="N1407" s="4">
        <v>0</v>
      </c>
      <c r="O1407" s="4" t="s">
        <v>51</v>
      </c>
      <c r="P1407" s="3" t="s">
        <v>52</v>
      </c>
      <c r="Q1407" s="11">
        <v>11</v>
      </c>
      <c r="R1407" s="3" t="s">
        <v>31</v>
      </c>
      <c r="S1407" s="10" t="s">
        <v>4</v>
      </c>
      <c r="T1407" s="4" t="str">
        <f>IF(OR(Tabela1[[#This Row],[Grau de Risco]]="Médio",Tabela1[[#This Row],[Grau de Risco]]="Baixo"),"Não","Sim")</f>
        <v>Não</v>
      </c>
    </row>
    <row r="1408" spans="1:20" hidden="1">
      <c r="A1408" s="4" t="s">
        <v>7</v>
      </c>
      <c r="B1408" s="10" t="s">
        <v>1805</v>
      </c>
      <c r="C1408" s="4" t="s">
        <v>26</v>
      </c>
      <c r="D1408" s="38" t="s">
        <v>1382</v>
      </c>
      <c r="E1408" s="3">
        <v>18</v>
      </c>
      <c r="F1408" s="3">
        <v>9</v>
      </c>
      <c r="G1408" s="3">
        <v>2024</v>
      </c>
      <c r="H1408" s="36" t="s">
        <v>66</v>
      </c>
      <c r="I1408" s="7" t="s">
        <v>868</v>
      </c>
      <c r="J1408" s="4" t="s">
        <v>61</v>
      </c>
      <c r="K1408" s="3"/>
      <c r="L1408" s="3"/>
      <c r="M1408" s="4"/>
      <c r="N1408" s="4"/>
      <c r="O1408" s="4" t="s">
        <v>4</v>
      </c>
      <c r="P1408" s="3"/>
      <c r="Q1408" s="11">
        <v>15</v>
      </c>
      <c r="R1408" s="3" t="s">
        <v>52</v>
      </c>
      <c r="S1408" s="10" t="s">
        <v>4</v>
      </c>
      <c r="T1408" s="4" t="str">
        <f>IF(OR(Tabela1[[#This Row],[Grau de Risco]]="Médio",Tabela1[[#This Row],[Grau de Risco]]="Baixo"),"Não","Sim")</f>
        <v>Não</v>
      </c>
    </row>
    <row r="1409" spans="1:20" hidden="1">
      <c r="A1409" s="4" t="s">
        <v>2</v>
      </c>
      <c r="B1409" s="10" t="s">
        <v>1797</v>
      </c>
      <c r="C1409" s="4" t="s">
        <v>81</v>
      </c>
      <c r="D1409" s="38" t="s">
        <v>1320</v>
      </c>
      <c r="E1409" s="3">
        <v>14</v>
      </c>
      <c r="F1409" s="3">
        <v>12</v>
      </c>
      <c r="G1409" s="3">
        <v>2024</v>
      </c>
      <c r="H1409" s="5" t="s">
        <v>474</v>
      </c>
      <c r="I1409" s="7" t="s">
        <v>938</v>
      </c>
      <c r="J1409" s="4" t="s">
        <v>111</v>
      </c>
      <c r="K1409" s="3">
        <v>90</v>
      </c>
      <c r="L1409" s="3"/>
      <c r="M1409" s="4"/>
      <c r="N1409" s="4"/>
      <c r="O1409" s="4" t="s">
        <v>4</v>
      </c>
      <c r="P1409" s="3" t="s">
        <v>31</v>
      </c>
      <c r="Q1409" s="11">
        <v>11</v>
      </c>
      <c r="R1409" s="3" t="s">
        <v>31</v>
      </c>
      <c r="S1409" s="5" t="s">
        <v>56</v>
      </c>
      <c r="T1409" s="4" t="str">
        <f>IF(OR(Tabela1[[#This Row],[Grau de Risco]]="Médio",Tabela1[[#This Row],[Grau de Risco]]="Baixo"),"Não","Sim")</f>
        <v>Não</v>
      </c>
    </row>
    <row r="1410" spans="1:20" hidden="1">
      <c r="A1410" s="5" t="s">
        <v>7</v>
      </c>
      <c r="B1410" s="10" t="s">
        <v>1800</v>
      </c>
      <c r="C1410" s="4" t="s">
        <v>252</v>
      </c>
      <c r="D1410" s="58" t="s">
        <v>1409</v>
      </c>
      <c r="E1410" s="3">
        <v>26</v>
      </c>
      <c r="F1410" s="3">
        <v>9</v>
      </c>
      <c r="G1410" s="3">
        <v>2024</v>
      </c>
      <c r="H1410" s="5" t="s">
        <v>256</v>
      </c>
      <c r="I1410" s="7" t="s">
        <v>1739</v>
      </c>
      <c r="J1410" s="4" t="s">
        <v>54</v>
      </c>
      <c r="K1410" s="3" t="s">
        <v>44</v>
      </c>
      <c r="L1410" s="3"/>
      <c r="M1410" s="4" t="s">
        <v>30</v>
      </c>
      <c r="N1410" s="4" t="s">
        <v>80</v>
      </c>
      <c r="O1410" s="4"/>
      <c r="P1410" s="3"/>
      <c r="Q1410" s="11">
        <v>10</v>
      </c>
      <c r="R1410" s="3" t="s">
        <v>31</v>
      </c>
      <c r="S1410" s="10" t="s">
        <v>4</v>
      </c>
      <c r="T1410" s="4" t="str">
        <f>IF(OR(Tabela1[[#This Row],[Grau de Risco]]="Médio",Tabela1[[#This Row],[Grau de Risco]]="Baixo"),"Não","Sim")</f>
        <v>Não</v>
      </c>
    </row>
    <row r="1411" spans="1:20">
      <c r="A1411" s="4" t="s">
        <v>8</v>
      </c>
      <c r="B1411" s="10" t="s">
        <v>1809</v>
      </c>
      <c r="C1411" s="4" t="s">
        <v>41</v>
      </c>
      <c r="D1411" s="38" t="s">
        <v>1393</v>
      </c>
      <c r="E1411" s="3">
        <v>15</v>
      </c>
      <c r="F1411" s="3">
        <v>10</v>
      </c>
      <c r="G1411" s="3">
        <v>2024</v>
      </c>
      <c r="H1411" s="5" t="s">
        <v>48</v>
      </c>
      <c r="I1411" s="7" t="s">
        <v>1037</v>
      </c>
      <c r="J1411" s="4" t="s">
        <v>38</v>
      </c>
      <c r="K1411" s="3" t="s">
        <v>44</v>
      </c>
      <c r="L1411" s="3" t="s">
        <v>30</v>
      </c>
      <c r="M1411" s="4" t="s">
        <v>30</v>
      </c>
      <c r="N1411" s="4" t="s">
        <v>44</v>
      </c>
      <c r="O1411" s="4" t="s">
        <v>44</v>
      </c>
      <c r="P1411" s="3" t="s">
        <v>52</v>
      </c>
      <c r="Q1411" s="11">
        <v>15</v>
      </c>
      <c r="R1411" s="3" t="s">
        <v>52</v>
      </c>
      <c r="S1411" s="5" t="s">
        <v>56</v>
      </c>
      <c r="T1411" s="4" t="str">
        <f>IF(OR(Tabela1[[#This Row],[Grau de Risco]]="Médio",Tabela1[[#This Row],[Grau de Risco]]="Baixo"),"Não","Sim")</f>
        <v>Não</v>
      </c>
    </row>
    <row r="1412" spans="1:20" ht="28.8">
      <c r="A1412" s="4" t="s">
        <v>2</v>
      </c>
      <c r="B1412" s="10" t="s">
        <v>1809</v>
      </c>
      <c r="C1412" s="4" t="s">
        <v>26</v>
      </c>
      <c r="D1412" s="38" t="s">
        <v>1393</v>
      </c>
      <c r="E1412" s="3">
        <v>9</v>
      </c>
      <c r="F1412" s="3">
        <v>1</v>
      </c>
      <c r="G1412" s="3">
        <v>2024</v>
      </c>
      <c r="H1412" s="5" t="s">
        <v>48</v>
      </c>
      <c r="I1412" s="7" t="s">
        <v>1054</v>
      </c>
      <c r="J1412" s="4" t="s">
        <v>84</v>
      </c>
      <c r="K1412" s="3">
        <v>60</v>
      </c>
      <c r="L1412" s="3" t="s">
        <v>30</v>
      </c>
      <c r="M1412" s="4" t="s">
        <v>30</v>
      </c>
      <c r="N1412" s="4" t="s">
        <v>44</v>
      </c>
      <c r="O1412" s="109" t="s">
        <v>1792</v>
      </c>
      <c r="P1412" s="3" t="s">
        <v>31</v>
      </c>
      <c r="Q1412" s="11">
        <v>7</v>
      </c>
      <c r="R1412" s="3" t="s">
        <v>102</v>
      </c>
      <c r="S1412" s="5" t="s">
        <v>56</v>
      </c>
      <c r="T1412" s="4" t="str">
        <f>IF(OR(Tabela1[[#This Row],[Grau de Risco]]="Médio",Tabela1[[#This Row],[Grau de Risco]]="Baixo"),"Não","Sim")</f>
        <v>Sim</v>
      </c>
    </row>
    <row r="1413" spans="1:20">
      <c r="A1413" s="4" t="s">
        <v>7</v>
      </c>
      <c r="B1413" s="10" t="s">
        <v>1809</v>
      </c>
      <c r="C1413" s="4" t="s">
        <v>26</v>
      </c>
      <c r="D1413" s="38" t="s">
        <v>1382</v>
      </c>
      <c r="E1413" s="3">
        <v>15</v>
      </c>
      <c r="F1413" s="3">
        <v>5</v>
      </c>
      <c r="G1413" s="3">
        <v>2024</v>
      </c>
      <c r="H1413" s="36" t="s">
        <v>33</v>
      </c>
      <c r="I1413" s="7" t="s">
        <v>1057</v>
      </c>
      <c r="J1413" s="4" t="s">
        <v>61</v>
      </c>
      <c r="K1413" s="3" t="s">
        <v>62</v>
      </c>
      <c r="L1413" s="3"/>
      <c r="M1413" s="4"/>
      <c r="N1413" s="4"/>
      <c r="O1413" s="4" t="s">
        <v>45</v>
      </c>
      <c r="P1413" s="3"/>
      <c r="Q1413" s="11">
        <v>15</v>
      </c>
      <c r="R1413" s="3" t="s">
        <v>52</v>
      </c>
      <c r="S1413" s="10" t="s">
        <v>144</v>
      </c>
      <c r="T1413" s="4" t="str">
        <f>IF(OR(Tabela1[[#This Row],[Grau de Risco]]="Médio",Tabela1[[#This Row],[Grau de Risco]]="Baixo"),"Não","Sim")</f>
        <v>Não</v>
      </c>
    </row>
    <row r="1414" spans="1:20">
      <c r="A1414" s="28" t="s">
        <v>7</v>
      </c>
      <c r="B1414" s="10" t="s">
        <v>1809</v>
      </c>
      <c r="C1414" s="28" t="s">
        <v>252</v>
      </c>
      <c r="D1414" s="5" t="s">
        <v>36</v>
      </c>
      <c r="E1414" s="32">
        <v>18</v>
      </c>
      <c r="F1414" s="32">
        <v>1</v>
      </c>
      <c r="G1414" s="32">
        <v>2025</v>
      </c>
      <c r="H1414" s="5" t="s">
        <v>71</v>
      </c>
      <c r="I1414" s="29" t="s">
        <v>1121</v>
      </c>
      <c r="J1414" s="28" t="s">
        <v>61</v>
      </c>
      <c r="K1414" s="32"/>
      <c r="L1414" s="32"/>
      <c r="M1414" s="28"/>
      <c r="N1414" s="28"/>
      <c r="O1414" s="28" t="s">
        <v>4</v>
      </c>
      <c r="P1414" s="32"/>
      <c r="Q1414" s="11">
        <v>16</v>
      </c>
      <c r="R1414" s="32" t="s">
        <v>52</v>
      </c>
      <c r="S1414" s="33" t="s">
        <v>63</v>
      </c>
      <c r="T1414" s="4" t="str">
        <f>IF(OR(Tabela1[[#This Row],[Grau de Risco]]="Médio",Tabela1[[#This Row],[Grau de Risco]]="Baixo"),"Não","Sim")</f>
        <v>Não</v>
      </c>
    </row>
    <row r="1415" spans="1:20" hidden="1">
      <c r="A1415" s="28" t="s">
        <v>6</v>
      </c>
      <c r="B1415" s="33" t="s">
        <v>1800</v>
      </c>
      <c r="C1415" s="4" t="s">
        <v>41</v>
      </c>
      <c r="D1415" s="38" t="s">
        <v>1393</v>
      </c>
      <c r="E1415" s="32">
        <v>18</v>
      </c>
      <c r="F1415" s="32">
        <v>2</v>
      </c>
      <c r="G1415" s="32">
        <v>2025</v>
      </c>
      <c r="H1415" s="38" t="s">
        <v>27</v>
      </c>
      <c r="I1415" s="29" t="s">
        <v>1168</v>
      </c>
      <c r="J1415" s="28" t="s">
        <v>54</v>
      </c>
      <c r="K1415" s="32" t="s">
        <v>80</v>
      </c>
      <c r="L1415" s="32" t="s">
        <v>80</v>
      </c>
      <c r="M1415" s="28" t="s">
        <v>30</v>
      </c>
      <c r="N1415" s="28" t="s">
        <v>80</v>
      </c>
      <c r="O1415" s="28"/>
      <c r="P1415" s="32"/>
      <c r="Q1415" s="35">
        <v>7</v>
      </c>
      <c r="R1415" s="32" t="s">
        <v>102</v>
      </c>
      <c r="S1415" s="33" t="s">
        <v>141</v>
      </c>
      <c r="T1415" s="4" t="str">
        <f>IF(OR(Tabela1[[#This Row],[Grau de Risco]]="Médio",Tabela1[[#This Row],[Grau de Risco]]="Baixo"),"Não","Sim")</f>
        <v>Sim</v>
      </c>
    </row>
    <row r="1416" spans="1:20">
      <c r="A1416" s="28" t="s">
        <v>7</v>
      </c>
      <c r="B1416" s="10" t="s">
        <v>1809</v>
      </c>
      <c r="C1416" s="28" t="s">
        <v>252</v>
      </c>
      <c r="D1416" s="58" t="s">
        <v>1409</v>
      </c>
      <c r="E1416" s="32">
        <v>20</v>
      </c>
      <c r="F1416" s="32">
        <v>2</v>
      </c>
      <c r="G1416" s="32">
        <v>2025</v>
      </c>
      <c r="H1416" s="5" t="s">
        <v>123</v>
      </c>
      <c r="I1416" s="29" t="s">
        <v>1648</v>
      </c>
      <c r="J1416" s="28" t="s">
        <v>61</v>
      </c>
      <c r="K1416" s="32"/>
      <c r="L1416" s="32"/>
      <c r="M1416" s="28"/>
      <c r="N1416" s="28"/>
      <c r="O1416" s="28"/>
      <c r="P1416" s="3"/>
      <c r="Q1416" s="35">
        <v>10</v>
      </c>
      <c r="R1416" s="32" t="s">
        <v>31</v>
      </c>
      <c r="S1416" s="10" t="s">
        <v>141</v>
      </c>
      <c r="T1416" s="4" t="str">
        <f>IF(OR(Tabela1[[#This Row],[Grau de Risco]]="Médio",Tabela1[[#This Row],[Grau de Risco]]="Baixo"),"Não","Sim")</f>
        <v>Não</v>
      </c>
    </row>
    <row r="1417" spans="1:20" hidden="1">
      <c r="A1417" s="28" t="s">
        <v>7</v>
      </c>
      <c r="B1417" s="33" t="s">
        <v>1797</v>
      </c>
      <c r="C1417" s="28" t="s">
        <v>81</v>
      </c>
      <c r="D1417" s="38" t="s">
        <v>1320</v>
      </c>
      <c r="E1417" s="32">
        <v>3</v>
      </c>
      <c r="F1417" s="32">
        <v>6</v>
      </c>
      <c r="G1417" s="32">
        <v>2025</v>
      </c>
      <c r="H1417" s="5" t="s">
        <v>71</v>
      </c>
      <c r="I1417" s="29" t="s">
        <v>1278</v>
      </c>
      <c r="J1417" s="28" t="s">
        <v>61</v>
      </c>
      <c r="K1417" s="32"/>
      <c r="L1417" s="32"/>
      <c r="M1417" s="28"/>
      <c r="N1417" s="28"/>
      <c r="O1417" s="28" t="s">
        <v>101</v>
      </c>
      <c r="P1417" s="32"/>
      <c r="Q1417" s="11">
        <v>15</v>
      </c>
      <c r="R1417" s="32" t="s">
        <v>52</v>
      </c>
      <c r="S1417" s="10" t="s">
        <v>63</v>
      </c>
      <c r="T1417" s="4" t="str">
        <f>IF(OR(Tabela1[[#This Row],[Grau de Risco]]="Médio",Tabela1[[#This Row],[Grau de Risco]]="Baixo"),"Não","Sim")</f>
        <v>Não</v>
      </c>
    </row>
    <row r="1418" spans="1:20" hidden="1">
      <c r="A1418" s="4" t="s">
        <v>10</v>
      </c>
      <c r="B1418" s="10" t="s">
        <v>1804</v>
      </c>
      <c r="C1418" s="4" t="s">
        <v>26</v>
      </c>
      <c r="D1418" s="5" t="s">
        <v>47</v>
      </c>
      <c r="E1418" s="3">
        <v>8</v>
      </c>
      <c r="F1418" s="3">
        <v>8</v>
      </c>
      <c r="G1418" s="3">
        <v>2025</v>
      </c>
      <c r="H1418" s="5" t="s">
        <v>245</v>
      </c>
      <c r="I1418" s="7" t="s">
        <v>1388</v>
      </c>
      <c r="J1418" s="4" t="s">
        <v>50</v>
      </c>
      <c r="K1418" s="3">
        <v>0</v>
      </c>
      <c r="L1418" s="3">
        <v>0</v>
      </c>
      <c r="M1418" s="4" t="s">
        <v>30</v>
      </c>
      <c r="N1418" s="4">
        <v>0</v>
      </c>
      <c r="O1418" s="4" t="s">
        <v>904</v>
      </c>
      <c r="P1418" s="3" t="s">
        <v>52</v>
      </c>
      <c r="Q1418" s="11">
        <v>6</v>
      </c>
      <c r="R1418" s="3" t="s">
        <v>102</v>
      </c>
      <c r="S1418" s="10" t="s">
        <v>63</v>
      </c>
      <c r="T1418" s="4" t="str">
        <f>IF(OR(Tabela1[[#This Row],[Grau de Risco]]="Médio",Tabela1[[#This Row],[Grau de Risco]]="Baixo"),"Não","Sim")</f>
        <v>Sim</v>
      </c>
    </row>
    <row r="1419" spans="1:20">
      <c r="A1419" s="28" t="s">
        <v>8</v>
      </c>
      <c r="B1419" s="10" t="s">
        <v>1809</v>
      </c>
      <c r="C1419" s="28" t="s">
        <v>26</v>
      </c>
      <c r="D1419" s="36" t="s">
        <v>1382</v>
      </c>
      <c r="E1419" s="32">
        <v>17</v>
      </c>
      <c r="F1419" s="32">
        <v>9</v>
      </c>
      <c r="G1419" s="32">
        <v>2025</v>
      </c>
      <c r="H1419" s="36" t="s">
        <v>33</v>
      </c>
      <c r="I1419" s="29" t="s">
        <v>1420</v>
      </c>
      <c r="J1419" s="28" t="s">
        <v>54</v>
      </c>
      <c r="K1419" s="32" t="s">
        <v>44</v>
      </c>
      <c r="L1419" s="3" t="s">
        <v>44</v>
      </c>
      <c r="M1419" s="28" t="s">
        <v>30</v>
      </c>
      <c r="N1419" s="3" t="s">
        <v>44</v>
      </c>
      <c r="O1419" s="28" t="s">
        <v>1421</v>
      </c>
      <c r="P1419" s="32" t="s">
        <v>52</v>
      </c>
      <c r="Q1419" s="35">
        <v>11</v>
      </c>
      <c r="R1419" s="32" t="s">
        <v>31</v>
      </c>
      <c r="S1419" s="33" t="s">
        <v>56</v>
      </c>
      <c r="T1419" s="4" t="str">
        <f>IF(OR(Tabela1[[#This Row],[Grau de Risco]]="Médio",Tabela1[[#This Row],[Grau de Risco]]="Baixo"),"Não","Sim")</f>
        <v>Não</v>
      </c>
    </row>
    <row r="1420" spans="1:20">
      <c r="A1420" s="28" t="s">
        <v>7</v>
      </c>
      <c r="B1420" s="10" t="s">
        <v>1809</v>
      </c>
      <c r="C1420" s="28"/>
      <c r="D1420" s="28" t="s">
        <v>1409</v>
      </c>
      <c r="E1420" s="32">
        <v>16</v>
      </c>
      <c r="F1420" s="32">
        <v>10</v>
      </c>
      <c r="G1420" s="32">
        <v>2025</v>
      </c>
      <c r="H1420" s="34" t="s">
        <v>66</v>
      </c>
      <c r="I1420" s="29" t="s">
        <v>1480</v>
      </c>
      <c r="J1420" s="28" t="s">
        <v>61</v>
      </c>
      <c r="K1420" s="32"/>
      <c r="L1420" s="32"/>
      <c r="M1420" s="28"/>
      <c r="N1420" s="28"/>
      <c r="O1420" s="28" t="s">
        <v>4</v>
      </c>
      <c r="P1420" s="32"/>
      <c r="Q1420" s="35">
        <v>15</v>
      </c>
      <c r="R1420" s="32" t="s">
        <v>52</v>
      </c>
      <c r="S1420" s="10" t="s">
        <v>141</v>
      </c>
      <c r="T1420" s="4" t="str">
        <f>IF(OR(Tabela1[[#This Row],[Grau de Risco]]="Médio",Tabela1[[#This Row],[Grau de Risco]]="Baixo"),"Não","Sim")</f>
        <v>Não</v>
      </c>
    </row>
    <row r="1421" spans="1:20" hidden="1">
      <c r="A1421" s="5" t="s">
        <v>2</v>
      </c>
      <c r="B1421" s="4" t="s">
        <v>1793</v>
      </c>
      <c r="C1421" s="5" t="s">
        <v>26</v>
      </c>
      <c r="D1421" s="38" t="s">
        <v>1320</v>
      </c>
      <c r="E1421" s="3">
        <v>10</v>
      </c>
      <c r="F1421" s="3">
        <v>2</v>
      </c>
      <c r="G1421" s="3">
        <v>2020</v>
      </c>
      <c r="H1421" s="4" t="s">
        <v>27</v>
      </c>
      <c r="I1421" s="7" t="s">
        <v>94</v>
      </c>
      <c r="J1421" s="4" t="s">
        <v>76</v>
      </c>
      <c r="K1421" s="3">
        <v>3</v>
      </c>
      <c r="L1421" s="3">
        <v>0</v>
      </c>
      <c r="M1421" s="5" t="s">
        <v>30</v>
      </c>
      <c r="N1421" s="4">
        <v>3</v>
      </c>
      <c r="O1421" s="4" t="s">
        <v>55</v>
      </c>
      <c r="P1421" s="3" t="s">
        <v>52</v>
      </c>
      <c r="Q1421" s="3">
        <v>17</v>
      </c>
      <c r="R1421" s="2" t="s">
        <v>31</v>
      </c>
      <c r="S1421" s="10" t="s">
        <v>32</v>
      </c>
      <c r="T1421" s="4" t="str">
        <f>IF(OR(Tabela1[[#This Row],[Grau de Risco]]="Médio",Tabela1[[#This Row],[Grau de Risco]]="Baixo"),"Não","Sim")</f>
        <v>Não</v>
      </c>
    </row>
    <row r="1422" spans="1:20" hidden="1">
      <c r="A1422" s="4" t="s">
        <v>8</v>
      </c>
      <c r="B1422" s="10" t="s">
        <v>1805</v>
      </c>
      <c r="C1422" s="4" t="s">
        <v>64</v>
      </c>
      <c r="D1422" s="38" t="s">
        <v>1393</v>
      </c>
      <c r="E1422" s="3">
        <v>23</v>
      </c>
      <c r="F1422" s="3">
        <v>6</v>
      </c>
      <c r="G1422" s="3">
        <v>2020</v>
      </c>
      <c r="H1422" s="5" t="s">
        <v>48</v>
      </c>
      <c r="I1422" s="7" t="s">
        <v>106</v>
      </c>
      <c r="J1422" s="4" t="s">
        <v>61</v>
      </c>
      <c r="K1422" s="3">
        <v>0</v>
      </c>
      <c r="L1422" s="3">
        <v>0</v>
      </c>
      <c r="M1422" s="4" t="s">
        <v>30</v>
      </c>
      <c r="N1422" s="4"/>
      <c r="O1422" s="4" t="s">
        <v>51</v>
      </c>
      <c r="P1422" s="3" t="s">
        <v>52</v>
      </c>
      <c r="Q1422" s="11">
        <v>22</v>
      </c>
      <c r="R1422" s="3" t="str">
        <f>IF(Q1422="","",IF(Q1422&lt;4,"Crítico",IF(Q1422&lt;9,"Alto",IF(Q1422&lt;14,"Médio","Baixo"))))</f>
        <v>Baixo</v>
      </c>
      <c r="S1422" s="10" t="s">
        <v>63</v>
      </c>
      <c r="T1422" s="4" t="str">
        <f>IF(OR(Tabela1[[#This Row],[Grau de Risco]]="Médio",Tabela1[[#This Row],[Grau de Risco]]="Baixo"),"Não","Sim")</f>
        <v>Não</v>
      </c>
    </row>
    <row r="1423" spans="1:20">
      <c r="A1423" s="4" t="s">
        <v>8</v>
      </c>
      <c r="B1423" s="10" t="s">
        <v>1809</v>
      </c>
      <c r="C1423" s="4" t="s">
        <v>26</v>
      </c>
      <c r="D1423" s="58" t="s">
        <v>1409</v>
      </c>
      <c r="E1423" s="3">
        <v>20</v>
      </c>
      <c r="F1423" s="3">
        <v>5</v>
      </c>
      <c r="G1423" s="3">
        <v>2021</v>
      </c>
      <c r="H1423" s="34" t="s">
        <v>59</v>
      </c>
      <c r="I1423" s="7" t="s">
        <v>151</v>
      </c>
      <c r="J1423" s="4" t="s">
        <v>93</v>
      </c>
      <c r="K1423" s="3" t="s">
        <v>62</v>
      </c>
      <c r="L1423" s="3">
        <v>0</v>
      </c>
      <c r="M1423" s="4" t="s">
        <v>30</v>
      </c>
      <c r="N1423" s="4">
        <v>0</v>
      </c>
      <c r="O1423" s="4" t="s">
        <v>117</v>
      </c>
      <c r="P1423" s="3" t="s">
        <v>52</v>
      </c>
      <c r="Q1423" s="11">
        <v>18</v>
      </c>
      <c r="R1423" s="3" t="s">
        <v>52</v>
      </c>
      <c r="S1423" s="5" t="s">
        <v>56</v>
      </c>
      <c r="T1423" s="4" t="str">
        <f>IF(OR(Tabela1[[#This Row],[Grau de Risco]]="Médio",Tabela1[[#This Row],[Grau de Risco]]="Baixo"),"Não","Sim")</f>
        <v>Não</v>
      </c>
    </row>
    <row r="1424" spans="1:20">
      <c r="A1424" s="4" t="s">
        <v>2</v>
      </c>
      <c r="B1424" s="10" t="s">
        <v>1809</v>
      </c>
      <c r="C1424" s="4" t="s">
        <v>26</v>
      </c>
      <c r="D1424" s="5" t="s">
        <v>148</v>
      </c>
      <c r="E1424" s="3">
        <v>17</v>
      </c>
      <c r="F1424" s="3">
        <v>10</v>
      </c>
      <c r="G1424" s="3">
        <v>2021</v>
      </c>
      <c r="H1424" s="4" t="s">
        <v>86</v>
      </c>
      <c r="I1424" s="7" t="s">
        <v>188</v>
      </c>
      <c r="J1424" s="4" t="s">
        <v>79</v>
      </c>
      <c r="K1424" s="3">
        <v>2</v>
      </c>
      <c r="L1424" s="3">
        <v>0</v>
      </c>
      <c r="M1424" s="4" t="s">
        <v>30</v>
      </c>
      <c r="N1424" s="4">
        <v>0</v>
      </c>
      <c r="O1424" s="4" t="s">
        <v>45</v>
      </c>
      <c r="P1424" s="3" t="s">
        <v>31</v>
      </c>
      <c r="Q1424" s="11">
        <v>14</v>
      </c>
      <c r="R1424" s="3" t="s">
        <v>52</v>
      </c>
      <c r="S1424" s="5" t="s">
        <v>56</v>
      </c>
      <c r="T1424" s="4" t="str">
        <f>IF(OR(Tabela1[[#This Row],[Grau de Risco]]="Médio",Tabela1[[#This Row],[Grau de Risco]]="Baixo"),"Não","Sim")</f>
        <v>Não</v>
      </c>
    </row>
    <row r="1425" spans="1:20" hidden="1">
      <c r="A1425" s="4" t="s">
        <v>7</v>
      </c>
      <c r="B1425" s="10" t="s">
        <v>1793</v>
      </c>
      <c r="C1425" s="4" t="s">
        <v>58</v>
      </c>
      <c r="D1425" s="38" t="s">
        <v>1320</v>
      </c>
      <c r="E1425" s="3">
        <v>19</v>
      </c>
      <c r="F1425" s="3">
        <v>4</v>
      </c>
      <c r="G1425" s="3">
        <v>2021</v>
      </c>
      <c r="H1425" s="36" t="s">
        <v>112</v>
      </c>
      <c r="I1425" s="7" t="s">
        <v>203</v>
      </c>
      <c r="J1425" s="4" t="s">
        <v>111</v>
      </c>
      <c r="K1425" s="3" t="s">
        <v>62</v>
      </c>
      <c r="L1425" s="3" t="s">
        <v>44</v>
      </c>
      <c r="M1425" s="4" t="s">
        <v>30</v>
      </c>
      <c r="N1425" s="4"/>
      <c r="O1425" s="4" t="s">
        <v>55</v>
      </c>
      <c r="P1425" s="3" t="s">
        <v>52</v>
      </c>
      <c r="Q1425" s="11">
        <v>17</v>
      </c>
      <c r="R1425" s="3" t="str">
        <f>IF(Q1425="","",IF(Q1425&lt;4,"Crítico",IF(Q1425&lt;9,"Alto",IF(Q1425&lt;14,"Médio","Baixo"))))</f>
        <v>Baixo</v>
      </c>
      <c r="S1425" s="10" t="s">
        <v>63</v>
      </c>
      <c r="T1425" s="4" t="str">
        <f>IF(OR(Tabela1[[#This Row],[Grau de Risco]]="Médio",Tabela1[[#This Row],[Grau de Risco]]="Baixo"),"Não","Sim")</f>
        <v>Não</v>
      </c>
    </row>
    <row r="1426" spans="1:20" hidden="1">
      <c r="A1426" s="4" t="s">
        <v>7</v>
      </c>
      <c r="B1426" s="10" t="s">
        <v>1800</v>
      </c>
      <c r="C1426" s="4" t="s">
        <v>133</v>
      </c>
      <c r="D1426" s="38" t="s">
        <v>1393</v>
      </c>
      <c r="E1426" s="3">
        <v>24</v>
      </c>
      <c r="F1426" s="3">
        <v>8</v>
      </c>
      <c r="G1426" s="3">
        <v>2021</v>
      </c>
      <c r="H1426" s="36" t="s">
        <v>107</v>
      </c>
      <c r="I1426" s="7" t="s">
        <v>206</v>
      </c>
      <c r="J1426" s="4" t="s">
        <v>111</v>
      </c>
      <c r="K1426" s="3" t="s">
        <v>62</v>
      </c>
      <c r="L1426" s="3" t="s">
        <v>44</v>
      </c>
      <c r="M1426" s="4" t="s">
        <v>30</v>
      </c>
      <c r="N1426" s="4"/>
      <c r="O1426" s="4" t="s">
        <v>55</v>
      </c>
      <c r="P1426" s="3" t="s">
        <v>52</v>
      </c>
      <c r="Q1426" s="11">
        <v>13</v>
      </c>
      <c r="R1426" s="3" t="str">
        <f>IF(Q1426="","",IF(Q1426&lt;4,"Crítico",IF(Q1426&lt;9,"Alto",IF(Q1426&lt;14,"Médio","Baixo"))))</f>
        <v>Médio</v>
      </c>
      <c r="S1426" s="10" t="s">
        <v>63</v>
      </c>
      <c r="T1426" s="4" t="str">
        <f>IF(OR(Tabela1[[#This Row],[Grau de Risco]]="Médio",Tabela1[[#This Row],[Grau de Risco]]="Baixo"),"Não","Sim")</f>
        <v>Não</v>
      </c>
    </row>
    <row r="1427" spans="1:20">
      <c r="A1427" s="5" t="s">
        <v>8</v>
      </c>
      <c r="B1427" s="10" t="s">
        <v>1809</v>
      </c>
      <c r="C1427" s="5" t="s">
        <v>26</v>
      </c>
      <c r="D1427" s="58" t="s">
        <v>1409</v>
      </c>
      <c r="E1427" s="2">
        <v>12</v>
      </c>
      <c r="F1427" s="2">
        <v>5</v>
      </c>
      <c r="G1427" s="2">
        <v>2022</v>
      </c>
      <c r="H1427" s="5" t="s">
        <v>127</v>
      </c>
      <c r="I1427" s="5" t="s">
        <v>251</v>
      </c>
      <c r="J1427" s="5" t="s">
        <v>38</v>
      </c>
      <c r="K1427" s="2">
        <v>0</v>
      </c>
      <c r="L1427" s="2">
        <v>0</v>
      </c>
      <c r="M1427" s="5" t="s">
        <v>30</v>
      </c>
      <c r="N1427" s="5">
        <v>0</v>
      </c>
      <c r="O1427" s="5" t="s">
        <v>70</v>
      </c>
      <c r="P1427" s="2" t="s">
        <v>31</v>
      </c>
      <c r="Q1427" s="2">
        <v>4</v>
      </c>
      <c r="R1427" s="2" t="s">
        <v>102</v>
      </c>
      <c r="S1427" s="5" t="s">
        <v>56</v>
      </c>
      <c r="T1427" s="4" t="str">
        <f>IF(OR(Tabela1[[#This Row],[Grau de Risco]]="Médio",Tabela1[[#This Row],[Grau de Risco]]="Baixo"),"Não","Sim")</f>
        <v>Sim</v>
      </c>
    </row>
    <row r="1428" spans="1:20">
      <c r="A1428" s="4" t="s">
        <v>2</v>
      </c>
      <c r="B1428" s="10" t="s">
        <v>1809</v>
      </c>
      <c r="C1428" s="4" t="s">
        <v>58</v>
      </c>
      <c r="D1428" s="58" t="s">
        <v>1409</v>
      </c>
      <c r="E1428" s="3">
        <v>9</v>
      </c>
      <c r="F1428" s="3">
        <v>6</v>
      </c>
      <c r="G1428" s="3">
        <v>2022</v>
      </c>
      <c r="H1428" s="36" t="s">
        <v>82</v>
      </c>
      <c r="I1428" s="7" t="s">
        <v>292</v>
      </c>
      <c r="J1428" s="4" t="s">
        <v>61</v>
      </c>
      <c r="K1428" s="3">
        <v>1</v>
      </c>
      <c r="L1428" s="3">
        <v>0</v>
      </c>
      <c r="M1428" s="4" t="s">
        <v>30</v>
      </c>
      <c r="N1428" s="4"/>
      <c r="O1428" s="4" t="s">
        <v>4</v>
      </c>
      <c r="P1428" s="3" t="s">
        <v>52</v>
      </c>
      <c r="Q1428" s="11">
        <v>13</v>
      </c>
      <c r="R1428" s="3" t="str">
        <f>IF(Q1428="","",IF(Q1428&lt;4,"Crítico",IF(Q1428&lt;9,"Alto",IF(Q1428&lt;14,"Médio","Baixo"))))</f>
        <v>Médio</v>
      </c>
      <c r="S1428" s="10" t="s">
        <v>63</v>
      </c>
      <c r="T1428" s="4" t="str">
        <f>IF(OR(Tabela1[[#This Row],[Grau de Risco]]="Médio",Tabela1[[#This Row],[Grau de Risco]]="Baixo"),"Não","Sim")</f>
        <v>Não</v>
      </c>
    </row>
    <row r="1429" spans="1:20">
      <c r="A1429" s="5" t="s">
        <v>10</v>
      </c>
      <c r="B1429" s="10" t="s">
        <v>1809</v>
      </c>
      <c r="C1429" s="5" t="s">
        <v>26</v>
      </c>
      <c r="D1429" s="38" t="s">
        <v>1320</v>
      </c>
      <c r="E1429" s="2">
        <v>12</v>
      </c>
      <c r="F1429" s="2">
        <v>3</v>
      </c>
      <c r="G1429" s="2">
        <v>2022</v>
      </c>
      <c r="H1429" s="36" t="s">
        <v>107</v>
      </c>
      <c r="I1429" s="5" t="s">
        <v>302</v>
      </c>
      <c r="J1429" s="5" t="s">
        <v>38</v>
      </c>
      <c r="K1429" s="2">
        <v>0</v>
      </c>
      <c r="L1429" s="2">
        <v>0</v>
      </c>
      <c r="M1429" s="5" t="s">
        <v>30</v>
      </c>
      <c r="N1429" s="5">
        <v>0</v>
      </c>
      <c r="O1429" s="5" t="s">
        <v>301</v>
      </c>
      <c r="P1429" s="2" t="s">
        <v>31</v>
      </c>
      <c r="Q1429" s="2">
        <v>4</v>
      </c>
      <c r="R1429" s="2" t="s">
        <v>102</v>
      </c>
      <c r="S1429" s="5" t="s">
        <v>63</v>
      </c>
      <c r="T1429" s="4" t="str">
        <f>IF(OR(Tabela1[[#This Row],[Grau de Risco]]="Médio",Tabela1[[#This Row],[Grau de Risco]]="Baixo"),"Não","Sim")</f>
        <v>Sim</v>
      </c>
    </row>
    <row r="1430" spans="1:20" hidden="1">
      <c r="A1430" s="5" t="s">
        <v>9</v>
      </c>
      <c r="B1430" s="6" t="s">
        <v>1793</v>
      </c>
      <c r="C1430" s="5" t="s">
        <v>26</v>
      </c>
      <c r="D1430" s="38" t="s">
        <v>1382</v>
      </c>
      <c r="E1430" s="2">
        <v>20</v>
      </c>
      <c r="F1430" s="2">
        <v>4</v>
      </c>
      <c r="G1430" s="2">
        <v>2022</v>
      </c>
      <c r="H1430" s="5" t="s">
        <v>127</v>
      </c>
      <c r="I1430" s="5" t="s">
        <v>311</v>
      </c>
      <c r="J1430" s="5" t="s">
        <v>38</v>
      </c>
      <c r="K1430" s="2">
        <v>10</v>
      </c>
      <c r="L1430" s="2">
        <v>0</v>
      </c>
      <c r="M1430" s="5" t="s">
        <v>30</v>
      </c>
      <c r="N1430" s="5">
        <v>0</v>
      </c>
      <c r="O1430" s="5" t="s">
        <v>312</v>
      </c>
      <c r="P1430" s="2" t="s">
        <v>31</v>
      </c>
      <c r="Q1430" s="2">
        <v>13</v>
      </c>
      <c r="R1430" s="2" t="s">
        <v>31</v>
      </c>
      <c r="S1430" s="5" t="s">
        <v>63</v>
      </c>
      <c r="T1430" s="4" t="str">
        <f>IF(OR(Tabela1[[#This Row],[Grau de Risco]]="Médio",Tabela1[[#This Row],[Grau de Risco]]="Baixo"),"Não","Sim")</f>
        <v>Não</v>
      </c>
    </row>
    <row r="1431" spans="1:20">
      <c r="A1431" s="5" t="s">
        <v>7</v>
      </c>
      <c r="B1431" s="10" t="s">
        <v>1809</v>
      </c>
      <c r="C1431" s="5" t="s">
        <v>26</v>
      </c>
      <c r="D1431" s="38" t="s">
        <v>1382</v>
      </c>
      <c r="E1431" s="3">
        <v>26</v>
      </c>
      <c r="F1431" s="3">
        <v>7</v>
      </c>
      <c r="G1431" s="3">
        <v>2023</v>
      </c>
      <c r="H1431" s="36" t="s">
        <v>82</v>
      </c>
      <c r="I1431" s="7" t="s">
        <v>426</v>
      </c>
      <c r="J1431" s="4" t="s">
        <v>76</v>
      </c>
      <c r="K1431" s="3" t="s">
        <v>44</v>
      </c>
      <c r="L1431" s="3" t="s">
        <v>44</v>
      </c>
      <c r="M1431" s="4" t="s">
        <v>30</v>
      </c>
      <c r="N1431" s="3" t="s">
        <v>44</v>
      </c>
      <c r="O1431" s="4" t="s">
        <v>4</v>
      </c>
      <c r="P1431" s="3" t="s">
        <v>52</v>
      </c>
      <c r="Q1431" s="11">
        <v>4</v>
      </c>
      <c r="R1431" s="3" t="s">
        <v>102</v>
      </c>
      <c r="S1431" s="10" t="s">
        <v>4</v>
      </c>
      <c r="T1431" s="4" t="str">
        <f>IF(OR(Tabela1[[#This Row],[Grau de Risco]]="Médio",Tabela1[[#This Row],[Grau de Risco]]="Baixo"),"Não","Sim")</f>
        <v>Sim</v>
      </c>
    </row>
    <row r="1432" spans="1:20" hidden="1">
      <c r="A1432" s="4" t="s">
        <v>8</v>
      </c>
      <c r="B1432" s="10" t="s">
        <v>1800</v>
      </c>
      <c r="C1432" s="4" t="s">
        <v>41</v>
      </c>
      <c r="D1432" s="5" t="s">
        <v>1320</v>
      </c>
      <c r="E1432" s="3">
        <v>18</v>
      </c>
      <c r="F1432" s="3">
        <v>12</v>
      </c>
      <c r="G1432" s="3">
        <v>2023</v>
      </c>
      <c r="H1432" s="36" t="s">
        <v>33</v>
      </c>
      <c r="I1432" s="7" t="s">
        <v>510</v>
      </c>
      <c r="J1432" s="4" t="s">
        <v>35</v>
      </c>
      <c r="K1432" s="3">
        <v>0</v>
      </c>
      <c r="L1432" s="3">
        <v>0</v>
      </c>
      <c r="M1432" s="4" t="s">
        <v>30</v>
      </c>
      <c r="N1432" s="4">
        <v>0</v>
      </c>
      <c r="O1432" s="4" t="s">
        <v>85</v>
      </c>
      <c r="P1432" s="3" t="s">
        <v>31</v>
      </c>
      <c r="Q1432" s="11">
        <v>2</v>
      </c>
      <c r="R1432" s="3" t="str">
        <f>IF(Q1432="","",IF(Q1432&lt;4,"Crítico",IF(Q1432&lt;9,"Alto",IF(Q1432&lt;14,"Médio","Baixo"))))</f>
        <v>Crítico</v>
      </c>
      <c r="S1432" s="5" t="s">
        <v>40</v>
      </c>
      <c r="T1432" s="4" t="str">
        <f>IF(OR(Tabela1[[#This Row],[Grau de Risco]]="Médio",Tabela1[[#This Row],[Grau de Risco]]="Baixo"),"Não","Sim")</f>
        <v>Sim</v>
      </c>
    </row>
    <row r="1433" spans="1:20" hidden="1">
      <c r="A1433" s="4" t="s">
        <v>9</v>
      </c>
      <c r="B1433" s="4" t="s">
        <v>1805</v>
      </c>
      <c r="C1433" s="5" t="s">
        <v>26</v>
      </c>
      <c r="D1433" s="38" t="s">
        <v>1320</v>
      </c>
      <c r="E1433" s="3">
        <v>19</v>
      </c>
      <c r="F1433" s="3">
        <v>6</v>
      </c>
      <c r="G1433" s="3">
        <v>2023</v>
      </c>
      <c r="H1433" s="36" t="s">
        <v>112</v>
      </c>
      <c r="I1433" s="7" t="s">
        <v>514</v>
      </c>
      <c r="J1433" s="4" t="s">
        <v>69</v>
      </c>
      <c r="K1433" s="3">
        <v>1</v>
      </c>
      <c r="L1433" s="3">
        <v>0</v>
      </c>
      <c r="M1433" s="5" t="s">
        <v>30</v>
      </c>
      <c r="N1433" s="4">
        <v>1</v>
      </c>
      <c r="O1433" s="4" t="s">
        <v>77</v>
      </c>
      <c r="P1433" s="3" t="s">
        <v>52</v>
      </c>
      <c r="Q1433" s="3">
        <v>13</v>
      </c>
      <c r="R1433" s="2" t="s">
        <v>31</v>
      </c>
      <c r="S1433" s="5" t="s">
        <v>63</v>
      </c>
      <c r="T1433" s="4" t="str">
        <f>IF(OR(Tabela1[[#This Row],[Grau de Risco]]="Médio",Tabela1[[#This Row],[Grau de Risco]]="Baixo"),"Não","Sim")</f>
        <v>Não</v>
      </c>
    </row>
    <row r="1434" spans="1:20" hidden="1">
      <c r="A1434" s="4" t="s">
        <v>10</v>
      </c>
      <c r="B1434" s="10" t="s">
        <v>1797</v>
      </c>
      <c r="C1434" s="4" t="s">
        <v>81</v>
      </c>
      <c r="D1434" s="38" t="s">
        <v>1393</v>
      </c>
      <c r="E1434" s="3">
        <v>24</v>
      </c>
      <c r="F1434" s="3">
        <v>10</v>
      </c>
      <c r="G1434" s="3">
        <v>2023</v>
      </c>
      <c r="H1434" s="60" t="s">
        <v>109</v>
      </c>
      <c r="I1434" s="7" t="s">
        <v>535</v>
      </c>
      <c r="J1434" s="4" t="s">
        <v>61</v>
      </c>
      <c r="K1434" s="3">
        <v>0</v>
      </c>
      <c r="L1434" s="3">
        <v>0</v>
      </c>
      <c r="M1434" s="4" t="s">
        <v>30</v>
      </c>
      <c r="N1434" s="4">
        <v>0</v>
      </c>
      <c r="O1434" s="4" t="s">
        <v>101</v>
      </c>
      <c r="P1434" s="3" t="s">
        <v>52</v>
      </c>
      <c r="Q1434" s="11">
        <v>11</v>
      </c>
      <c r="R1434" s="3" t="str">
        <f>IF(Q1434="","",IF(Q1434&lt;4,"Crítico",IF(Q1434&lt;9,"Alto",IF(Q1434&lt;14,"Médio","Baixo"))))</f>
        <v>Médio</v>
      </c>
      <c r="S1434" s="10" t="s">
        <v>63</v>
      </c>
      <c r="T1434" s="4" t="str">
        <f>IF(OR(Tabela1[[#This Row],[Grau de Risco]]="Médio",Tabela1[[#This Row],[Grau de Risco]]="Baixo"),"Não","Sim")</f>
        <v>Não</v>
      </c>
    </row>
    <row r="1435" spans="1:20">
      <c r="A1435" s="4" t="s">
        <v>9</v>
      </c>
      <c r="B1435" s="10" t="s">
        <v>1809</v>
      </c>
      <c r="C1435" s="4" t="s">
        <v>26</v>
      </c>
      <c r="D1435" s="5" t="s">
        <v>148</v>
      </c>
      <c r="E1435" s="3">
        <v>18</v>
      </c>
      <c r="F1435" s="3">
        <v>6</v>
      </c>
      <c r="G1435" s="3">
        <v>2023</v>
      </c>
      <c r="H1435" s="36" t="s">
        <v>112</v>
      </c>
      <c r="I1435" s="7" t="s">
        <v>555</v>
      </c>
      <c r="J1435" s="4" t="s">
        <v>79</v>
      </c>
      <c r="K1435" s="3">
        <v>4</v>
      </c>
      <c r="L1435" s="3">
        <v>0</v>
      </c>
      <c r="M1435" s="4" t="s">
        <v>30</v>
      </c>
      <c r="N1435" s="4">
        <v>0</v>
      </c>
      <c r="O1435" s="4" t="s">
        <v>77</v>
      </c>
      <c r="P1435" s="3" t="s">
        <v>52</v>
      </c>
      <c r="Q1435" s="11">
        <v>15</v>
      </c>
      <c r="R1435" s="3" t="s">
        <v>52</v>
      </c>
      <c r="S1435" s="10" t="s">
        <v>63</v>
      </c>
      <c r="T1435" s="4" t="str">
        <f>IF(OR(Tabela1[[#This Row],[Grau de Risco]]="Médio",Tabela1[[#This Row],[Grau de Risco]]="Baixo"),"Não","Sim")</f>
        <v>Não</v>
      </c>
    </row>
    <row r="1436" spans="1:20" hidden="1">
      <c r="A1436" s="4" t="s">
        <v>7</v>
      </c>
      <c r="B1436" s="10" t="s">
        <v>1805</v>
      </c>
      <c r="C1436" s="4" t="s">
        <v>26</v>
      </c>
      <c r="D1436" s="38" t="s">
        <v>1393</v>
      </c>
      <c r="E1436" s="3">
        <v>12</v>
      </c>
      <c r="F1436" s="3">
        <v>9</v>
      </c>
      <c r="G1436" s="3">
        <v>2023</v>
      </c>
      <c r="H1436" s="36" t="s">
        <v>112</v>
      </c>
      <c r="I1436" s="7" t="s">
        <v>564</v>
      </c>
      <c r="J1436" s="4" t="s">
        <v>150</v>
      </c>
      <c r="K1436" s="3" t="s">
        <v>62</v>
      </c>
      <c r="L1436" s="3">
        <v>0</v>
      </c>
      <c r="M1436" s="4" t="s">
        <v>30</v>
      </c>
      <c r="N1436" s="4">
        <v>0</v>
      </c>
      <c r="O1436" s="4" t="s">
        <v>386</v>
      </c>
      <c r="P1436" s="3" t="s">
        <v>52</v>
      </c>
      <c r="Q1436" s="11">
        <v>5</v>
      </c>
      <c r="R1436" s="3" t="s">
        <v>102</v>
      </c>
      <c r="S1436" s="10" t="s">
        <v>63</v>
      </c>
      <c r="T1436" s="4" t="str">
        <f>IF(OR(Tabela1[[#This Row],[Grau de Risco]]="Médio",Tabela1[[#This Row],[Grau de Risco]]="Baixo"),"Não","Sim")</f>
        <v>Sim</v>
      </c>
    </row>
    <row r="1437" spans="1:20">
      <c r="A1437" s="4" t="s">
        <v>2</v>
      </c>
      <c r="B1437" s="10" t="s">
        <v>1809</v>
      </c>
      <c r="C1437" s="4" t="s">
        <v>26</v>
      </c>
      <c r="D1437" s="5" t="s">
        <v>36</v>
      </c>
      <c r="E1437" s="3">
        <v>30</v>
      </c>
      <c r="F1437" s="3">
        <v>11</v>
      </c>
      <c r="G1437" s="3">
        <v>2024</v>
      </c>
      <c r="H1437" s="5" t="s">
        <v>71</v>
      </c>
      <c r="I1437" s="7" t="s">
        <v>731</v>
      </c>
      <c r="J1437" s="4" t="s">
        <v>93</v>
      </c>
      <c r="K1437" s="3">
        <v>248</v>
      </c>
      <c r="L1437" s="3">
        <v>0</v>
      </c>
      <c r="M1437" s="4" t="s">
        <v>30</v>
      </c>
      <c r="N1437" s="4"/>
      <c r="O1437" s="4" t="s">
        <v>85</v>
      </c>
      <c r="P1437" s="3" t="s">
        <v>102</v>
      </c>
      <c r="Q1437" s="11">
        <v>2</v>
      </c>
      <c r="R1437" s="3" t="str">
        <f>IF(Q1437="","",IF(Q1437&lt;4,"Crítico",IF(Q1437&lt;9,"Alto",IF(Q1437&lt;14,"Médio","Baixo"))))</f>
        <v>Crítico</v>
      </c>
      <c r="S1437" s="5" t="s">
        <v>40</v>
      </c>
      <c r="T1437" s="4" t="str">
        <f>IF(OR(Tabela1[[#This Row],[Grau de Risco]]="Médio",Tabela1[[#This Row],[Grau de Risco]]="Baixo"),"Não","Sim")</f>
        <v>Sim</v>
      </c>
    </row>
    <row r="1438" spans="1:20">
      <c r="A1438" s="4" t="s">
        <v>2</v>
      </c>
      <c r="B1438" s="10" t="s">
        <v>1809</v>
      </c>
      <c r="C1438" s="4" t="s">
        <v>26</v>
      </c>
      <c r="D1438" s="38" t="s">
        <v>1382</v>
      </c>
      <c r="E1438" s="3">
        <v>14</v>
      </c>
      <c r="F1438" s="3">
        <v>8</v>
      </c>
      <c r="G1438" s="3">
        <v>2024</v>
      </c>
      <c r="H1438" s="36" t="s">
        <v>33</v>
      </c>
      <c r="I1438" s="7" t="s">
        <v>1046</v>
      </c>
      <c r="J1438" s="4" t="s">
        <v>290</v>
      </c>
      <c r="K1438" s="3">
        <v>11</v>
      </c>
      <c r="L1438" s="3">
        <v>0</v>
      </c>
      <c r="M1438" s="4" t="s">
        <v>30</v>
      </c>
      <c r="N1438" s="4">
        <v>0</v>
      </c>
      <c r="O1438" s="4" t="s">
        <v>159</v>
      </c>
      <c r="P1438" s="3" t="s">
        <v>52</v>
      </c>
      <c r="Q1438" s="11">
        <v>11</v>
      </c>
      <c r="R1438" s="3" t="s">
        <v>31</v>
      </c>
      <c r="S1438" s="5" t="s">
        <v>56</v>
      </c>
      <c r="T1438" s="4" t="str">
        <f>IF(OR(Tabela1[[#This Row],[Grau de Risco]]="Médio",Tabela1[[#This Row],[Grau de Risco]]="Baixo"),"Não","Sim")</f>
        <v>Não</v>
      </c>
    </row>
    <row r="1439" spans="1:20">
      <c r="A1439" s="4" t="s">
        <v>2</v>
      </c>
      <c r="B1439" s="10" t="s">
        <v>1809</v>
      </c>
      <c r="C1439" s="4" t="s">
        <v>252</v>
      </c>
      <c r="D1439" s="38" t="s">
        <v>1382</v>
      </c>
      <c r="E1439" s="3">
        <v>6</v>
      </c>
      <c r="F1439" s="3">
        <v>3</v>
      </c>
      <c r="G1439" s="3">
        <v>2024</v>
      </c>
      <c r="H1439" s="36" t="s">
        <v>375</v>
      </c>
      <c r="I1439" s="7" t="s">
        <v>1056</v>
      </c>
      <c r="J1439" s="4" t="s">
        <v>43</v>
      </c>
      <c r="K1439" s="3">
        <v>2</v>
      </c>
      <c r="L1439" s="3">
        <v>0</v>
      </c>
      <c r="M1439" s="4" t="s">
        <v>30</v>
      </c>
      <c r="N1439" s="4"/>
      <c r="O1439" s="4" t="s">
        <v>55</v>
      </c>
      <c r="P1439" s="3" t="s">
        <v>31</v>
      </c>
      <c r="Q1439" s="11">
        <v>11</v>
      </c>
      <c r="R1439" s="3" t="s">
        <v>31</v>
      </c>
      <c r="S1439" s="10" t="s">
        <v>32</v>
      </c>
      <c r="T1439" s="4" t="str">
        <f>IF(OR(Tabela1[[#This Row],[Grau de Risco]]="Médio",Tabela1[[#This Row],[Grau de Risco]]="Baixo"),"Não","Sim")</f>
        <v>Não</v>
      </c>
    </row>
    <row r="1440" spans="1:20" hidden="1">
      <c r="A1440" s="4" t="s">
        <v>7</v>
      </c>
      <c r="B1440" s="10" t="s">
        <v>1797</v>
      </c>
      <c r="C1440" s="4" t="s">
        <v>81</v>
      </c>
      <c r="D1440" s="38" t="s">
        <v>47</v>
      </c>
      <c r="E1440" s="3">
        <v>20</v>
      </c>
      <c r="F1440" s="3">
        <v>9</v>
      </c>
      <c r="G1440" s="3">
        <v>2024</v>
      </c>
      <c r="H1440" s="36" t="s">
        <v>33</v>
      </c>
      <c r="I1440" s="7" t="s">
        <v>1073</v>
      </c>
      <c r="J1440" s="4" t="s">
        <v>50</v>
      </c>
      <c r="K1440" s="3"/>
      <c r="L1440" s="3"/>
      <c r="M1440" s="4"/>
      <c r="N1440" s="4"/>
      <c r="O1440" s="4"/>
      <c r="P1440" s="3" t="s">
        <v>52</v>
      </c>
      <c r="Q1440" s="11">
        <v>15</v>
      </c>
      <c r="R1440" s="3" t="s">
        <v>52</v>
      </c>
      <c r="S1440" s="5" t="s">
        <v>56</v>
      </c>
      <c r="T1440" s="4" t="str">
        <f>IF(OR(Tabela1[[#This Row],[Grau de Risco]]="Médio",Tabela1[[#This Row],[Grau de Risco]]="Baixo"),"Não","Sim")</f>
        <v>Não</v>
      </c>
    </row>
    <row r="1441" spans="1:20">
      <c r="A1441" s="4" t="s">
        <v>9</v>
      </c>
      <c r="B1441" s="10" t="s">
        <v>1809</v>
      </c>
      <c r="C1441" s="4" t="s">
        <v>81</v>
      </c>
      <c r="D1441" s="5" t="s">
        <v>36</v>
      </c>
      <c r="E1441" s="3">
        <v>7</v>
      </c>
      <c r="F1441" s="3">
        <v>5</v>
      </c>
      <c r="G1441" s="3">
        <v>2025</v>
      </c>
      <c r="H1441" s="5" t="s">
        <v>71</v>
      </c>
      <c r="I1441" s="7" t="s">
        <v>1253</v>
      </c>
      <c r="J1441" s="4" t="s">
        <v>79</v>
      </c>
      <c r="K1441" s="3">
        <v>15</v>
      </c>
      <c r="L1441" s="3">
        <v>0</v>
      </c>
      <c r="M1441" s="4" t="s">
        <v>30</v>
      </c>
      <c r="N1441" s="4">
        <v>0</v>
      </c>
      <c r="O1441" s="4" t="s">
        <v>1254</v>
      </c>
      <c r="P1441" s="3" t="s">
        <v>31</v>
      </c>
      <c r="Q1441" s="11">
        <v>5</v>
      </c>
      <c r="R1441" s="3" t="s">
        <v>102</v>
      </c>
      <c r="S1441" s="10" t="s">
        <v>63</v>
      </c>
      <c r="T1441" s="4" t="str">
        <f>IF(OR(Tabela1[[#This Row],[Grau de Risco]]="Médio",Tabela1[[#This Row],[Grau de Risco]]="Baixo"),"Não","Sim")</f>
        <v>Sim</v>
      </c>
    </row>
    <row r="1442" spans="1:20">
      <c r="A1442" s="5" t="s">
        <v>2</v>
      </c>
      <c r="B1442" s="10" t="s">
        <v>1809</v>
      </c>
      <c r="C1442" s="5" t="s">
        <v>26</v>
      </c>
      <c r="D1442" s="106" t="s">
        <v>148</v>
      </c>
      <c r="E1442" s="3">
        <v>15</v>
      </c>
      <c r="F1442" s="2">
        <v>8</v>
      </c>
      <c r="G1442" s="3">
        <v>2021</v>
      </c>
      <c r="H1442" s="5" t="s">
        <v>71</v>
      </c>
      <c r="I1442" s="7" t="s">
        <v>157</v>
      </c>
      <c r="J1442" s="4" t="s">
        <v>29</v>
      </c>
      <c r="K1442" s="3">
        <v>59</v>
      </c>
      <c r="L1442" s="3">
        <v>0</v>
      </c>
      <c r="M1442" s="5" t="s">
        <v>30</v>
      </c>
      <c r="N1442" s="4">
        <v>59</v>
      </c>
      <c r="O1442" s="4" t="s">
        <v>39</v>
      </c>
      <c r="P1442" s="3" t="s">
        <v>31</v>
      </c>
      <c r="Q1442" s="3">
        <v>12</v>
      </c>
      <c r="R1442" s="2" t="s">
        <v>31</v>
      </c>
      <c r="S1442" s="10" t="s">
        <v>32</v>
      </c>
      <c r="T1442" s="4" t="str">
        <f>IF(OR(Tabela1[[#This Row],[Grau de Risco]]="Médio",Tabela1[[#This Row],[Grau de Risco]]="Baixo"),"Não","Sim")</f>
        <v>Não</v>
      </c>
    </row>
    <row r="1443" spans="1:20" hidden="1">
      <c r="A1443" s="5" t="s">
        <v>2</v>
      </c>
      <c r="B1443" s="4" t="s">
        <v>1793</v>
      </c>
      <c r="C1443" s="5" t="s">
        <v>125</v>
      </c>
      <c r="D1443" s="38" t="s">
        <v>1382</v>
      </c>
      <c r="E1443" s="3">
        <v>13</v>
      </c>
      <c r="F1443" s="2">
        <v>10</v>
      </c>
      <c r="G1443" s="3">
        <v>2021</v>
      </c>
      <c r="H1443" s="5" t="s">
        <v>123</v>
      </c>
      <c r="I1443" s="7" t="s">
        <v>214</v>
      </c>
      <c r="J1443" s="4" t="s">
        <v>35</v>
      </c>
      <c r="K1443" s="3">
        <v>2</v>
      </c>
      <c r="L1443" s="3">
        <v>0</v>
      </c>
      <c r="M1443" s="5" t="s">
        <v>30</v>
      </c>
      <c r="N1443" s="4">
        <v>2</v>
      </c>
      <c r="O1443" s="4" t="s">
        <v>117</v>
      </c>
      <c r="P1443" s="3" t="s">
        <v>52</v>
      </c>
      <c r="Q1443" s="3">
        <v>17</v>
      </c>
      <c r="R1443" s="2" t="s">
        <v>31</v>
      </c>
      <c r="S1443" s="10" t="s">
        <v>32</v>
      </c>
      <c r="T1443" s="4" t="str">
        <f>IF(OR(Tabela1[[#This Row],[Grau de Risco]]="Médio",Tabela1[[#This Row],[Grau de Risco]]="Baixo"),"Não","Sim")</f>
        <v>Não</v>
      </c>
    </row>
    <row r="1444" spans="1:20" hidden="1">
      <c r="A1444" s="28" t="s">
        <v>8</v>
      </c>
      <c r="B1444" s="33" t="s">
        <v>1800</v>
      </c>
      <c r="C1444" s="28" t="s">
        <v>41</v>
      </c>
      <c r="D1444" s="38" t="s">
        <v>1320</v>
      </c>
      <c r="E1444" s="32">
        <v>14</v>
      </c>
      <c r="F1444" s="32">
        <v>7</v>
      </c>
      <c r="G1444" s="32">
        <v>2025</v>
      </c>
      <c r="H1444" s="38" t="s">
        <v>82</v>
      </c>
      <c r="I1444" s="29" t="s">
        <v>1365</v>
      </c>
      <c r="J1444" s="28" t="s">
        <v>61</v>
      </c>
      <c r="K1444" s="32" t="s">
        <v>80</v>
      </c>
      <c r="L1444" s="32" t="s">
        <v>80</v>
      </c>
      <c r="M1444" s="28" t="s">
        <v>30</v>
      </c>
      <c r="N1444" s="28" t="s">
        <v>80</v>
      </c>
      <c r="O1444" s="28" t="s">
        <v>45</v>
      </c>
      <c r="P1444" s="32" t="s">
        <v>31</v>
      </c>
      <c r="Q1444" s="35">
        <v>11</v>
      </c>
      <c r="R1444" s="32" t="s">
        <v>31</v>
      </c>
      <c r="S1444" s="33" t="s">
        <v>4</v>
      </c>
      <c r="T1444" s="4" t="str">
        <f>IF(OR(Tabela1[[#This Row],[Grau de Risco]]="Médio",Tabela1[[#This Row],[Grau de Risco]]="Baixo"),"Não","Sim")</f>
        <v>Não</v>
      </c>
    </row>
    <row r="1445" spans="1:20" hidden="1">
      <c r="A1445" s="28" t="s">
        <v>9</v>
      </c>
      <c r="B1445" s="33" t="s">
        <v>1800</v>
      </c>
      <c r="C1445" s="28" t="s">
        <v>26</v>
      </c>
      <c r="D1445" s="38" t="s">
        <v>1382</v>
      </c>
      <c r="E1445" s="32">
        <v>28</v>
      </c>
      <c r="F1445" s="32">
        <v>5</v>
      </c>
      <c r="G1445" s="32">
        <v>2025</v>
      </c>
      <c r="H1445" s="38" t="s">
        <v>1132</v>
      </c>
      <c r="I1445" s="29" t="s">
        <v>1740</v>
      </c>
      <c r="J1445" s="28" t="s">
        <v>38</v>
      </c>
      <c r="K1445" s="32">
        <v>6</v>
      </c>
      <c r="L1445" s="32" t="s">
        <v>80</v>
      </c>
      <c r="M1445" s="28" t="s">
        <v>30</v>
      </c>
      <c r="N1445" s="28" t="s">
        <v>80</v>
      </c>
      <c r="O1445" s="28"/>
      <c r="P1445" s="32" t="s">
        <v>52</v>
      </c>
      <c r="Q1445" s="35">
        <v>11</v>
      </c>
      <c r="R1445" s="32" t="s">
        <v>31</v>
      </c>
      <c r="S1445" s="33" t="s">
        <v>4</v>
      </c>
      <c r="T1445" s="4" t="str">
        <f>IF(OR(Tabela1[[#This Row],[Grau de Risco]]="Médio",Tabela1[[#This Row],[Grau de Risco]]="Baixo"),"Não","Sim")</f>
        <v>Não</v>
      </c>
    </row>
    <row r="1446" spans="1:20">
      <c r="A1446" s="28" t="s">
        <v>7</v>
      </c>
      <c r="B1446" s="10" t="s">
        <v>1809</v>
      </c>
      <c r="C1446" s="28" t="s">
        <v>26</v>
      </c>
      <c r="D1446" s="28" t="s">
        <v>1320</v>
      </c>
      <c r="E1446" s="32">
        <v>29</v>
      </c>
      <c r="F1446" s="32">
        <v>9</v>
      </c>
      <c r="G1446" s="32">
        <v>2025</v>
      </c>
      <c r="H1446" s="34" t="s">
        <v>48</v>
      </c>
      <c r="I1446" s="29" t="s">
        <v>1469</v>
      </c>
      <c r="J1446" s="28" t="s">
        <v>229</v>
      </c>
      <c r="K1446" s="32"/>
      <c r="L1446" s="32"/>
      <c r="M1446" s="28"/>
      <c r="N1446" s="28"/>
      <c r="O1446" s="28" t="s">
        <v>4</v>
      </c>
      <c r="P1446" s="32"/>
      <c r="Q1446" s="35">
        <v>16</v>
      </c>
      <c r="R1446" s="3" t="s">
        <v>52</v>
      </c>
      <c r="S1446" s="33" t="s">
        <v>63</v>
      </c>
      <c r="T1446" s="4" t="str">
        <f>IF(OR(Tabela1[[#This Row],[Grau de Risco]]="Médio",Tabela1[[#This Row],[Grau de Risco]]="Baixo"),"Não","Sim")</f>
        <v>Não</v>
      </c>
    </row>
    <row r="1447" spans="1:20" hidden="1">
      <c r="A1447" s="28" t="s">
        <v>7</v>
      </c>
      <c r="B1447" s="33" t="s">
        <v>1800</v>
      </c>
      <c r="C1447" s="4" t="s">
        <v>41</v>
      </c>
      <c r="D1447" s="38" t="s">
        <v>1320</v>
      </c>
      <c r="E1447" s="32">
        <v>30</v>
      </c>
      <c r="F1447" s="32">
        <v>6</v>
      </c>
      <c r="G1447" s="32">
        <v>2025</v>
      </c>
      <c r="H1447" s="38" t="s">
        <v>33</v>
      </c>
      <c r="I1447" s="29" t="s">
        <v>1329</v>
      </c>
      <c r="J1447" s="28" t="s">
        <v>835</v>
      </c>
      <c r="K1447" s="32" t="s">
        <v>80</v>
      </c>
      <c r="L1447" s="32" t="s">
        <v>80</v>
      </c>
      <c r="M1447" s="28" t="s">
        <v>30</v>
      </c>
      <c r="N1447" s="28" t="s">
        <v>80</v>
      </c>
      <c r="O1447" s="28" t="s">
        <v>167</v>
      </c>
      <c r="P1447" s="32" t="s">
        <v>44</v>
      </c>
      <c r="Q1447" s="35">
        <v>5</v>
      </c>
      <c r="R1447" s="32" t="s">
        <v>102</v>
      </c>
      <c r="S1447" s="33" t="s">
        <v>32</v>
      </c>
      <c r="T1447" s="4" t="str">
        <f>IF(OR(Tabela1[[#This Row],[Grau de Risco]]="Médio",Tabela1[[#This Row],[Grau de Risco]]="Baixo"),"Não","Sim")</f>
        <v>Sim</v>
      </c>
    </row>
    <row r="1448" spans="1:20" hidden="1">
      <c r="A1448" s="28" t="s">
        <v>7</v>
      </c>
      <c r="B1448" s="33" t="s">
        <v>1800</v>
      </c>
      <c r="C1448" s="28" t="s">
        <v>125</v>
      </c>
      <c r="D1448" s="38" t="s">
        <v>1320</v>
      </c>
      <c r="E1448" s="32">
        <v>16</v>
      </c>
      <c r="F1448" s="32">
        <v>6</v>
      </c>
      <c r="G1448" s="32">
        <v>2025</v>
      </c>
      <c r="H1448" s="38" t="s">
        <v>1132</v>
      </c>
      <c r="I1448" s="29" t="s">
        <v>1307</v>
      </c>
      <c r="J1448" s="4" t="s">
        <v>79</v>
      </c>
      <c r="K1448" s="32" t="s">
        <v>80</v>
      </c>
      <c r="L1448" s="32" t="s">
        <v>80</v>
      </c>
      <c r="M1448" s="28" t="s">
        <v>30</v>
      </c>
      <c r="N1448" s="28" t="s">
        <v>80</v>
      </c>
      <c r="O1448" s="28" t="s">
        <v>4</v>
      </c>
      <c r="P1448" s="32" t="s">
        <v>52</v>
      </c>
      <c r="Q1448" s="35">
        <v>15</v>
      </c>
      <c r="R1448" s="32" t="s">
        <v>52</v>
      </c>
      <c r="S1448" s="33" t="s">
        <v>63</v>
      </c>
      <c r="T1448" s="4" t="str">
        <f>IF(OR(Tabela1[[#This Row],[Grau de Risco]]="Médio",Tabela1[[#This Row],[Grau de Risco]]="Baixo"),"Não","Sim")</f>
        <v>Não</v>
      </c>
    </row>
    <row r="1449" spans="1:20" hidden="1">
      <c r="A1449" s="28" t="s">
        <v>8</v>
      </c>
      <c r="B1449" s="33" t="s">
        <v>1800</v>
      </c>
      <c r="C1449" s="28" t="s">
        <v>252</v>
      </c>
      <c r="D1449" s="38" t="s">
        <v>1409</v>
      </c>
      <c r="E1449" s="32">
        <v>13</v>
      </c>
      <c r="F1449" s="32">
        <v>2</v>
      </c>
      <c r="G1449" s="32">
        <v>2025</v>
      </c>
      <c r="H1449" s="38" t="s">
        <v>66</v>
      </c>
      <c r="I1449" s="29" t="s">
        <v>1162</v>
      </c>
      <c r="J1449" s="28" t="s">
        <v>111</v>
      </c>
      <c r="K1449" s="32" t="s">
        <v>80</v>
      </c>
      <c r="L1449" s="32" t="s">
        <v>80</v>
      </c>
      <c r="M1449" s="28" t="s">
        <v>30</v>
      </c>
      <c r="N1449" s="28" t="s">
        <v>80</v>
      </c>
      <c r="O1449" s="28"/>
      <c r="P1449" s="32" t="s">
        <v>52</v>
      </c>
      <c r="Q1449" s="35">
        <v>14</v>
      </c>
      <c r="R1449" s="32" t="s">
        <v>52</v>
      </c>
      <c r="S1449" s="33" t="s">
        <v>32</v>
      </c>
      <c r="T1449" s="4" t="str">
        <f>IF(OR(Tabela1[[#This Row],[Grau de Risco]]="Médio",Tabela1[[#This Row],[Grau de Risco]]="Baixo"),"Não","Sim")</f>
        <v>Não</v>
      </c>
    </row>
    <row r="1450" spans="1:20" hidden="1">
      <c r="A1450" s="38" t="s">
        <v>8</v>
      </c>
      <c r="B1450" s="58" t="s">
        <v>1800</v>
      </c>
      <c r="C1450" s="38" t="s">
        <v>41</v>
      </c>
      <c r="D1450" s="38" t="s">
        <v>1393</v>
      </c>
      <c r="E1450" s="38">
        <v>25</v>
      </c>
      <c r="F1450" s="38">
        <v>11</v>
      </c>
      <c r="G1450" s="38">
        <v>2025</v>
      </c>
      <c r="H1450" s="38" t="s">
        <v>48</v>
      </c>
      <c r="I1450" t="s">
        <v>1542</v>
      </c>
      <c r="J1450" s="38" t="s">
        <v>169</v>
      </c>
      <c r="K1450" s="38" t="s">
        <v>80</v>
      </c>
      <c r="L1450" s="38" t="s">
        <v>80</v>
      </c>
      <c r="M1450" s="38" t="s">
        <v>30</v>
      </c>
      <c r="N1450" s="38" t="s">
        <v>80</v>
      </c>
      <c r="O1450" s="38" t="s">
        <v>45</v>
      </c>
      <c r="P1450" s="50" t="s">
        <v>44</v>
      </c>
      <c r="Q1450" s="38">
        <v>11</v>
      </c>
      <c r="R1450" s="32" t="s">
        <v>31</v>
      </c>
      <c r="S1450" s="38" t="s">
        <v>56</v>
      </c>
      <c r="T1450" s="4" t="str">
        <f>IF(OR(Tabela1[[#This Row],[Grau de Risco]]="Médio",Tabela1[[#This Row],[Grau de Risco]]="Baixo"),"Não","Sim")</f>
        <v>Não</v>
      </c>
    </row>
    <row r="1451" spans="1:20" hidden="1">
      <c r="A1451" s="38" t="s">
        <v>7</v>
      </c>
      <c r="B1451" s="38" t="s">
        <v>1800</v>
      </c>
      <c r="C1451" s="38" t="s">
        <v>41</v>
      </c>
      <c r="D1451" s="38" t="s">
        <v>36</v>
      </c>
      <c r="E1451" s="38">
        <v>22</v>
      </c>
      <c r="F1451" s="38">
        <v>11</v>
      </c>
      <c r="G1451" s="38">
        <v>2025</v>
      </c>
      <c r="H1451" s="38" t="s">
        <v>27</v>
      </c>
      <c r="I1451" s="49" t="s">
        <v>1543</v>
      </c>
      <c r="J1451" s="38" t="s">
        <v>69</v>
      </c>
      <c r="K1451" s="38" t="s">
        <v>80</v>
      </c>
      <c r="L1451" s="38" t="s">
        <v>80</v>
      </c>
      <c r="M1451" s="38" t="s">
        <v>30</v>
      </c>
      <c r="N1451" s="38" t="s">
        <v>80</v>
      </c>
      <c r="O1451" s="42" t="s">
        <v>167</v>
      </c>
      <c r="P1451" s="32" t="s">
        <v>31</v>
      </c>
      <c r="Q1451" s="38">
        <v>11</v>
      </c>
      <c r="R1451" s="32" t="s">
        <v>31</v>
      </c>
      <c r="S1451" s="38" t="s">
        <v>56</v>
      </c>
      <c r="T1451" s="4" t="str">
        <f>IF(OR(Tabela1[[#This Row],[Grau de Risco]]="Médio",Tabela1[[#This Row],[Grau de Risco]]="Baixo"),"Não","Sim")</f>
        <v>Não</v>
      </c>
    </row>
    <row r="1452" spans="1:20">
      <c r="A1452" s="4" t="s">
        <v>7</v>
      </c>
      <c r="B1452" s="10" t="s">
        <v>1809</v>
      </c>
      <c r="C1452" s="4" t="s">
        <v>58</v>
      </c>
      <c r="D1452" s="38" t="s">
        <v>1382</v>
      </c>
      <c r="E1452" s="3">
        <v>15</v>
      </c>
      <c r="F1452" s="3">
        <v>1</v>
      </c>
      <c r="G1452" s="3">
        <v>2020</v>
      </c>
      <c r="H1452" s="34" t="s">
        <v>59</v>
      </c>
      <c r="I1452" s="7" t="s">
        <v>60</v>
      </c>
      <c r="J1452" s="4" t="s">
        <v>61</v>
      </c>
      <c r="K1452" s="3" t="s">
        <v>62</v>
      </c>
      <c r="L1452" s="3" t="s">
        <v>44</v>
      </c>
      <c r="M1452" s="4" t="s">
        <v>30</v>
      </c>
      <c r="N1452" s="4"/>
      <c r="O1452" s="4" t="s">
        <v>4</v>
      </c>
      <c r="P1452" s="3" t="s">
        <v>52</v>
      </c>
      <c r="Q1452" s="11">
        <v>4</v>
      </c>
      <c r="R1452" s="3" t="str">
        <f>IF(Q1452="","",IF(Q1452&lt;4,"Crítico",IF(Q1452&lt;9,"Alto",IF(Q1452&lt;14,"Médio","Baixo"))))</f>
        <v>Alto</v>
      </c>
      <c r="S1452" s="10" t="s">
        <v>63</v>
      </c>
      <c r="T1452" s="4" t="str">
        <f>IF(OR(Tabela1[[#This Row],[Grau de Risco]]="Médio",Tabela1[[#This Row],[Grau de Risco]]="Baixo"),"Não","Sim")</f>
        <v>Sim</v>
      </c>
    </row>
    <row r="1453" spans="1:20">
      <c r="A1453" s="4" t="s">
        <v>2</v>
      </c>
      <c r="B1453" s="10" t="s">
        <v>1809</v>
      </c>
      <c r="C1453" s="4" t="s">
        <v>64</v>
      </c>
      <c r="D1453" s="58" t="s">
        <v>1409</v>
      </c>
      <c r="E1453" s="3">
        <v>20</v>
      </c>
      <c r="F1453" s="3">
        <v>2</v>
      </c>
      <c r="G1453" s="3">
        <v>2020</v>
      </c>
      <c r="H1453" s="60" t="s">
        <v>109</v>
      </c>
      <c r="I1453" s="7" t="s">
        <v>110</v>
      </c>
      <c r="J1453" s="4" t="s">
        <v>111</v>
      </c>
      <c r="K1453" s="3">
        <v>7</v>
      </c>
      <c r="L1453" s="3">
        <v>0</v>
      </c>
      <c r="M1453" s="4" t="s">
        <v>30</v>
      </c>
      <c r="N1453" s="4"/>
      <c r="O1453" s="4" t="s">
        <v>55</v>
      </c>
      <c r="P1453" s="3" t="s">
        <v>52</v>
      </c>
      <c r="Q1453" s="11">
        <v>18</v>
      </c>
      <c r="R1453" s="3" t="str">
        <f>IF(Q1453="","",IF(Q1453&lt;4,"Crítico",IF(Q1453&lt;9,"Alto",IF(Q1453&lt;14,"Médio","Baixo"))))</f>
        <v>Baixo</v>
      </c>
      <c r="S1453" s="10" t="s">
        <v>63</v>
      </c>
      <c r="T1453" s="4" t="str">
        <f>IF(OR(Tabela1[[#This Row],[Grau de Risco]]="Médio",Tabela1[[#This Row],[Grau de Risco]]="Baixo"),"Não","Sim")</f>
        <v>Não</v>
      </c>
    </row>
    <row r="1454" spans="1:20" hidden="1">
      <c r="A1454" s="4" t="s">
        <v>2</v>
      </c>
      <c r="B1454" s="10" t="s">
        <v>1793</v>
      </c>
      <c r="C1454" s="4" t="s">
        <v>118</v>
      </c>
      <c r="D1454" s="38" t="s">
        <v>1382</v>
      </c>
      <c r="E1454" s="3">
        <v>12</v>
      </c>
      <c r="F1454" s="3">
        <v>8</v>
      </c>
      <c r="G1454" s="3">
        <v>2020</v>
      </c>
      <c r="H1454" s="4" t="s">
        <v>27</v>
      </c>
      <c r="I1454" s="7" t="s">
        <v>119</v>
      </c>
      <c r="J1454" s="4" t="s">
        <v>111</v>
      </c>
      <c r="K1454" s="3">
        <v>1</v>
      </c>
      <c r="L1454" s="3">
        <v>0</v>
      </c>
      <c r="M1454" s="4" t="s">
        <v>30</v>
      </c>
      <c r="N1454" s="4"/>
      <c r="O1454" s="4" t="s">
        <v>55</v>
      </c>
      <c r="P1454" s="3" t="s">
        <v>52</v>
      </c>
      <c r="Q1454" s="11">
        <v>18</v>
      </c>
      <c r="R1454" s="3" t="str">
        <f>IF(Q1454="","",IF(Q1454&lt;4,"Crítico",IF(Q1454&lt;9,"Alto",IF(Q1454&lt;14,"Médio","Baixo"))))</f>
        <v>Baixo</v>
      </c>
      <c r="S1454" s="10" t="s">
        <v>63</v>
      </c>
      <c r="T1454" s="4" t="str">
        <f>IF(OR(Tabela1[[#This Row],[Grau de Risco]]="Médio",Tabela1[[#This Row],[Grau de Risco]]="Baixo"),"Não","Sim")</f>
        <v>Não</v>
      </c>
    </row>
    <row r="1455" spans="1:20" hidden="1">
      <c r="A1455" s="5" t="s">
        <v>9</v>
      </c>
      <c r="B1455" s="6" t="s">
        <v>1793</v>
      </c>
      <c r="C1455" s="5" t="s">
        <v>125</v>
      </c>
      <c r="D1455" s="38" t="s">
        <v>1320</v>
      </c>
      <c r="E1455" s="2">
        <v>20</v>
      </c>
      <c r="F1455" s="2">
        <v>1</v>
      </c>
      <c r="G1455" s="2">
        <v>2020</v>
      </c>
      <c r="H1455" s="5" t="s">
        <v>48</v>
      </c>
      <c r="I1455" s="5" t="s">
        <v>126</v>
      </c>
      <c r="J1455" s="5" t="s">
        <v>35</v>
      </c>
      <c r="K1455" s="2">
        <v>15</v>
      </c>
      <c r="L1455" s="2">
        <v>0</v>
      </c>
      <c r="M1455" s="5" t="s">
        <v>30</v>
      </c>
      <c r="N1455" s="5">
        <v>0</v>
      </c>
      <c r="O1455" s="5" t="s">
        <v>55</v>
      </c>
      <c r="P1455" s="2" t="s">
        <v>31</v>
      </c>
      <c r="Q1455" s="2">
        <v>13</v>
      </c>
      <c r="R1455" s="2" t="s">
        <v>31</v>
      </c>
      <c r="S1455" s="10" t="s">
        <v>32</v>
      </c>
      <c r="T1455" s="4" t="str">
        <f>IF(OR(Tabela1[[#This Row],[Grau de Risco]]="Médio",Tabela1[[#This Row],[Grau de Risco]]="Baixo"),"Não","Sim")</f>
        <v>Não</v>
      </c>
    </row>
    <row r="1456" spans="1:20" hidden="1">
      <c r="A1456" s="4" t="s">
        <v>8</v>
      </c>
      <c r="B1456" s="4" t="s">
        <v>1793</v>
      </c>
      <c r="C1456" s="5" t="s">
        <v>26</v>
      </c>
      <c r="D1456" s="58" t="s">
        <v>1409</v>
      </c>
      <c r="E1456" s="3">
        <v>30</v>
      </c>
      <c r="F1456" s="3">
        <v>1</v>
      </c>
      <c r="G1456" s="3">
        <v>2020</v>
      </c>
      <c r="H1456" s="4" t="s">
        <v>127</v>
      </c>
      <c r="I1456" s="7" t="s">
        <v>128</v>
      </c>
      <c r="J1456" s="4" t="s">
        <v>35</v>
      </c>
      <c r="K1456" s="3">
        <v>0</v>
      </c>
      <c r="L1456" s="3">
        <v>0</v>
      </c>
      <c r="M1456" s="5" t="s">
        <v>30</v>
      </c>
      <c r="N1456" s="4">
        <v>0</v>
      </c>
      <c r="O1456" s="4" t="s">
        <v>129</v>
      </c>
      <c r="P1456" s="3" t="s">
        <v>52</v>
      </c>
      <c r="Q1456" s="3">
        <v>24</v>
      </c>
      <c r="R1456" s="2" t="s">
        <v>52</v>
      </c>
      <c r="S1456" s="10" t="s">
        <v>32</v>
      </c>
      <c r="T1456" s="4" t="str">
        <f>IF(OR(Tabela1[[#This Row],[Grau de Risco]]="Médio",Tabela1[[#This Row],[Grau de Risco]]="Baixo"),"Não","Sim")</f>
        <v>Não</v>
      </c>
    </row>
    <row r="1457" spans="1:20">
      <c r="A1457" s="4" t="s">
        <v>9</v>
      </c>
      <c r="B1457" s="10" t="s">
        <v>1809</v>
      </c>
      <c r="C1457" s="5" t="s">
        <v>46</v>
      </c>
      <c r="D1457" s="38" t="s">
        <v>1393</v>
      </c>
      <c r="E1457" s="3">
        <v>9</v>
      </c>
      <c r="F1457" s="3">
        <v>2</v>
      </c>
      <c r="G1457" s="3">
        <v>2021</v>
      </c>
      <c r="H1457" s="4" t="s">
        <v>86</v>
      </c>
      <c r="I1457" s="7" t="s">
        <v>170</v>
      </c>
      <c r="J1457" s="4" t="s">
        <v>35</v>
      </c>
      <c r="K1457" s="3">
        <v>65</v>
      </c>
      <c r="L1457" s="3">
        <v>0</v>
      </c>
      <c r="M1457" s="5" t="s">
        <v>30</v>
      </c>
      <c r="N1457" s="4">
        <v>65</v>
      </c>
      <c r="O1457" s="4" t="s">
        <v>101</v>
      </c>
      <c r="P1457" s="3" t="s">
        <v>31</v>
      </c>
      <c r="Q1457" s="3">
        <v>9</v>
      </c>
      <c r="R1457" s="2" t="s">
        <v>31</v>
      </c>
      <c r="S1457" s="10" t="s">
        <v>32</v>
      </c>
      <c r="T1457" s="4" t="str">
        <f>IF(OR(Tabela1[[#This Row],[Grau de Risco]]="Médio",Tabela1[[#This Row],[Grau de Risco]]="Baixo"),"Não","Sim")</f>
        <v>Não</v>
      </c>
    </row>
    <row r="1458" spans="1:20" hidden="1">
      <c r="A1458" s="5" t="s">
        <v>2</v>
      </c>
      <c r="B1458" s="6" t="s">
        <v>1805</v>
      </c>
      <c r="C1458" s="5" t="s">
        <v>26</v>
      </c>
      <c r="D1458" s="38" t="s">
        <v>1320</v>
      </c>
      <c r="E1458" s="2">
        <v>4</v>
      </c>
      <c r="F1458" s="2">
        <v>1</v>
      </c>
      <c r="G1458" s="2">
        <v>2021</v>
      </c>
      <c r="H1458" s="4" t="s">
        <v>27</v>
      </c>
      <c r="I1458" s="5" t="s">
        <v>173</v>
      </c>
      <c r="J1458" s="5" t="s">
        <v>54</v>
      </c>
      <c r="K1458" s="2">
        <v>14</v>
      </c>
      <c r="L1458" s="2">
        <v>0</v>
      </c>
      <c r="M1458" s="5" t="s">
        <v>30</v>
      </c>
      <c r="N1458" s="5">
        <v>0</v>
      </c>
      <c r="O1458" s="5" t="s">
        <v>39</v>
      </c>
      <c r="P1458" s="2" t="s">
        <v>31</v>
      </c>
      <c r="Q1458" s="2">
        <v>13</v>
      </c>
      <c r="R1458" s="2" t="s">
        <v>31</v>
      </c>
      <c r="S1458" s="5" t="s">
        <v>56</v>
      </c>
      <c r="T1458" s="4" t="str">
        <f>IF(OR(Tabela1[[#This Row],[Grau de Risco]]="Médio",Tabela1[[#This Row],[Grau de Risco]]="Baixo"),"Não","Sim")</f>
        <v>Não</v>
      </c>
    </row>
    <row r="1459" spans="1:20" hidden="1">
      <c r="A1459" s="5" t="s">
        <v>175</v>
      </c>
      <c r="B1459" s="6" t="s">
        <v>1805</v>
      </c>
      <c r="C1459" s="5" t="s">
        <v>26</v>
      </c>
      <c r="D1459" s="38" t="s">
        <v>47</v>
      </c>
      <c r="E1459" s="2">
        <v>1</v>
      </c>
      <c r="F1459" s="2">
        <v>10</v>
      </c>
      <c r="G1459" s="2">
        <v>2021</v>
      </c>
      <c r="H1459" s="36" t="s">
        <v>66</v>
      </c>
      <c r="I1459" s="5" t="s">
        <v>176</v>
      </c>
      <c r="J1459" s="5" t="s">
        <v>54</v>
      </c>
      <c r="K1459" s="2">
        <v>0</v>
      </c>
      <c r="L1459" s="2">
        <v>0</v>
      </c>
      <c r="M1459" s="5" t="s">
        <v>30</v>
      </c>
      <c r="N1459" s="5">
        <v>0</v>
      </c>
      <c r="O1459" s="5" t="s">
        <v>4</v>
      </c>
      <c r="P1459" s="2" t="s">
        <v>31</v>
      </c>
      <c r="Q1459" s="2">
        <v>13</v>
      </c>
      <c r="R1459" s="2" t="s">
        <v>31</v>
      </c>
      <c r="S1459" s="5" t="s">
        <v>177</v>
      </c>
      <c r="T1459" s="4" t="str">
        <f>IF(OR(Tabela1[[#This Row],[Grau de Risco]]="Médio",Tabela1[[#This Row],[Grau de Risco]]="Baixo"),"Não","Sim")</f>
        <v>Não</v>
      </c>
    </row>
    <row r="1460" spans="1:20" hidden="1">
      <c r="A1460" s="5" t="s">
        <v>175</v>
      </c>
      <c r="B1460" s="6" t="s">
        <v>1805</v>
      </c>
      <c r="C1460" s="5" t="s">
        <v>26</v>
      </c>
      <c r="D1460" s="38" t="s">
        <v>47</v>
      </c>
      <c r="E1460" s="2">
        <v>1</v>
      </c>
      <c r="F1460" s="2">
        <v>10</v>
      </c>
      <c r="G1460" s="2">
        <v>2021</v>
      </c>
      <c r="H1460" s="36" t="s">
        <v>66</v>
      </c>
      <c r="I1460" s="5" t="s">
        <v>176</v>
      </c>
      <c r="J1460" s="5" t="s">
        <v>54</v>
      </c>
      <c r="K1460" s="2">
        <v>0</v>
      </c>
      <c r="L1460" s="2">
        <v>0</v>
      </c>
      <c r="M1460" s="5" t="s">
        <v>30</v>
      </c>
      <c r="N1460" s="5">
        <v>0</v>
      </c>
      <c r="O1460" s="5" t="s">
        <v>4</v>
      </c>
      <c r="P1460" s="2" t="s">
        <v>31</v>
      </c>
      <c r="Q1460" s="2">
        <v>13</v>
      </c>
      <c r="R1460" s="2" t="s">
        <v>31</v>
      </c>
      <c r="S1460" s="5" t="s">
        <v>178</v>
      </c>
      <c r="T1460" s="4" t="str">
        <f>IF(OR(Tabela1[[#This Row],[Grau de Risco]]="Médio",Tabela1[[#This Row],[Grau de Risco]]="Baixo"),"Não","Sim")</f>
        <v>Não</v>
      </c>
    </row>
    <row r="1461" spans="1:20" hidden="1">
      <c r="A1461" s="5" t="s">
        <v>175</v>
      </c>
      <c r="B1461" s="6" t="s">
        <v>1805</v>
      </c>
      <c r="C1461" s="5" t="s">
        <v>26</v>
      </c>
      <c r="D1461" s="38" t="s">
        <v>47</v>
      </c>
      <c r="E1461" s="2">
        <v>1</v>
      </c>
      <c r="F1461" s="2">
        <v>10</v>
      </c>
      <c r="G1461" s="2">
        <v>2021</v>
      </c>
      <c r="H1461" s="36" t="s">
        <v>66</v>
      </c>
      <c r="I1461" s="5" t="s">
        <v>176</v>
      </c>
      <c r="J1461" s="5" t="s">
        <v>54</v>
      </c>
      <c r="K1461" s="2">
        <v>0</v>
      </c>
      <c r="L1461" s="2">
        <v>0</v>
      </c>
      <c r="M1461" s="5" t="s">
        <v>30</v>
      </c>
      <c r="N1461" s="5">
        <v>0</v>
      </c>
      <c r="O1461" s="5" t="s">
        <v>4</v>
      </c>
      <c r="P1461" s="2" t="s">
        <v>31</v>
      </c>
      <c r="Q1461" s="2">
        <v>13</v>
      </c>
      <c r="R1461" s="2" t="s">
        <v>31</v>
      </c>
      <c r="S1461" s="5" t="s">
        <v>144</v>
      </c>
      <c r="T1461" s="4" t="str">
        <f>IF(OR(Tabela1[[#This Row],[Grau de Risco]]="Médio",Tabela1[[#This Row],[Grau de Risco]]="Baixo"),"Não","Sim")</f>
        <v>Não</v>
      </c>
    </row>
    <row r="1462" spans="1:20" hidden="1">
      <c r="A1462" s="5" t="s">
        <v>175</v>
      </c>
      <c r="B1462" s="6" t="s">
        <v>1805</v>
      </c>
      <c r="C1462" s="5" t="s">
        <v>26</v>
      </c>
      <c r="D1462" s="38" t="s">
        <v>1393</v>
      </c>
      <c r="E1462" s="2">
        <v>4</v>
      </c>
      <c r="F1462" s="2">
        <v>10</v>
      </c>
      <c r="G1462" s="2">
        <v>2021</v>
      </c>
      <c r="H1462" s="36" t="s">
        <v>112</v>
      </c>
      <c r="I1462" s="5" t="s">
        <v>176</v>
      </c>
      <c r="J1462" s="5" t="s">
        <v>54</v>
      </c>
      <c r="K1462" s="2">
        <v>0</v>
      </c>
      <c r="L1462" s="2">
        <v>0</v>
      </c>
      <c r="M1462" s="5" t="s">
        <v>30</v>
      </c>
      <c r="N1462" s="5">
        <v>0</v>
      </c>
      <c r="O1462" s="5" t="s">
        <v>4</v>
      </c>
      <c r="P1462" s="2" t="s">
        <v>31</v>
      </c>
      <c r="Q1462" s="2">
        <v>13</v>
      </c>
      <c r="R1462" s="2" t="s">
        <v>31</v>
      </c>
      <c r="S1462" s="10" t="s">
        <v>32</v>
      </c>
      <c r="T1462" s="4" t="str">
        <f>IF(OR(Tabela1[[#This Row],[Grau de Risco]]="Médio",Tabela1[[#This Row],[Grau de Risco]]="Baixo"),"Não","Sim")</f>
        <v>Não</v>
      </c>
    </row>
    <row r="1463" spans="1:20">
      <c r="A1463" s="4" t="s">
        <v>7</v>
      </c>
      <c r="B1463" s="10" t="s">
        <v>1809</v>
      </c>
      <c r="C1463" s="4" t="s">
        <v>118</v>
      </c>
      <c r="D1463" s="58" t="s">
        <v>1409</v>
      </c>
      <c r="E1463" s="3">
        <v>9</v>
      </c>
      <c r="F1463" s="3">
        <v>12</v>
      </c>
      <c r="G1463" s="3">
        <v>2021</v>
      </c>
      <c r="H1463" s="36" t="s">
        <v>33</v>
      </c>
      <c r="I1463" s="7" t="s">
        <v>183</v>
      </c>
      <c r="J1463" s="4" t="s">
        <v>111</v>
      </c>
      <c r="K1463" s="3" t="s">
        <v>62</v>
      </c>
      <c r="L1463" s="3" t="s">
        <v>44</v>
      </c>
      <c r="M1463" s="4" t="s">
        <v>30</v>
      </c>
      <c r="N1463" s="4"/>
      <c r="O1463" s="4" t="s">
        <v>77</v>
      </c>
      <c r="P1463" s="3" t="s">
        <v>52</v>
      </c>
      <c r="Q1463" s="11">
        <v>9</v>
      </c>
      <c r="R1463" s="3" t="str">
        <f>IF(Q1463="","",IF(Q1463&lt;4,"Crítico",IF(Q1463&lt;9,"Alto",IF(Q1463&lt;14,"Médio","Baixo"))))</f>
        <v>Médio</v>
      </c>
      <c r="S1463" s="10" t="s">
        <v>63</v>
      </c>
      <c r="T1463" s="4" t="str">
        <f>IF(OR(Tabela1[[#This Row],[Grau de Risco]]="Médio",Tabela1[[#This Row],[Grau de Risco]]="Baixo"),"Não","Sim")</f>
        <v>Não</v>
      </c>
    </row>
    <row r="1464" spans="1:20">
      <c r="A1464" s="4" t="s">
        <v>7</v>
      </c>
      <c r="B1464" s="10" t="s">
        <v>1809</v>
      </c>
      <c r="C1464" s="4" t="s">
        <v>118</v>
      </c>
      <c r="D1464" s="38" t="s">
        <v>1393</v>
      </c>
      <c r="E1464" s="3">
        <v>12</v>
      </c>
      <c r="F1464" s="3">
        <v>1</v>
      </c>
      <c r="G1464" s="3">
        <v>2021</v>
      </c>
      <c r="H1464" s="4" t="s">
        <v>27</v>
      </c>
      <c r="I1464" s="7" t="s">
        <v>197</v>
      </c>
      <c r="J1464" s="4" t="s">
        <v>61</v>
      </c>
      <c r="K1464" s="3" t="s">
        <v>62</v>
      </c>
      <c r="L1464" s="3" t="s">
        <v>44</v>
      </c>
      <c r="M1464" s="4" t="s">
        <v>30</v>
      </c>
      <c r="N1464" s="4"/>
      <c r="O1464" s="4" t="s">
        <v>39</v>
      </c>
      <c r="P1464" s="3" t="s">
        <v>52</v>
      </c>
      <c r="Q1464" s="11">
        <v>21</v>
      </c>
      <c r="R1464" s="3" t="str">
        <f>IF(Q1464="","",IF(Q1464&lt;4,"Crítico",IF(Q1464&lt;9,"Alto",IF(Q1464&lt;14,"Médio","Baixo"))))</f>
        <v>Baixo</v>
      </c>
      <c r="S1464" s="10" t="s">
        <v>63</v>
      </c>
      <c r="T1464" s="4" t="str">
        <f>IF(OR(Tabela1[[#This Row],[Grau de Risco]]="Médio",Tabela1[[#This Row],[Grau de Risco]]="Baixo"),"Não","Sim")</f>
        <v>Não</v>
      </c>
    </row>
    <row r="1465" spans="1:20">
      <c r="A1465" s="4" t="s">
        <v>2</v>
      </c>
      <c r="B1465" s="10" t="s">
        <v>1809</v>
      </c>
      <c r="C1465" s="4" t="s">
        <v>118</v>
      </c>
      <c r="D1465" s="38" t="s">
        <v>1382</v>
      </c>
      <c r="E1465" s="3">
        <v>28</v>
      </c>
      <c r="F1465" s="3">
        <v>7</v>
      </c>
      <c r="G1465" s="3">
        <v>2021</v>
      </c>
      <c r="H1465" s="36" t="s">
        <v>66</v>
      </c>
      <c r="I1465" s="7" t="s">
        <v>200</v>
      </c>
      <c r="J1465" s="4" t="s">
        <v>115</v>
      </c>
      <c r="K1465" s="3">
        <v>10</v>
      </c>
      <c r="L1465" s="3">
        <v>0</v>
      </c>
      <c r="M1465" s="4" t="s">
        <v>30</v>
      </c>
      <c r="N1465" s="4"/>
      <c r="O1465" s="4" t="s">
        <v>85</v>
      </c>
      <c r="P1465" s="3" t="s">
        <v>102</v>
      </c>
      <c r="Q1465" s="11">
        <v>12</v>
      </c>
      <c r="R1465" s="3" t="str">
        <f>IF(Q1465="","",IF(Q1465&lt;4,"Crítico",IF(Q1465&lt;9,"Alto",IF(Q1465&lt;14,"Médio","Baixo"))))</f>
        <v>Médio</v>
      </c>
      <c r="S1465" s="10" t="s">
        <v>63</v>
      </c>
      <c r="T1465" s="4" t="str">
        <f>IF(OR(Tabela1[[#This Row],[Grau de Risco]]="Médio",Tabela1[[#This Row],[Grau de Risco]]="Baixo"),"Não","Sim")</f>
        <v>Não</v>
      </c>
    </row>
    <row r="1466" spans="1:20" hidden="1">
      <c r="A1466" s="4" t="s">
        <v>8</v>
      </c>
      <c r="B1466" s="10" t="s">
        <v>1793</v>
      </c>
      <c r="C1466" s="4" t="s">
        <v>64</v>
      </c>
      <c r="D1466" s="38" t="s">
        <v>47</v>
      </c>
      <c r="E1466" s="3">
        <v>10</v>
      </c>
      <c r="F1466" s="3">
        <v>9</v>
      </c>
      <c r="G1466" s="3">
        <v>2021</v>
      </c>
      <c r="H1466" s="4" t="s">
        <v>27</v>
      </c>
      <c r="I1466" s="7" t="s">
        <v>207</v>
      </c>
      <c r="J1466" s="4" t="s">
        <v>111</v>
      </c>
      <c r="K1466" s="3">
        <v>0</v>
      </c>
      <c r="L1466" s="3">
        <v>0</v>
      </c>
      <c r="M1466" s="4" t="s">
        <v>30</v>
      </c>
      <c r="N1466" s="4"/>
      <c r="O1466" s="4" t="s">
        <v>55</v>
      </c>
      <c r="P1466" s="3" t="s">
        <v>52</v>
      </c>
      <c r="Q1466" s="11">
        <v>13</v>
      </c>
      <c r="R1466" s="3" t="str">
        <f>IF(Q1466="","",IF(Q1466&lt;4,"Crítico",IF(Q1466&lt;9,"Alto",IF(Q1466&lt;14,"Médio","Baixo"))))</f>
        <v>Médio</v>
      </c>
      <c r="S1466" s="10" t="s">
        <v>63</v>
      </c>
      <c r="T1466" s="4" t="str">
        <f>IF(OR(Tabela1[[#This Row],[Grau de Risco]]="Médio",Tabela1[[#This Row],[Grau de Risco]]="Baixo"),"Não","Sim")</f>
        <v>Não</v>
      </c>
    </row>
    <row r="1467" spans="1:20">
      <c r="A1467" s="4" t="s">
        <v>8</v>
      </c>
      <c r="B1467" s="10" t="s">
        <v>1809</v>
      </c>
      <c r="C1467" s="4" t="s">
        <v>118</v>
      </c>
      <c r="D1467" s="38" t="s">
        <v>47</v>
      </c>
      <c r="E1467" s="3">
        <v>10</v>
      </c>
      <c r="F1467" s="3">
        <v>12</v>
      </c>
      <c r="G1467" s="3">
        <v>2021</v>
      </c>
      <c r="H1467" s="34" t="s">
        <v>59</v>
      </c>
      <c r="I1467" s="7" t="s">
        <v>211</v>
      </c>
      <c r="J1467" s="4" t="s">
        <v>111</v>
      </c>
      <c r="K1467" s="3">
        <v>0</v>
      </c>
      <c r="L1467" s="3">
        <v>0</v>
      </c>
      <c r="M1467" s="4" t="s">
        <v>30</v>
      </c>
      <c r="N1467" s="4"/>
      <c r="O1467" s="4" t="s">
        <v>55</v>
      </c>
      <c r="P1467" s="3" t="s">
        <v>52</v>
      </c>
      <c r="Q1467" s="11">
        <v>17</v>
      </c>
      <c r="R1467" s="3" t="str">
        <f>IF(Q1467="","",IF(Q1467&lt;4,"Crítico",IF(Q1467&lt;9,"Alto",IF(Q1467&lt;14,"Médio","Baixo"))))</f>
        <v>Baixo</v>
      </c>
      <c r="S1467" s="10" t="s">
        <v>63</v>
      </c>
      <c r="T1467" s="4" t="str">
        <f>IF(OR(Tabela1[[#This Row],[Grau de Risco]]="Médio",Tabela1[[#This Row],[Grau de Risco]]="Baixo"),"Não","Sim")</f>
        <v>Não</v>
      </c>
    </row>
    <row r="1468" spans="1:20">
      <c r="A1468" s="5" t="s">
        <v>2</v>
      </c>
      <c r="B1468" s="10" t="s">
        <v>1809</v>
      </c>
      <c r="C1468" s="5" t="s">
        <v>26</v>
      </c>
      <c r="D1468" s="58" t="s">
        <v>1409</v>
      </c>
      <c r="E1468" s="3">
        <v>21</v>
      </c>
      <c r="F1468" s="2">
        <v>10</v>
      </c>
      <c r="G1468" s="3">
        <v>2021</v>
      </c>
      <c r="H1468" s="34" t="s">
        <v>59</v>
      </c>
      <c r="I1468" s="7" t="s">
        <v>226</v>
      </c>
      <c r="J1468" s="4" t="s">
        <v>76</v>
      </c>
      <c r="K1468" s="3">
        <v>10</v>
      </c>
      <c r="L1468" s="3">
        <v>0</v>
      </c>
      <c r="M1468" s="5" t="s">
        <v>30</v>
      </c>
      <c r="N1468" s="4">
        <v>10</v>
      </c>
      <c r="O1468" s="4" t="s">
        <v>77</v>
      </c>
      <c r="P1468" s="3" t="s">
        <v>31</v>
      </c>
      <c r="Q1468" s="3">
        <v>17</v>
      </c>
      <c r="R1468" s="2" t="s">
        <v>31</v>
      </c>
      <c r="S1468" s="10" t="s">
        <v>32</v>
      </c>
      <c r="T1468" s="4" t="str">
        <f>IF(OR(Tabela1[[#This Row],[Grau de Risco]]="Médio",Tabela1[[#This Row],[Grau de Risco]]="Baixo"),"Não","Sim")</f>
        <v>Não</v>
      </c>
    </row>
    <row r="1469" spans="1:20" hidden="1">
      <c r="A1469" s="4" t="s">
        <v>2</v>
      </c>
      <c r="B1469" s="10" t="s">
        <v>1805</v>
      </c>
      <c r="C1469" s="4" t="s">
        <v>118</v>
      </c>
      <c r="D1469" s="5" t="s">
        <v>36</v>
      </c>
      <c r="E1469" s="3">
        <v>20</v>
      </c>
      <c r="F1469" s="3">
        <v>2</v>
      </c>
      <c r="G1469" s="3">
        <v>2021</v>
      </c>
      <c r="H1469" s="4" t="s">
        <v>27</v>
      </c>
      <c r="I1469" s="7" t="s">
        <v>227</v>
      </c>
      <c r="J1469" s="4" t="s">
        <v>61</v>
      </c>
      <c r="K1469" s="3">
        <v>90</v>
      </c>
      <c r="L1469" s="3">
        <v>0</v>
      </c>
      <c r="M1469" s="4" t="s">
        <v>30</v>
      </c>
      <c r="N1469" s="4"/>
      <c r="O1469" s="4" t="s">
        <v>74</v>
      </c>
      <c r="P1469" s="3" t="s">
        <v>31</v>
      </c>
      <c r="Q1469" s="11">
        <v>6</v>
      </c>
      <c r="R1469" s="3" t="str">
        <f>IF(Q1469="","",IF(Q1469&lt;4,"Crítico",IF(Q1469&lt;9,"Alto",IF(Q1469&lt;14,"Médio","Baixo"))))</f>
        <v>Alto</v>
      </c>
      <c r="S1469" s="10" t="s">
        <v>63</v>
      </c>
      <c r="T1469" s="4" t="str">
        <f>IF(OR(Tabela1[[#This Row],[Grau de Risco]]="Médio",Tabela1[[#This Row],[Grau de Risco]]="Baixo"),"Não","Sim")</f>
        <v>Sim</v>
      </c>
    </row>
    <row r="1470" spans="1:20" hidden="1">
      <c r="A1470" s="4" t="s">
        <v>8</v>
      </c>
      <c r="B1470" s="10" t="s">
        <v>1793</v>
      </c>
      <c r="C1470" s="4" t="s">
        <v>118</v>
      </c>
      <c r="D1470" s="38" t="s">
        <v>1393</v>
      </c>
      <c r="E1470" s="3">
        <v>14</v>
      </c>
      <c r="F1470" s="3">
        <v>9</v>
      </c>
      <c r="G1470" s="3">
        <v>2021</v>
      </c>
      <c r="H1470" s="4" t="s">
        <v>27</v>
      </c>
      <c r="I1470" s="7" t="s">
        <v>232</v>
      </c>
      <c r="J1470" s="4" t="s">
        <v>115</v>
      </c>
      <c r="K1470" s="3">
        <v>0</v>
      </c>
      <c r="L1470" s="3">
        <v>0</v>
      </c>
      <c r="M1470" s="4" t="s">
        <v>30</v>
      </c>
      <c r="N1470" s="4"/>
      <c r="O1470" s="4" t="s">
        <v>45</v>
      </c>
      <c r="P1470" s="3" t="s">
        <v>52</v>
      </c>
      <c r="Q1470" s="11">
        <v>18</v>
      </c>
      <c r="R1470" s="3" t="str">
        <f>IF(Q1470="","",IF(Q1470&lt;4,"Crítico",IF(Q1470&lt;9,"Alto",IF(Q1470&lt;14,"Médio","Baixo"))))</f>
        <v>Baixo</v>
      </c>
      <c r="S1470" s="10" t="s">
        <v>63</v>
      </c>
      <c r="T1470" s="4" t="str">
        <f>IF(OR(Tabela1[[#This Row],[Grau de Risco]]="Médio",Tabela1[[#This Row],[Grau de Risco]]="Baixo"),"Não","Sim")</f>
        <v>Não</v>
      </c>
    </row>
    <row r="1471" spans="1:20" hidden="1">
      <c r="A1471" s="4" t="s">
        <v>10</v>
      </c>
      <c r="B1471" s="10" t="s">
        <v>1805</v>
      </c>
      <c r="C1471" s="4" t="s">
        <v>26</v>
      </c>
      <c r="D1471" s="5" t="s">
        <v>36</v>
      </c>
      <c r="E1471" s="3">
        <v>21</v>
      </c>
      <c r="F1471" s="3">
        <v>8</v>
      </c>
      <c r="G1471" s="3">
        <v>2021</v>
      </c>
      <c r="H1471" s="36" t="s">
        <v>107</v>
      </c>
      <c r="I1471" s="7" t="s">
        <v>237</v>
      </c>
      <c r="J1471" s="4" t="s">
        <v>93</v>
      </c>
      <c r="K1471" s="3" t="s">
        <v>62</v>
      </c>
      <c r="L1471" s="3">
        <v>0</v>
      </c>
      <c r="M1471" s="4" t="s">
        <v>30</v>
      </c>
      <c r="N1471" s="4">
        <v>0</v>
      </c>
      <c r="O1471" s="4" t="s">
        <v>77</v>
      </c>
      <c r="P1471" s="3" t="s">
        <v>52</v>
      </c>
      <c r="Q1471" s="11">
        <v>18</v>
      </c>
      <c r="R1471" s="3" t="s">
        <v>52</v>
      </c>
      <c r="S1471" s="10" t="s">
        <v>63</v>
      </c>
      <c r="T1471" s="4" t="str">
        <f>IF(OR(Tabela1[[#This Row],[Grau de Risco]]="Médio",Tabela1[[#This Row],[Grau de Risco]]="Baixo"),"Não","Sim")</f>
        <v>Não</v>
      </c>
    </row>
    <row r="1472" spans="1:20" hidden="1">
      <c r="A1472" s="4" t="s">
        <v>10</v>
      </c>
      <c r="B1472" s="10" t="s">
        <v>1805</v>
      </c>
      <c r="C1472" s="4" t="s">
        <v>26</v>
      </c>
      <c r="D1472" s="5" t="s">
        <v>36</v>
      </c>
      <c r="E1472" s="3">
        <v>21</v>
      </c>
      <c r="F1472" s="3">
        <v>8</v>
      </c>
      <c r="G1472" s="3">
        <v>2021</v>
      </c>
      <c r="H1472" s="36" t="s">
        <v>107</v>
      </c>
      <c r="I1472" s="7" t="s">
        <v>237</v>
      </c>
      <c r="J1472" s="4" t="s">
        <v>93</v>
      </c>
      <c r="K1472" s="3" t="s">
        <v>62</v>
      </c>
      <c r="L1472" s="3">
        <v>0</v>
      </c>
      <c r="M1472" s="4" t="s">
        <v>30</v>
      </c>
      <c r="N1472" s="4">
        <v>0</v>
      </c>
      <c r="O1472" s="4" t="s">
        <v>77</v>
      </c>
      <c r="P1472" s="3" t="s">
        <v>52</v>
      </c>
      <c r="Q1472" s="11">
        <v>18</v>
      </c>
      <c r="R1472" s="3" t="s">
        <v>52</v>
      </c>
      <c r="S1472" s="10" t="s">
        <v>63</v>
      </c>
      <c r="T1472" s="4" t="str">
        <f>IF(OR(Tabela1[[#This Row],[Grau de Risco]]="Médio",Tabela1[[#This Row],[Grau de Risco]]="Baixo"),"Não","Sim")</f>
        <v>Não</v>
      </c>
    </row>
    <row r="1473" spans="1:20">
      <c r="A1473" s="4" t="s">
        <v>240</v>
      </c>
      <c r="B1473" s="10" t="s">
        <v>1809</v>
      </c>
      <c r="C1473" s="4" t="s">
        <v>64</v>
      </c>
      <c r="D1473" s="38" t="s">
        <v>148</v>
      </c>
      <c r="E1473" s="3">
        <v>5</v>
      </c>
      <c r="F1473" s="3">
        <v>6</v>
      </c>
      <c r="G1473" s="3">
        <v>2022</v>
      </c>
      <c r="H1473" s="34" t="s">
        <v>59</v>
      </c>
      <c r="I1473" s="7" t="s">
        <v>1816</v>
      </c>
      <c r="J1473" s="4" t="s">
        <v>91</v>
      </c>
      <c r="K1473" s="3">
        <v>0</v>
      </c>
      <c r="L1473" s="3">
        <v>6000</v>
      </c>
      <c r="M1473" s="4" t="s">
        <v>30</v>
      </c>
      <c r="N1473" s="4"/>
      <c r="O1473" s="4" t="s">
        <v>4</v>
      </c>
      <c r="P1473" s="3" t="s">
        <v>102</v>
      </c>
      <c r="Q1473" s="11">
        <v>2</v>
      </c>
      <c r="R1473" s="3" t="str">
        <f>IF(Q1473="","",IF(Q1473&lt;4,"Crítico",IF(Q1473&lt;9,"Alto",IF(Q1473&lt;14,"Médio","Baixo"))))</f>
        <v>Crítico</v>
      </c>
      <c r="S1473" s="10" t="s">
        <v>63</v>
      </c>
      <c r="T1473" s="4" t="str">
        <f>IF(OR(Tabela1[[#This Row],[Grau de Risco]]="Médio",Tabela1[[#This Row],[Grau de Risco]]="Baixo"),"Não","Sim")</f>
        <v>Sim</v>
      </c>
    </row>
    <row r="1474" spans="1:20">
      <c r="A1474" s="4" t="s">
        <v>2</v>
      </c>
      <c r="B1474" s="10" t="s">
        <v>1809</v>
      </c>
      <c r="C1474" s="4" t="s">
        <v>26</v>
      </c>
      <c r="D1474" s="38" t="s">
        <v>1393</v>
      </c>
      <c r="E1474" s="3">
        <v>15</v>
      </c>
      <c r="F1474" s="3">
        <v>3</v>
      </c>
      <c r="G1474" s="3">
        <v>2022</v>
      </c>
      <c r="H1474" s="36" t="s">
        <v>107</v>
      </c>
      <c r="I1474" s="7" t="s">
        <v>249</v>
      </c>
      <c r="J1474" s="4" t="s">
        <v>93</v>
      </c>
      <c r="K1474" s="3">
        <v>4</v>
      </c>
      <c r="L1474" s="3">
        <v>0</v>
      </c>
      <c r="M1474" s="4" t="s">
        <v>30</v>
      </c>
      <c r="N1474" s="4">
        <v>0</v>
      </c>
      <c r="O1474" s="4" t="s">
        <v>248</v>
      </c>
      <c r="P1474" s="3" t="s">
        <v>31</v>
      </c>
      <c r="Q1474" s="11">
        <v>6</v>
      </c>
      <c r="R1474" s="3" t="s">
        <v>102</v>
      </c>
      <c r="S1474" s="10" t="s">
        <v>180</v>
      </c>
      <c r="T1474" s="4" t="str">
        <f>IF(OR(Tabela1[[#This Row],[Grau de Risco]]="Médio",Tabela1[[#This Row],[Grau de Risco]]="Baixo"),"Não","Sim")</f>
        <v>Sim</v>
      </c>
    </row>
    <row r="1475" spans="1:20">
      <c r="A1475" s="4" t="s">
        <v>2</v>
      </c>
      <c r="B1475" s="10" t="s">
        <v>1809</v>
      </c>
      <c r="C1475" s="4" t="s">
        <v>26</v>
      </c>
      <c r="D1475" s="38" t="s">
        <v>1393</v>
      </c>
      <c r="E1475" s="3">
        <v>15</v>
      </c>
      <c r="F1475" s="3">
        <v>3</v>
      </c>
      <c r="G1475" s="3">
        <v>2022</v>
      </c>
      <c r="H1475" s="36" t="s">
        <v>107</v>
      </c>
      <c r="I1475" s="7" t="s">
        <v>249</v>
      </c>
      <c r="J1475" s="4" t="s">
        <v>93</v>
      </c>
      <c r="K1475" s="3">
        <v>4</v>
      </c>
      <c r="L1475" s="3">
        <v>0</v>
      </c>
      <c r="M1475" s="4" t="s">
        <v>30</v>
      </c>
      <c r="N1475" s="4">
        <v>0</v>
      </c>
      <c r="O1475" s="4" t="s">
        <v>248</v>
      </c>
      <c r="P1475" s="3" t="s">
        <v>31</v>
      </c>
      <c r="Q1475" s="11">
        <v>6</v>
      </c>
      <c r="R1475" s="3" t="s">
        <v>102</v>
      </c>
      <c r="S1475" s="10" t="s">
        <v>180</v>
      </c>
      <c r="T1475" s="4" t="str">
        <f>IF(OR(Tabela1[[#This Row],[Grau de Risco]]="Médio",Tabela1[[#This Row],[Grau de Risco]]="Baixo"),"Não","Sim")</f>
        <v>Sim</v>
      </c>
    </row>
    <row r="1476" spans="1:20">
      <c r="A1476" s="4" t="s">
        <v>2</v>
      </c>
      <c r="B1476" s="10" t="s">
        <v>1809</v>
      </c>
      <c r="C1476" s="4" t="s">
        <v>26</v>
      </c>
      <c r="D1476" s="38" t="s">
        <v>1393</v>
      </c>
      <c r="E1476" s="3">
        <v>15</v>
      </c>
      <c r="F1476" s="3">
        <v>3</v>
      </c>
      <c r="G1476" s="3">
        <v>2022</v>
      </c>
      <c r="H1476" s="36" t="s">
        <v>107</v>
      </c>
      <c r="I1476" s="7" t="s">
        <v>249</v>
      </c>
      <c r="J1476" s="4" t="s">
        <v>93</v>
      </c>
      <c r="K1476" s="3">
        <v>9</v>
      </c>
      <c r="L1476" s="3">
        <v>0</v>
      </c>
      <c r="M1476" s="4" t="s">
        <v>30</v>
      </c>
      <c r="N1476" s="4">
        <v>0</v>
      </c>
      <c r="O1476" s="4" t="s">
        <v>248</v>
      </c>
      <c r="P1476" s="3" t="s">
        <v>31</v>
      </c>
      <c r="Q1476" s="11">
        <v>6</v>
      </c>
      <c r="R1476" s="3" t="s">
        <v>102</v>
      </c>
      <c r="S1476" s="10" t="s">
        <v>180</v>
      </c>
      <c r="T1476" s="4" t="str">
        <f>IF(OR(Tabela1[[#This Row],[Grau de Risco]]="Médio",Tabela1[[#This Row],[Grau de Risco]]="Baixo"),"Não","Sim")</f>
        <v>Sim</v>
      </c>
    </row>
    <row r="1477" spans="1:20" hidden="1">
      <c r="A1477" s="4" t="s">
        <v>2</v>
      </c>
      <c r="B1477" s="10" t="s">
        <v>1793</v>
      </c>
      <c r="C1477" s="4" t="s">
        <v>26</v>
      </c>
      <c r="D1477" s="38" t="s">
        <v>1382</v>
      </c>
      <c r="E1477" s="3">
        <v>29</v>
      </c>
      <c r="F1477" s="3">
        <v>6</v>
      </c>
      <c r="G1477" s="3">
        <v>2022</v>
      </c>
      <c r="H1477" s="36" t="s">
        <v>33</v>
      </c>
      <c r="I1477" s="7" t="s">
        <v>255</v>
      </c>
      <c r="J1477" s="4" t="s">
        <v>154</v>
      </c>
      <c r="K1477" s="3">
        <v>24</v>
      </c>
      <c r="L1477" s="3">
        <v>0</v>
      </c>
      <c r="M1477" s="4" t="s">
        <v>30</v>
      </c>
      <c r="N1477" s="4">
        <v>0</v>
      </c>
      <c r="O1477" s="4" t="s">
        <v>74</v>
      </c>
      <c r="P1477" s="3" t="s">
        <v>31</v>
      </c>
      <c r="Q1477" s="11">
        <v>14</v>
      </c>
      <c r="R1477" s="3" t="s">
        <v>52</v>
      </c>
      <c r="S1477" s="10" t="s">
        <v>141</v>
      </c>
      <c r="T1477" s="4" t="str">
        <f>IF(OR(Tabela1[[#This Row],[Grau de Risco]]="Médio",Tabela1[[#This Row],[Grau de Risco]]="Baixo"),"Não","Sim")</f>
        <v>Não</v>
      </c>
    </row>
    <row r="1478" spans="1:20">
      <c r="A1478" s="4" t="s">
        <v>8</v>
      </c>
      <c r="B1478" s="10" t="s">
        <v>1809</v>
      </c>
      <c r="C1478" s="4"/>
      <c r="D1478" s="38" t="s">
        <v>1320</v>
      </c>
      <c r="E1478" s="3">
        <v>8</v>
      </c>
      <c r="F1478" s="3">
        <v>8</v>
      </c>
      <c r="G1478" s="3">
        <v>2022</v>
      </c>
      <c r="H1478" s="5" t="s">
        <v>48</v>
      </c>
      <c r="I1478" s="7" t="s">
        <v>261</v>
      </c>
      <c r="J1478" s="4" t="s">
        <v>135</v>
      </c>
      <c r="K1478" s="3">
        <v>0</v>
      </c>
      <c r="L1478" s="3">
        <v>0</v>
      </c>
      <c r="M1478" s="4" t="s">
        <v>30</v>
      </c>
      <c r="N1478" s="4"/>
      <c r="O1478" s="4" t="s">
        <v>85</v>
      </c>
      <c r="P1478" s="3" t="s">
        <v>52</v>
      </c>
      <c r="Q1478" s="11">
        <v>6</v>
      </c>
      <c r="R1478" s="3" t="str">
        <f>IF(Q1478="","",IF(Q1478&lt;4,"Crítico",IF(Q1478&lt;9,"Alto",IF(Q1478&lt;14,"Médio","Baixo"))))</f>
        <v>Alto</v>
      </c>
      <c r="S1478" s="10" t="s">
        <v>63</v>
      </c>
      <c r="T1478" s="4" t="str">
        <f>IF(OR(Tabela1[[#This Row],[Grau de Risco]]="Médio",Tabela1[[#This Row],[Grau de Risco]]="Baixo"),"Não","Sim")</f>
        <v>Sim</v>
      </c>
    </row>
    <row r="1479" spans="1:20" hidden="1">
      <c r="A1479" s="5" t="s">
        <v>8</v>
      </c>
      <c r="B1479" s="6" t="s">
        <v>1805</v>
      </c>
      <c r="C1479" s="5" t="s">
        <v>26</v>
      </c>
      <c r="D1479" s="58" t="s">
        <v>1409</v>
      </c>
      <c r="E1479" s="2">
        <v>3</v>
      </c>
      <c r="F1479" s="2">
        <v>3</v>
      </c>
      <c r="G1479" s="2">
        <v>2022</v>
      </c>
      <c r="H1479" s="36" t="s">
        <v>82</v>
      </c>
      <c r="I1479" s="5" t="s">
        <v>272</v>
      </c>
      <c r="J1479" s="5" t="s">
        <v>54</v>
      </c>
      <c r="K1479" s="2">
        <v>0</v>
      </c>
      <c r="L1479" s="2">
        <v>0</v>
      </c>
      <c r="M1479" s="5" t="s">
        <v>30</v>
      </c>
      <c r="N1479" s="5">
        <v>0</v>
      </c>
      <c r="O1479" s="5" t="s">
        <v>45</v>
      </c>
      <c r="P1479" s="2" t="s">
        <v>31</v>
      </c>
      <c r="Q1479" s="2">
        <v>13</v>
      </c>
      <c r="R1479" s="2" t="s">
        <v>31</v>
      </c>
      <c r="S1479" s="5" t="s">
        <v>56</v>
      </c>
      <c r="T1479" s="4" t="str">
        <f>IF(OR(Tabela1[[#This Row],[Grau de Risco]]="Médio",Tabela1[[#This Row],[Grau de Risco]]="Baixo"),"Não","Sim")</f>
        <v>Não</v>
      </c>
    </row>
    <row r="1480" spans="1:20">
      <c r="A1480" s="4" t="s">
        <v>2</v>
      </c>
      <c r="B1480" s="10" t="s">
        <v>1809</v>
      </c>
      <c r="C1480" s="4"/>
      <c r="D1480" s="58" t="s">
        <v>1409</v>
      </c>
      <c r="E1480" s="3">
        <v>14</v>
      </c>
      <c r="F1480" s="3">
        <v>4</v>
      </c>
      <c r="G1480" s="3">
        <v>2022</v>
      </c>
      <c r="H1480" s="36" t="s">
        <v>66</v>
      </c>
      <c r="I1480" s="7" t="s">
        <v>1836</v>
      </c>
      <c r="J1480" s="4" t="s">
        <v>135</v>
      </c>
      <c r="K1480" s="3">
        <v>15</v>
      </c>
      <c r="L1480" s="3">
        <v>0</v>
      </c>
      <c r="M1480" s="4" t="s">
        <v>30</v>
      </c>
      <c r="N1480" s="4"/>
      <c r="O1480" s="4" t="s">
        <v>45</v>
      </c>
      <c r="P1480" s="3" t="s">
        <v>31</v>
      </c>
      <c r="Q1480" s="11">
        <v>13</v>
      </c>
      <c r="R1480" s="3" t="str">
        <f t="shared" ref="R1480:R1487" si="1">IF(Q1480="","",IF(Q1480&lt;4,"Crítico",IF(Q1480&lt;9,"Alto",IF(Q1480&lt;14,"Médio","Baixo"))))</f>
        <v>Médio</v>
      </c>
      <c r="S1480" s="10" t="s">
        <v>178</v>
      </c>
      <c r="T1480" s="4" t="str">
        <f>IF(OR(Tabela1[[#This Row],[Grau de Risco]]="Médio",Tabela1[[#This Row],[Grau de Risco]]="Baixo"),"Não","Sim")</f>
        <v>Não</v>
      </c>
    </row>
    <row r="1481" spans="1:20">
      <c r="A1481" s="4" t="s">
        <v>7</v>
      </c>
      <c r="B1481" s="10" t="s">
        <v>1809</v>
      </c>
      <c r="C1481" s="4" t="s">
        <v>64</v>
      </c>
      <c r="D1481" s="38" t="s">
        <v>1393</v>
      </c>
      <c r="E1481" s="3">
        <v>24</v>
      </c>
      <c r="F1481" s="3">
        <v>5</v>
      </c>
      <c r="G1481" s="3">
        <v>2022</v>
      </c>
      <c r="H1481" s="5" t="s">
        <v>48</v>
      </c>
      <c r="I1481" s="7" t="s">
        <v>317</v>
      </c>
      <c r="J1481" s="4" t="s">
        <v>61</v>
      </c>
      <c r="K1481" s="3" t="s">
        <v>62</v>
      </c>
      <c r="L1481" s="3" t="s">
        <v>44</v>
      </c>
      <c r="M1481" s="4" t="s">
        <v>30</v>
      </c>
      <c r="N1481" s="4"/>
      <c r="O1481" s="4" t="s">
        <v>55</v>
      </c>
      <c r="P1481" s="3" t="s">
        <v>52</v>
      </c>
      <c r="Q1481" s="11">
        <v>18</v>
      </c>
      <c r="R1481" s="3" t="str">
        <f t="shared" si="1"/>
        <v>Baixo</v>
      </c>
      <c r="S1481" s="10" t="s">
        <v>63</v>
      </c>
      <c r="T1481" s="4" t="str">
        <f>IF(OR(Tabela1[[#This Row],[Grau de Risco]]="Médio",Tabela1[[#This Row],[Grau de Risco]]="Baixo"),"Não","Sim")</f>
        <v>Não</v>
      </c>
    </row>
    <row r="1482" spans="1:20">
      <c r="A1482" s="4" t="s">
        <v>7</v>
      </c>
      <c r="B1482" s="10" t="s">
        <v>1809</v>
      </c>
      <c r="C1482" s="4" t="s">
        <v>64</v>
      </c>
      <c r="D1482" s="58" t="s">
        <v>1409</v>
      </c>
      <c r="E1482" s="3">
        <v>2</v>
      </c>
      <c r="F1482" s="3">
        <v>6</v>
      </c>
      <c r="G1482" s="3">
        <v>2022</v>
      </c>
      <c r="H1482" s="4" t="s">
        <v>86</v>
      </c>
      <c r="I1482" s="7" t="s">
        <v>323</v>
      </c>
      <c r="J1482" s="4" t="s">
        <v>61</v>
      </c>
      <c r="K1482" s="3" t="s">
        <v>62</v>
      </c>
      <c r="L1482" s="3" t="s">
        <v>44</v>
      </c>
      <c r="M1482" s="4" t="s">
        <v>30</v>
      </c>
      <c r="N1482" s="4"/>
      <c r="O1482" s="4" t="s">
        <v>129</v>
      </c>
      <c r="P1482" s="3" t="s">
        <v>52</v>
      </c>
      <c r="Q1482" s="11">
        <v>18</v>
      </c>
      <c r="R1482" s="3" t="str">
        <f t="shared" si="1"/>
        <v>Baixo</v>
      </c>
      <c r="S1482" s="10" t="s">
        <v>63</v>
      </c>
      <c r="T1482" s="4" t="str">
        <f>IF(OR(Tabela1[[#This Row],[Grau de Risco]]="Médio",Tabela1[[#This Row],[Grau de Risco]]="Baixo"),"Não","Sim")</f>
        <v>Não</v>
      </c>
    </row>
    <row r="1483" spans="1:20" hidden="1">
      <c r="A1483" s="4" t="s">
        <v>2</v>
      </c>
      <c r="B1483" s="10" t="s">
        <v>1793</v>
      </c>
      <c r="C1483" s="4" t="s">
        <v>64</v>
      </c>
      <c r="D1483" s="38" t="s">
        <v>1320</v>
      </c>
      <c r="E1483" s="3">
        <v>6</v>
      </c>
      <c r="F1483" s="3">
        <v>6</v>
      </c>
      <c r="G1483" s="3">
        <v>2022</v>
      </c>
      <c r="H1483" s="4" t="s">
        <v>27</v>
      </c>
      <c r="I1483" s="7" t="s">
        <v>324</v>
      </c>
      <c r="J1483" s="4" t="s">
        <v>61</v>
      </c>
      <c r="K1483" s="3">
        <v>5</v>
      </c>
      <c r="L1483" s="3">
        <v>0</v>
      </c>
      <c r="M1483" s="4" t="s">
        <v>30</v>
      </c>
      <c r="N1483" s="4"/>
      <c r="O1483" s="4" t="s">
        <v>325</v>
      </c>
      <c r="P1483" s="3" t="s">
        <v>31</v>
      </c>
      <c r="Q1483" s="11">
        <v>12</v>
      </c>
      <c r="R1483" s="3" t="str">
        <f t="shared" si="1"/>
        <v>Médio</v>
      </c>
      <c r="S1483" s="10" t="s">
        <v>63</v>
      </c>
      <c r="T1483" s="4" t="str">
        <f>IF(OR(Tabela1[[#This Row],[Grau de Risco]]="Médio",Tabela1[[#This Row],[Grau de Risco]]="Baixo"),"Não","Sim")</f>
        <v>Não</v>
      </c>
    </row>
    <row r="1484" spans="1:20" hidden="1">
      <c r="A1484" s="4" t="s">
        <v>2</v>
      </c>
      <c r="B1484" s="10" t="s">
        <v>1805</v>
      </c>
      <c r="C1484" s="4" t="s">
        <v>64</v>
      </c>
      <c r="D1484" s="38" t="s">
        <v>1382</v>
      </c>
      <c r="E1484" s="3">
        <v>16</v>
      </c>
      <c r="F1484" s="3">
        <v>2</v>
      </c>
      <c r="G1484" s="3">
        <v>2022</v>
      </c>
      <c r="H1484" s="5" t="s">
        <v>48</v>
      </c>
      <c r="I1484" s="7" t="s">
        <v>328</v>
      </c>
      <c r="J1484" s="4" t="s">
        <v>111</v>
      </c>
      <c r="K1484" s="3">
        <v>15</v>
      </c>
      <c r="L1484" s="3">
        <v>0</v>
      </c>
      <c r="M1484" s="4" t="s">
        <v>30</v>
      </c>
      <c r="N1484" s="4"/>
      <c r="O1484" s="4" t="s">
        <v>4</v>
      </c>
      <c r="P1484" s="3" t="s">
        <v>102</v>
      </c>
      <c r="Q1484" s="11">
        <v>12</v>
      </c>
      <c r="R1484" s="3" t="str">
        <f t="shared" si="1"/>
        <v>Médio</v>
      </c>
      <c r="S1484" s="5" t="s">
        <v>56</v>
      </c>
      <c r="T1484" s="4" t="str">
        <f>IF(OR(Tabela1[[#This Row],[Grau de Risco]]="Médio",Tabela1[[#This Row],[Grau de Risco]]="Baixo"),"Não","Sim")</f>
        <v>Não</v>
      </c>
    </row>
    <row r="1485" spans="1:20">
      <c r="A1485" s="4" t="s">
        <v>7</v>
      </c>
      <c r="B1485" s="10" t="s">
        <v>1809</v>
      </c>
      <c r="C1485" s="4" t="s">
        <v>118</v>
      </c>
      <c r="D1485" s="4" t="s">
        <v>148</v>
      </c>
      <c r="E1485" s="3">
        <v>22</v>
      </c>
      <c r="F1485" s="3">
        <v>5</v>
      </c>
      <c r="G1485" s="3">
        <v>2022</v>
      </c>
      <c r="H1485" s="4" t="s">
        <v>27</v>
      </c>
      <c r="I1485" s="7" t="s">
        <v>330</v>
      </c>
      <c r="J1485" s="4" t="s">
        <v>111</v>
      </c>
      <c r="K1485" s="3" t="s">
        <v>62</v>
      </c>
      <c r="L1485" s="3" t="s">
        <v>44</v>
      </c>
      <c r="M1485" s="4" t="s">
        <v>30</v>
      </c>
      <c r="N1485" s="4"/>
      <c r="O1485" s="4" t="s">
        <v>55</v>
      </c>
      <c r="P1485" s="3" t="s">
        <v>52</v>
      </c>
      <c r="Q1485" s="11">
        <v>9</v>
      </c>
      <c r="R1485" s="3" t="str">
        <f t="shared" si="1"/>
        <v>Médio</v>
      </c>
      <c r="S1485" s="10" t="s">
        <v>63</v>
      </c>
      <c r="T1485" s="4" t="str">
        <f>IF(OR(Tabela1[[#This Row],[Grau de Risco]]="Médio",Tabela1[[#This Row],[Grau de Risco]]="Baixo"),"Não","Sim")</f>
        <v>Não</v>
      </c>
    </row>
    <row r="1486" spans="1:20" hidden="1">
      <c r="A1486" s="4" t="s">
        <v>2</v>
      </c>
      <c r="B1486" s="10" t="s">
        <v>1793</v>
      </c>
      <c r="C1486" s="4" t="s">
        <v>64</v>
      </c>
      <c r="D1486" s="38" t="s">
        <v>1382</v>
      </c>
      <c r="E1486" s="3">
        <v>8</v>
      </c>
      <c r="F1486" s="3">
        <v>6</v>
      </c>
      <c r="G1486" s="3">
        <v>2022</v>
      </c>
      <c r="H1486" s="5" t="s">
        <v>48</v>
      </c>
      <c r="I1486" s="7" t="s">
        <v>331</v>
      </c>
      <c r="J1486" s="4" t="s">
        <v>111</v>
      </c>
      <c r="K1486" s="3">
        <v>94</v>
      </c>
      <c r="L1486" s="3">
        <v>0</v>
      </c>
      <c r="M1486" s="4" t="s">
        <v>30</v>
      </c>
      <c r="N1486" s="4"/>
      <c r="O1486" s="4" t="s">
        <v>45</v>
      </c>
      <c r="P1486" s="3" t="s">
        <v>102</v>
      </c>
      <c r="Q1486" s="11">
        <v>6</v>
      </c>
      <c r="R1486" s="3" t="str">
        <f t="shared" si="1"/>
        <v>Alto</v>
      </c>
      <c r="S1486" s="10" t="s">
        <v>63</v>
      </c>
      <c r="T1486" s="4" t="str">
        <f>IF(OR(Tabela1[[#This Row],[Grau de Risco]]="Médio",Tabela1[[#This Row],[Grau de Risco]]="Baixo"),"Não","Sim")</f>
        <v>Sim</v>
      </c>
    </row>
    <row r="1487" spans="1:20" hidden="1">
      <c r="A1487" s="4" t="s">
        <v>9</v>
      </c>
      <c r="B1487" s="10" t="s">
        <v>1805</v>
      </c>
      <c r="C1487" s="4" t="s">
        <v>58</v>
      </c>
      <c r="D1487" s="38" t="s">
        <v>1320</v>
      </c>
      <c r="E1487" s="3">
        <v>26</v>
      </c>
      <c r="F1487" s="3">
        <v>12</v>
      </c>
      <c r="G1487" s="3">
        <v>2022</v>
      </c>
      <c r="H1487" s="5" t="s">
        <v>71</v>
      </c>
      <c r="I1487" s="7" t="s">
        <v>334</v>
      </c>
      <c r="J1487" s="4" t="s">
        <v>192</v>
      </c>
      <c r="K1487" s="3">
        <v>108</v>
      </c>
      <c r="L1487" s="3">
        <v>0</v>
      </c>
      <c r="M1487" s="4" t="s">
        <v>30</v>
      </c>
      <c r="N1487" s="4"/>
      <c r="O1487" s="4" t="s">
        <v>101</v>
      </c>
      <c r="P1487" s="3" t="s">
        <v>31</v>
      </c>
      <c r="Q1487" s="11">
        <v>6</v>
      </c>
      <c r="R1487" s="3" t="str">
        <f t="shared" si="1"/>
        <v>Alto</v>
      </c>
      <c r="S1487" s="10" t="s">
        <v>63</v>
      </c>
      <c r="T1487" s="4" t="str">
        <f>IF(OR(Tabela1[[#This Row],[Grau de Risco]]="Médio",Tabela1[[#This Row],[Grau de Risco]]="Baixo"),"Não","Sim")</f>
        <v>Sim</v>
      </c>
    </row>
    <row r="1488" spans="1:20" hidden="1">
      <c r="A1488" s="4" t="s">
        <v>8</v>
      </c>
      <c r="B1488" s="10" t="s">
        <v>1805</v>
      </c>
      <c r="C1488" s="4" t="s">
        <v>26</v>
      </c>
      <c r="D1488" s="58" t="s">
        <v>1409</v>
      </c>
      <c r="E1488" s="3">
        <v>21</v>
      </c>
      <c r="F1488" s="3">
        <v>7</v>
      </c>
      <c r="G1488" s="3">
        <v>2022</v>
      </c>
      <c r="H1488" s="36" t="s">
        <v>33</v>
      </c>
      <c r="I1488" s="7" t="s">
        <v>336</v>
      </c>
      <c r="J1488" s="4" t="s">
        <v>79</v>
      </c>
      <c r="K1488" s="3" t="s">
        <v>62</v>
      </c>
      <c r="L1488" s="3">
        <v>0</v>
      </c>
      <c r="M1488" s="4" t="s">
        <v>30</v>
      </c>
      <c r="N1488" s="4">
        <v>0</v>
      </c>
      <c r="O1488" s="4" t="s">
        <v>129</v>
      </c>
      <c r="P1488" s="3" t="s">
        <v>52</v>
      </c>
      <c r="Q1488" s="11">
        <v>18</v>
      </c>
      <c r="R1488" s="3" t="s">
        <v>52</v>
      </c>
      <c r="S1488" s="10" t="s">
        <v>337</v>
      </c>
      <c r="T1488" s="4" t="str">
        <f>IF(OR(Tabela1[[#This Row],[Grau de Risco]]="Médio",Tabela1[[#This Row],[Grau de Risco]]="Baixo"),"Não","Sim")</f>
        <v>Não</v>
      </c>
    </row>
    <row r="1489" spans="1:20" hidden="1">
      <c r="A1489" s="4" t="s">
        <v>8</v>
      </c>
      <c r="B1489" s="10" t="s">
        <v>1793</v>
      </c>
      <c r="C1489" s="4" t="s">
        <v>26</v>
      </c>
      <c r="D1489" s="38" t="s">
        <v>1320</v>
      </c>
      <c r="E1489" s="3">
        <v>20</v>
      </c>
      <c r="F1489" s="3">
        <v>7</v>
      </c>
      <c r="G1489" s="3">
        <v>2022</v>
      </c>
      <c r="H1489" s="4" t="s">
        <v>27</v>
      </c>
      <c r="I1489" s="7" t="s">
        <v>204</v>
      </c>
      <c r="J1489" s="4" t="s">
        <v>79</v>
      </c>
      <c r="K1489" s="3" t="s">
        <v>62</v>
      </c>
      <c r="L1489" s="3">
        <v>0</v>
      </c>
      <c r="M1489" s="4" t="s">
        <v>30</v>
      </c>
      <c r="N1489" s="4">
        <v>0</v>
      </c>
      <c r="O1489" s="4" t="s">
        <v>129</v>
      </c>
      <c r="P1489" s="3" t="s">
        <v>52</v>
      </c>
      <c r="Q1489" s="11">
        <v>22</v>
      </c>
      <c r="R1489" s="3" t="s">
        <v>52</v>
      </c>
      <c r="S1489" s="5" t="s">
        <v>56</v>
      </c>
      <c r="T1489" s="4" t="str">
        <f>IF(OR(Tabela1[[#This Row],[Grau de Risco]]="Médio",Tabela1[[#This Row],[Grau de Risco]]="Baixo"),"Não","Sim")</f>
        <v>Não</v>
      </c>
    </row>
    <row r="1490" spans="1:20" hidden="1">
      <c r="A1490" s="4" t="s">
        <v>7</v>
      </c>
      <c r="B1490" s="10" t="s">
        <v>1805</v>
      </c>
      <c r="C1490" s="4" t="s">
        <v>118</v>
      </c>
      <c r="D1490" s="58" t="s">
        <v>1409</v>
      </c>
      <c r="E1490" s="3">
        <v>2</v>
      </c>
      <c r="F1490" s="3">
        <v>8</v>
      </c>
      <c r="G1490" s="3">
        <v>2022</v>
      </c>
      <c r="H1490" s="36" t="s">
        <v>33</v>
      </c>
      <c r="I1490" s="7" t="s">
        <v>345</v>
      </c>
      <c r="J1490" s="4" t="s">
        <v>111</v>
      </c>
      <c r="K1490" s="3" t="s">
        <v>62</v>
      </c>
      <c r="L1490" s="3" t="s">
        <v>44</v>
      </c>
      <c r="M1490" s="4" t="s">
        <v>30</v>
      </c>
      <c r="N1490" s="4"/>
      <c r="O1490" s="4" t="s">
        <v>129</v>
      </c>
      <c r="P1490" s="3" t="s">
        <v>52</v>
      </c>
      <c r="Q1490" s="11">
        <v>11</v>
      </c>
      <c r="R1490" s="3" t="str">
        <f>IF(Q1490="","",IF(Q1490&lt;4,"Crítico",IF(Q1490&lt;9,"Alto",IF(Q1490&lt;14,"Médio","Baixo"))))</f>
        <v>Médio</v>
      </c>
      <c r="S1490" s="5" t="s">
        <v>56</v>
      </c>
      <c r="T1490" s="4" t="str">
        <f>IF(OR(Tabela1[[#This Row],[Grau de Risco]]="Médio",Tabela1[[#This Row],[Grau de Risco]]="Baixo"),"Não","Sim")</f>
        <v>Não</v>
      </c>
    </row>
    <row r="1491" spans="1:20" hidden="1">
      <c r="A1491" s="4" t="s">
        <v>9</v>
      </c>
      <c r="B1491" s="10" t="s">
        <v>1793</v>
      </c>
      <c r="C1491" s="4" t="s">
        <v>118</v>
      </c>
      <c r="D1491" s="38" t="s">
        <v>47</v>
      </c>
      <c r="E1491" s="3">
        <v>19</v>
      </c>
      <c r="F1491" s="3">
        <v>8</v>
      </c>
      <c r="G1491" s="3">
        <v>2022</v>
      </c>
      <c r="H1491" s="5" t="s">
        <v>71</v>
      </c>
      <c r="I1491" s="7" t="s">
        <v>346</v>
      </c>
      <c r="J1491" s="4" t="s">
        <v>111</v>
      </c>
      <c r="K1491" s="3">
        <v>5</v>
      </c>
      <c r="L1491" s="3">
        <v>0</v>
      </c>
      <c r="M1491" s="4" t="s">
        <v>30</v>
      </c>
      <c r="N1491" s="4"/>
      <c r="O1491" s="4" t="s">
        <v>55</v>
      </c>
      <c r="P1491" s="3" t="s">
        <v>52</v>
      </c>
      <c r="Q1491" s="11">
        <v>18</v>
      </c>
      <c r="R1491" s="3" t="str">
        <f>IF(Q1491="","",IF(Q1491&lt;4,"Crítico",IF(Q1491&lt;9,"Alto",IF(Q1491&lt;14,"Médio","Baixo"))))</f>
        <v>Baixo</v>
      </c>
      <c r="S1491" s="10" t="s">
        <v>63</v>
      </c>
      <c r="T1491" s="4" t="str">
        <f>IF(OR(Tabela1[[#This Row],[Grau de Risco]]="Médio",Tabela1[[#This Row],[Grau de Risco]]="Baixo"),"Não","Sim")</f>
        <v>Não</v>
      </c>
    </row>
    <row r="1492" spans="1:20" hidden="1">
      <c r="A1492" s="4" t="s">
        <v>2</v>
      </c>
      <c r="B1492" s="10" t="s">
        <v>1793</v>
      </c>
      <c r="C1492" s="4" t="s">
        <v>118</v>
      </c>
      <c r="D1492" s="38" t="s">
        <v>1393</v>
      </c>
      <c r="E1492" s="3">
        <v>20</v>
      </c>
      <c r="F1492" s="3">
        <v>10</v>
      </c>
      <c r="G1492" s="3">
        <v>2022</v>
      </c>
      <c r="H1492" s="36" t="s">
        <v>66</v>
      </c>
      <c r="I1492" s="7" t="s">
        <v>347</v>
      </c>
      <c r="J1492" s="4" t="s">
        <v>111</v>
      </c>
      <c r="K1492" s="3">
        <v>9</v>
      </c>
      <c r="L1492" s="3">
        <v>0</v>
      </c>
      <c r="M1492" s="4" t="s">
        <v>30</v>
      </c>
      <c r="N1492" s="4"/>
      <c r="O1492" s="4" t="s">
        <v>129</v>
      </c>
      <c r="P1492" s="3" t="s">
        <v>52</v>
      </c>
      <c r="Q1492" s="11">
        <v>13</v>
      </c>
      <c r="R1492" s="3" t="str">
        <f>IF(Q1492="","",IF(Q1492&lt;4,"Crítico",IF(Q1492&lt;9,"Alto",IF(Q1492&lt;14,"Médio","Baixo"))))</f>
        <v>Médio</v>
      </c>
      <c r="S1492" s="10" t="s">
        <v>63</v>
      </c>
      <c r="T1492" s="4" t="str">
        <f>IF(OR(Tabela1[[#This Row],[Grau de Risco]]="Médio",Tabela1[[#This Row],[Grau de Risco]]="Baixo"),"Não","Sim")</f>
        <v>Não</v>
      </c>
    </row>
    <row r="1493" spans="1:20" hidden="1">
      <c r="A1493" s="4" t="s">
        <v>9</v>
      </c>
      <c r="B1493" s="10" t="s">
        <v>1793</v>
      </c>
      <c r="C1493" s="4" t="s">
        <v>133</v>
      </c>
      <c r="D1493" s="38" t="s">
        <v>1393</v>
      </c>
      <c r="E1493" s="3">
        <v>20</v>
      </c>
      <c r="F1493" s="3">
        <v>12</v>
      </c>
      <c r="G1493" s="3">
        <v>2022</v>
      </c>
      <c r="H1493" s="5" t="s">
        <v>71</v>
      </c>
      <c r="I1493" s="7" t="s">
        <v>348</v>
      </c>
      <c r="J1493" s="4" t="s">
        <v>111</v>
      </c>
      <c r="K1493" s="3">
        <v>4</v>
      </c>
      <c r="L1493" s="3">
        <v>0</v>
      </c>
      <c r="M1493" s="4" t="s">
        <v>30</v>
      </c>
      <c r="N1493" s="4"/>
      <c r="O1493" s="4" t="s">
        <v>74</v>
      </c>
      <c r="P1493" s="3"/>
      <c r="Q1493" s="11">
        <v>14</v>
      </c>
      <c r="R1493" s="3" t="s">
        <v>52</v>
      </c>
      <c r="S1493" s="10" t="s">
        <v>63</v>
      </c>
      <c r="T1493" s="4" t="str">
        <f>IF(OR(Tabela1[[#This Row],[Grau de Risco]]="Médio",Tabela1[[#This Row],[Grau de Risco]]="Baixo"),"Não","Sim")</f>
        <v>Não</v>
      </c>
    </row>
    <row r="1494" spans="1:20">
      <c r="A1494" s="4" t="s">
        <v>2</v>
      </c>
      <c r="B1494" s="10" t="s">
        <v>1809</v>
      </c>
      <c r="C1494" s="4" t="s">
        <v>26</v>
      </c>
      <c r="D1494" s="5" t="s">
        <v>148</v>
      </c>
      <c r="E1494" s="3">
        <v>7</v>
      </c>
      <c r="F1494" s="3">
        <v>8</v>
      </c>
      <c r="G1494" s="3">
        <v>2022</v>
      </c>
      <c r="H1494" s="34" t="s">
        <v>59</v>
      </c>
      <c r="I1494" s="7" t="s">
        <v>364</v>
      </c>
      <c r="J1494" s="4" t="s">
        <v>93</v>
      </c>
      <c r="K1494" s="3">
        <v>5</v>
      </c>
      <c r="L1494" s="3">
        <v>0</v>
      </c>
      <c r="M1494" s="4" t="s">
        <v>30</v>
      </c>
      <c r="N1494" s="4">
        <v>0</v>
      </c>
      <c r="O1494" s="4" t="s">
        <v>45</v>
      </c>
      <c r="P1494" s="3" t="s">
        <v>52</v>
      </c>
      <c r="Q1494" s="11">
        <v>18</v>
      </c>
      <c r="R1494" s="3" t="s">
        <v>52</v>
      </c>
      <c r="S1494" s="5" t="s">
        <v>56</v>
      </c>
      <c r="T1494" s="4" t="str">
        <f>IF(OR(Tabela1[[#This Row],[Grau de Risco]]="Médio",Tabela1[[#This Row],[Grau de Risco]]="Baixo"),"Não","Sim")</f>
        <v>Não</v>
      </c>
    </row>
    <row r="1495" spans="1:20" hidden="1">
      <c r="A1495" s="4" t="s">
        <v>2</v>
      </c>
      <c r="B1495" s="10" t="s">
        <v>1793</v>
      </c>
      <c r="C1495" s="4" t="s">
        <v>64</v>
      </c>
      <c r="D1495" s="38" t="s">
        <v>1382</v>
      </c>
      <c r="E1495" s="3">
        <v>20</v>
      </c>
      <c r="F1495" s="3">
        <v>4</v>
      </c>
      <c r="G1495" s="3">
        <v>2022</v>
      </c>
      <c r="H1495" s="36" t="s">
        <v>107</v>
      </c>
      <c r="I1495" s="7" t="s">
        <v>365</v>
      </c>
      <c r="J1495" s="4" t="s">
        <v>61</v>
      </c>
      <c r="K1495" s="3">
        <v>15</v>
      </c>
      <c r="L1495" s="3">
        <v>0</v>
      </c>
      <c r="M1495" s="4" t="s">
        <v>30</v>
      </c>
      <c r="N1495" s="4"/>
      <c r="O1495" s="4" t="s">
        <v>55</v>
      </c>
      <c r="P1495" s="3" t="s">
        <v>52</v>
      </c>
      <c r="Q1495" s="11">
        <v>13</v>
      </c>
      <c r="R1495" s="3" t="str">
        <f>IF(Q1495="","",IF(Q1495&lt;4,"Crítico",IF(Q1495&lt;9,"Alto",IF(Q1495&lt;14,"Médio","Baixo"))))</f>
        <v>Médio</v>
      </c>
      <c r="S1495" s="5" t="s">
        <v>56</v>
      </c>
      <c r="T1495" s="4" t="str">
        <f>IF(OR(Tabela1[[#This Row],[Grau de Risco]]="Médio",Tabela1[[#This Row],[Grau de Risco]]="Baixo"),"Não","Sim")</f>
        <v>Não</v>
      </c>
    </row>
    <row r="1496" spans="1:20">
      <c r="A1496" s="5" t="s">
        <v>2</v>
      </c>
      <c r="B1496" s="10" t="s">
        <v>1809</v>
      </c>
      <c r="C1496" s="5" t="s">
        <v>81</v>
      </c>
      <c r="D1496" s="5" t="s">
        <v>36</v>
      </c>
      <c r="E1496" s="2">
        <v>22</v>
      </c>
      <c r="F1496" s="2">
        <v>4</v>
      </c>
      <c r="G1496" s="2">
        <v>2022</v>
      </c>
      <c r="H1496" s="36" t="s">
        <v>66</v>
      </c>
      <c r="I1496" s="5" t="s">
        <v>378</v>
      </c>
      <c r="J1496" s="5" t="s">
        <v>38</v>
      </c>
      <c r="K1496" s="2">
        <v>0</v>
      </c>
      <c r="L1496" s="2">
        <v>0</v>
      </c>
      <c r="M1496" s="5" t="s">
        <v>30</v>
      </c>
      <c r="Q1496" s="2">
        <v>14</v>
      </c>
      <c r="R1496" s="2" t="s">
        <v>52</v>
      </c>
      <c r="S1496" s="10" t="s">
        <v>32</v>
      </c>
      <c r="T1496" s="4" t="str">
        <f>IF(OR(Tabela1[[#This Row],[Grau de Risco]]="Médio",Tabela1[[#This Row],[Grau de Risco]]="Baixo"),"Não","Sim")</f>
        <v>Não</v>
      </c>
    </row>
    <row r="1497" spans="1:20" hidden="1">
      <c r="A1497" s="4" t="s">
        <v>2</v>
      </c>
      <c r="B1497" s="10" t="s">
        <v>1793</v>
      </c>
      <c r="C1497" s="4" t="s">
        <v>64</v>
      </c>
      <c r="D1497" s="38" t="s">
        <v>1320</v>
      </c>
      <c r="E1497" s="3">
        <v>3</v>
      </c>
      <c r="F1497" s="3">
        <v>1</v>
      </c>
      <c r="G1497" s="3">
        <v>2022</v>
      </c>
      <c r="H1497" s="36" t="s">
        <v>112</v>
      </c>
      <c r="I1497" s="7" t="s">
        <v>379</v>
      </c>
      <c r="J1497" s="4" t="s">
        <v>61</v>
      </c>
      <c r="K1497" s="3">
        <v>3</v>
      </c>
      <c r="L1497" s="3">
        <v>0</v>
      </c>
      <c r="M1497" s="4" t="s">
        <v>30</v>
      </c>
      <c r="N1497" s="4"/>
      <c r="O1497" s="4" t="s">
        <v>55</v>
      </c>
      <c r="P1497" s="3" t="s">
        <v>52</v>
      </c>
      <c r="Q1497" s="11">
        <v>20</v>
      </c>
      <c r="R1497" s="3" t="str">
        <f>IF(Q1497="","",IF(Q1497&lt;4,"Crítico",IF(Q1497&lt;9,"Alto",IF(Q1497&lt;14,"Médio","Baixo"))))</f>
        <v>Baixo</v>
      </c>
      <c r="S1497" s="5" t="s">
        <v>56</v>
      </c>
      <c r="T1497" s="4" t="str">
        <f>IF(OR(Tabela1[[#This Row],[Grau de Risco]]="Médio",Tabela1[[#This Row],[Grau de Risco]]="Baixo"),"Não","Sim")</f>
        <v>Não</v>
      </c>
    </row>
    <row r="1498" spans="1:20" hidden="1">
      <c r="A1498" s="4" t="s">
        <v>2</v>
      </c>
      <c r="B1498" s="10" t="s">
        <v>1805</v>
      </c>
      <c r="C1498" s="4"/>
      <c r="D1498" s="38" t="s">
        <v>1393</v>
      </c>
      <c r="E1498" s="3">
        <v>19</v>
      </c>
      <c r="F1498" s="3">
        <v>7</v>
      </c>
      <c r="G1498" s="3">
        <v>2022</v>
      </c>
      <c r="H1498" s="5" t="s">
        <v>71</v>
      </c>
      <c r="I1498" s="7" t="s">
        <v>390</v>
      </c>
      <c r="J1498" s="4" t="s">
        <v>93</v>
      </c>
      <c r="K1498" s="3">
        <v>3</v>
      </c>
      <c r="L1498" s="3">
        <v>0</v>
      </c>
      <c r="M1498" s="4" t="s">
        <v>30</v>
      </c>
      <c r="N1498" s="4">
        <v>0</v>
      </c>
      <c r="O1498" s="4" t="s">
        <v>70</v>
      </c>
      <c r="P1498" s="3" t="s">
        <v>52</v>
      </c>
      <c r="Q1498" s="11">
        <v>14</v>
      </c>
      <c r="R1498" s="3" t="s">
        <v>52</v>
      </c>
      <c r="S1498" s="5" t="s">
        <v>56</v>
      </c>
      <c r="T1498" s="4" t="str">
        <f>IF(OR(Tabela1[[#This Row],[Grau de Risco]]="Médio",Tabela1[[#This Row],[Grau de Risco]]="Baixo"),"Não","Sim")</f>
        <v>Não</v>
      </c>
    </row>
    <row r="1499" spans="1:20" hidden="1">
      <c r="A1499" s="4" t="s">
        <v>2</v>
      </c>
      <c r="B1499" s="10" t="s">
        <v>1805</v>
      </c>
      <c r="C1499" s="4"/>
      <c r="D1499" s="5" t="s">
        <v>36</v>
      </c>
      <c r="E1499" s="3">
        <v>2</v>
      </c>
      <c r="F1499" s="3">
        <v>7</v>
      </c>
      <c r="G1499" s="3">
        <v>2022</v>
      </c>
      <c r="H1499" s="5" t="s">
        <v>71</v>
      </c>
      <c r="I1499" s="7" t="s">
        <v>391</v>
      </c>
      <c r="J1499" s="4" t="s">
        <v>93</v>
      </c>
      <c r="K1499" s="3">
        <v>60</v>
      </c>
      <c r="L1499" s="3">
        <v>0</v>
      </c>
      <c r="M1499" s="4" t="s">
        <v>30</v>
      </c>
      <c r="N1499" s="4">
        <v>0</v>
      </c>
      <c r="O1499" s="4" t="s">
        <v>74</v>
      </c>
      <c r="P1499" s="3" t="s">
        <v>52</v>
      </c>
      <c r="Q1499" s="11">
        <v>10</v>
      </c>
      <c r="R1499" s="3" t="s">
        <v>31</v>
      </c>
      <c r="S1499" s="5" t="s">
        <v>56</v>
      </c>
      <c r="T1499" s="4" t="str">
        <f>IF(OR(Tabela1[[#This Row],[Grau de Risco]]="Médio",Tabela1[[#This Row],[Grau de Risco]]="Baixo"),"Não","Sim")</f>
        <v>Não</v>
      </c>
    </row>
    <row r="1500" spans="1:20" hidden="1">
      <c r="A1500" s="5" t="s">
        <v>7</v>
      </c>
      <c r="B1500" s="10" t="s">
        <v>1793</v>
      </c>
      <c r="C1500" s="4" t="s">
        <v>81</v>
      </c>
      <c r="D1500" s="38" t="s">
        <v>1382</v>
      </c>
      <c r="E1500" s="3">
        <v>13</v>
      </c>
      <c r="F1500" s="3">
        <v>9</v>
      </c>
      <c r="G1500" s="3">
        <v>2023</v>
      </c>
      <c r="H1500" s="34" t="s">
        <v>59</v>
      </c>
      <c r="I1500" s="7" t="s">
        <v>454</v>
      </c>
      <c r="J1500" s="4" t="s">
        <v>69</v>
      </c>
      <c r="K1500" s="3" t="s">
        <v>44</v>
      </c>
      <c r="L1500" s="3" t="s">
        <v>44</v>
      </c>
      <c r="M1500" s="4"/>
      <c r="N1500" s="4" t="s">
        <v>44</v>
      </c>
      <c r="O1500" s="4"/>
      <c r="P1500" s="3" t="s">
        <v>31</v>
      </c>
      <c r="Q1500" s="11">
        <v>7</v>
      </c>
      <c r="R1500" s="3" t="s">
        <v>102</v>
      </c>
      <c r="S1500" s="10" t="s">
        <v>63</v>
      </c>
      <c r="T1500" s="4" t="str">
        <f>IF(OR(Tabela1[[#This Row],[Grau de Risco]]="Médio",Tabela1[[#This Row],[Grau de Risco]]="Baixo"),"Não","Sim")</f>
        <v>Sim</v>
      </c>
    </row>
    <row r="1501" spans="1:20">
      <c r="A1501" s="4" t="s">
        <v>7</v>
      </c>
      <c r="B1501" s="10" t="s">
        <v>1809</v>
      </c>
      <c r="C1501" s="4" t="s">
        <v>26</v>
      </c>
      <c r="D1501" s="58" t="s">
        <v>1409</v>
      </c>
      <c r="E1501" s="3">
        <v>9</v>
      </c>
      <c r="F1501" s="3">
        <v>11</v>
      </c>
      <c r="G1501" s="3">
        <v>2023</v>
      </c>
      <c r="H1501" s="5" t="s">
        <v>71</v>
      </c>
      <c r="I1501" s="7" t="s">
        <v>456</v>
      </c>
      <c r="J1501" s="4" t="s">
        <v>61</v>
      </c>
      <c r="K1501" s="3" t="s">
        <v>62</v>
      </c>
      <c r="L1501" s="3">
        <v>0</v>
      </c>
      <c r="M1501" s="4" t="s">
        <v>30</v>
      </c>
      <c r="N1501" s="4">
        <v>0</v>
      </c>
      <c r="O1501" s="4" t="s">
        <v>85</v>
      </c>
      <c r="P1501" s="3" t="s">
        <v>52</v>
      </c>
      <c r="Q1501" s="11">
        <v>11</v>
      </c>
      <c r="R1501" s="3" t="str">
        <f>IF(Q1501="","",IF(Q1501&lt;4,"Crítico",IF(Q1501&lt;9,"Alto",IF(Q1501&lt;14,"Médio","Baixo"))))</f>
        <v>Médio</v>
      </c>
      <c r="S1501" s="5" t="s">
        <v>40</v>
      </c>
      <c r="T1501" s="4" t="str">
        <f>IF(OR(Tabela1[[#This Row],[Grau de Risco]]="Médio",Tabela1[[#This Row],[Grau de Risco]]="Baixo"),"Não","Sim")</f>
        <v>Não</v>
      </c>
    </row>
    <row r="1502" spans="1:20">
      <c r="A1502" s="4" t="s">
        <v>2</v>
      </c>
      <c r="B1502" s="10" t="s">
        <v>1809</v>
      </c>
      <c r="C1502" s="4" t="s">
        <v>118</v>
      </c>
      <c r="D1502" s="38" t="s">
        <v>47</v>
      </c>
      <c r="E1502" s="3">
        <v>16</v>
      </c>
      <c r="F1502" s="3">
        <v>6</v>
      </c>
      <c r="G1502" s="3">
        <v>2023</v>
      </c>
      <c r="H1502" s="36" t="s">
        <v>107</v>
      </c>
      <c r="I1502" s="7" t="s">
        <v>457</v>
      </c>
      <c r="J1502" s="4" t="s">
        <v>290</v>
      </c>
      <c r="K1502" s="3">
        <v>7</v>
      </c>
      <c r="L1502" s="3">
        <v>0</v>
      </c>
      <c r="M1502" s="4" t="s">
        <v>30</v>
      </c>
      <c r="N1502" s="4"/>
      <c r="O1502" s="4" t="s">
        <v>4</v>
      </c>
      <c r="P1502" s="3" t="s">
        <v>31</v>
      </c>
      <c r="Q1502" s="11">
        <v>2</v>
      </c>
      <c r="R1502" s="3" t="str">
        <f>IF(Q1502="","",IF(Q1502&lt;4,"Crítico",IF(Q1502&lt;9,"Alto",IF(Q1502&lt;14,"Médio","Baixo"))))</f>
        <v>Crítico</v>
      </c>
      <c r="S1502" s="10" t="s">
        <v>63</v>
      </c>
      <c r="T1502" s="4" t="str">
        <f>IF(OR(Tabela1[[#This Row],[Grau de Risco]]="Médio",Tabela1[[#This Row],[Grau de Risco]]="Baixo"),"Não","Sim")</f>
        <v>Sim</v>
      </c>
    </row>
    <row r="1503" spans="1:20">
      <c r="A1503" s="4" t="s">
        <v>2</v>
      </c>
      <c r="B1503" s="10" t="s">
        <v>1809</v>
      </c>
      <c r="C1503" s="4" t="s">
        <v>26</v>
      </c>
      <c r="D1503" s="38" t="s">
        <v>47</v>
      </c>
      <c r="E1503" s="3">
        <v>20</v>
      </c>
      <c r="F1503" s="3">
        <v>1</v>
      </c>
      <c r="G1503" s="3">
        <v>2023</v>
      </c>
      <c r="H1503" s="36" t="s">
        <v>33</v>
      </c>
      <c r="I1503" s="7" t="s">
        <v>466</v>
      </c>
      <c r="J1503" s="4" t="s">
        <v>290</v>
      </c>
      <c r="K1503" s="3">
        <v>15</v>
      </c>
      <c r="L1503" s="3">
        <v>0</v>
      </c>
      <c r="M1503" s="4" t="s">
        <v>30</v>
      </c>
      <c r="N1503" s="4">
        <v>0</v>
      </c>
      <c r="O1503" s="4" t="s">
        <v>45</v>
      </c>
      <c r="P1503" s="3" t="s">
        <v>52</v>
      </c>
      <c r="Q1503" s="11">
        <v>11</v>
      </c>
      <c r="R1503" s="3" t="s">
        <v>31</v>
      </c>
      <c r="S1503" s="5" t="s">
        <v>56</v>
      </c>
      <c r="T1503" s="4" t="str">
        <f>IF(OR(Tabela1[[#This Row],[Grau de Risco]]="Médio",Tabela1[[#This Row],[Grau de Risco]]="Baixo"),"Não","Sim")</f>
        <v>Não</v>
      </c>
    </row>
    <row r="1504" spans="1:20" hidden="1">
      <c r="A1504" s="4" t="s">
        <v>7</v>
      </c>
      <c r="B1504" s="10" t="s">
        <v>1793</v>
      </c>
      <c r="C1504" s="4" t="s">
        <v>41</v>
      </c>
      <c r="D1504" s="38" t="s">
        <v>1393</v>
      </c>
      <c r="E1504" s="3">
        <v>22</v>
      </c>
      <c r="F1504" s="3">
        <v>8</v>
      </c>
      <c r="G1504" s="3">
        <v>2023</v>
      </c>
      <c r="H1504" s="5" t="s">
        <v>123</v>
      </c>
      <c r="I1504" s="7" t="s">
        <v>1741</v>
      </c>
      <c r="J1504" s="4" t="s">
        <v>79</v>
      </c>
      <c r="K1504" s="3" t="s">
        <v>62</v>
      </c>
      <c r="L1504" s="3">
        <v>0</v>
      </c>
      <c r="M1504" s="4" t="s">
        <v>30</v>
      </c>
      <c r="N1504" s="4">
        <v>0</v>
      </c>
      <c r="O1504" s="4"/>
      <c r="P1504" s="3" t="s">
        <v>52</v>
      </c>
      <c r="Q1504" s="11">
        <v>16</v>
      </c>
      <c r="R1504" s="3" t="s">
        <v>52</v>
      </c>
      <c r="S1504" s="10" t="s">
        <v>63</v>
      </c>
      <c r="T1504" s="4" t="str">
        <f>IF(OR(Tabela1[[#This Row],[Grau de Risco]]="Médio",Tabela1[[#This Row],[Grau de Risco]]="Baixo"),"Não","Sim")</f>
        <v>Não</v>
      </c>
    </row>
    <row r="1505" spans="1:20">
      <c r="A1505" s="4" t="s">
        <v>2</v>
      </c>
      <c r="B1505" s="10" t="s">
        <v>1809</v>
      </c>
      <c r="C1505" s="4" t="s">
        <v>41</v>
      </c>
      <c r="D1505" s="38" t="s">
        <v>1320</v>
      </c>
      <c r="E1505" s="3">
        <v>21</v>
      </c>
      <c r="F1505" s="3">
        <v>8</v>
      </c>
      <c r="G1505" s="3">
        <v>2023</v>
      </c>
      <c r="H1505" s="5" t="s">
        <v>48</v>
      </c>
      <c r="I1505" s="7" t="s">
        <v>497</v>
      </c>
      <c r="J1505" s="4" t="s">
        <v>229</v>
      </c>
      <c r="K1505" s="3">
        <v>7</v>
      </c>
      <c r="L1505" s="3">
        <v>0</v>
      </c>
      <c r="M1505" s="4" t="s">
        <v>30</v>
      </c>
      <c r="N1505" s="4"/>
      <c r="O1505" s="4" t="s">
        <v>498</v>
      </c>
      <c r="P1505" s="3" t="s">
        <v>31</v>
      </c>
      <c r="Q1505" s="11">
        <v>11</v>
      </c>
      <c r="R1505" s="3" t="str">
        <f>IF(Q1505="","",IF(Q1505&lt;4,"Crítico",IF(Q1505&lt;9,"Alto",IF(Q1505&lt;14,"Médio","Baixo"))))</f>
        <v>Médio</v>
      </c>
      <c r="S1505" s="5" t="s">
        <v>56</v>
      </c>
      <c r="T1505" s="4" t="str">
        <f>IF(OR(Tabela1[[#This Row],[Grau de Risco]]="Médio",Tabela1[[#This Row],[Grau de Risco]]="Baixo"),"Não","Sim")</f>
        <v>Não</v>
      </c>
    </row>
    <row r="1506" spans="1:20">
      <c r="A1506" s="4" t="s">
        <v>7</v>
      </c>
      <c r="B1506" s="10" t="s">
        <v>1809</v>
      </c>
      <c r="C1506" s="4" t="s">
        <v>118</v>
      </c>
      <c r="D1506" s="58" t="s">
        <v>1409</v>
      </c>
      <c r="E1506" s="3">
        <v>31</v>
      </c>
      <c r="F1506" s="3">
        <v>8</v>
      </c>
      <c r="G1506" s="3">
        <v>2023</v>
      </c>
      <c r="H1506" s="36" t="s">
        <v>112</v>
      </c>
      <c r="I1506" s="7" t="s">
        <v>505</v>
      </c>
      <c r="J1506" s="4" t="s">
        <v>73</v>
      </c>
      <c r="K1506" s="3" t="s">
        <v>62</v>
      </c>
      <c r="L1506" s="3">
        <v>0</v>
      </c>
      <c r="M1506" s="4" t="s">
        <v>30</v>
      </c>
      <c r="N1506" s="4">
        <v>0</v>
      </c>
      <c r="O1506" s="4" t="s">
        <v>51</v>
      </c>
      <c r="P1506" s="3" t="s">
        <v>52</v>
      </c>
      <c r="Q1506" s="11">
        <v>13</v>
      </c>
      <c r="R1506" s="3" t="str">
        <f>IF(Q1506="","",IF(Q1506&lt;4,"Crítico",IF(Q1506&lt;9,"Alto",IF(Q1506&lt;14,"Médio","Baixo"))))</f>
        <v>Médio</v>
      </c>
      <c r="S1506" s="5" t="s">
        <v>56</v>
      </c>
      <c r="T1506" s="4" t="str">
        <f>IF(OR(Tabela1[[#This Row],[Grau de Risco]]="Médio",Tabela1[[#This Row],[Grau de Risco]]="Baixo"),"Não","Sim")</f>
        <v>Não</v>
      </c>
    </row>
    <row r="1507" spans="1:20">
      <c r="A1507" s="4" t="s">
        <v>2</v>
      </c>
      <c r="B1507" s="10" t="s">
        <v>1809</v>
      </c>
      <c r="C1507" s="4" t="s">
        <v>26</v>
      </c>
      <c r="D1507" s="5" t="s">
        <v>36</v>
      </c>
      <c r="E1507" s="3">
        <v>11</v>
      </c>
      <c r="F1507" s="3">
        <v>11</v>
      </c>
      <c r="G1507" s="3">
        <v>2023</v>
      </c>
      <c r="H1507" s="34" t="s">
        <v>59</v>
      </c>
      <c r="I1507" s="7" t="s">
        <v>560</v>
      </c>
      <c r="J1507" s="4" t="s">
        <v>79</v>
      </c>
      <c r="K1507" s="3">
        <v>1</v>
      </c>
      <c r="L1507" s="3">
        <v>0</v>
      </c>
      <c r="M1507" s="4" t="s">
        <v>30</v>
      </c>
      <c r="N1507" s="4">
        <v>0</v>
      </c>
      <c r="O1507" s="4" t="s">
        <v>55</v>
      </c>
      <c r="P1507" s="3" t="s">
        <v>31</v>
      </c>
      <c r="Q1507" s="11">
        <v>10</v>
      </c>
      <c r="R1507" s="3" t="s">
        <v>31</v>
      </c>
      <c r="S1507" s="10" t="s">
        <v>178</v>
      </c>
      <c r="T1507" s="4" t="str">
        <f>IF(OR(Tabela1[[#This Row],[Grau de Risco]]="Médio",Tabela1[[#This Row],[Grau de Risco]]="Baixo"),"Não","Sim")</f>
        <v>Não</v>
      </c>
    </row>
    <row r="1508" spans="1:20" hidden="1">
      <c r="A1508" s="4" t="s">
        <v>2</v>
      </c>
      <c r="B1508" s="10" t="s">
        <v>1805</v>
      </c>
      <c r="C1508" s="4" t="s">
        <v>26</v>
      </c>
      <c r="D1508" s="58" t="s">
        <v>1409</v>
      </c>
      <c r="E1508" s="3">
        <v>23</v>
      </c>
      <c r="F1508" s="3">
        <v>3</v>
      </c>
      <c r="G1508" s="3">
        <v>2023</v>
      </c>
      <c r="H1508" s="36" t="s">
        <v>82</v>
      </c>
      <c r="I1508" s="7" t="s">
        <v>562</v>
      </c>
      <c r="J1508" s="4" t="s">
        <v>150</v>
      </c>
      <c r="K1508" s="3">
        <v>4</v>
      </c>
      <c r="L1508" s="3">
        <v>0</v>
      </c>
      <c r="M1508" s="4" t="s">
        <v>30</v>
      </c>
      <c r="N1508" s="4">
        <v>0</v>
      </c>
      <c r="O1508" s="4" t="s">
        <v>129</v>
      </c>
      <c r="P1508" s="3" t="s">
        <v>52</v>
      </c>
      <c r="Q1508" s="11">
        <v>14</v>
      </c>
      <c r="R1508" s="3" t="s">
        <v>52</v>
      </c>
      <c r="S1508" s="5" t="s">
        <v>56</v>
      </c>
      <c r="T1508" s="4" t="str">
        <f>IF(OR(Tabela1[[#This Row],[Grau de Risco]]="Médio",Tabela1[[#This Row],[Grau de Risco]]="Baixo"),"Não","Sim")</f>
        <v>Não</v>
      </c>
    </row>
    <row r="1509" spans="1:20">
      <c r="A1509" s="4" t="s">
        <v>9</v>
      </c>
      <c r="B1509" s="10" t="s">
        <v>1809</v>
      </c>
      <c r="C1509" s="5" t="s">
        <v>26</v>
      </c>
      <c r="D1509" s="38" t="s">
        <v>1320</v>
      </c>
      <c r="E1509" s="3">
        <v>5</v>
      </c>
      <c r="F1509" s="2">
        <v>6</v>
      </c>
      <c r="G1509" s="3">
        <v>2023</v>
      </c>
      <c r="H1509" s="5" t="s">
        <v>123</v>
      </c>
      <c r="I1509" s="7" t="s">
        <v>577</v>
      </c>
      <c r="J1509" s="4" t="s">
        <v>35</v>
      </c>
      <c r="K1509" s="3">
        <v>15</v>
      </c>
      <c r="L1509" s="3">
        <v>0</v>
      </c>
      <c r="M1509" s="4" t="s">
        <v>30</v>
      </c>
      <c r="N1509" s="4">
        <v>0</v>
      </c>
      <c r="O1509" s="4" t="s">
        <v>55</v>
      </c>
      <c r="P1509" s="3" t="s">
        <v>31</v>
      </c>
      <c r="Q1509" s="11">
        <v>13</v>
      </c>
      <c r="R1509" s="2" t="s">
        <v>31</v>
      </c>
      <c r="S1509" s="10" t="s">
        <v>32</v>
      </c>
      <c r="T1509" s="4" t="str">
        <f>IF(OR(Tabela1[[#This Row],[Grau de Risco]]="Médio",Tabela1[[#This Row],[Grau de Risco]]="Baixo"),"Não","Sim")</f>
        <v>Não</v>
      </c>
    </row>
    <row r="1510" spans="1:20">
      <c r="A1510" s="4" t="s">
        <v>7</v>
      </c>
      <c r="B1510" s="10" t="s">
        <v>1809</v>
      </c>
      <c r="C1510" s="4" t="s">
        <v>26</v>
      </c>
      <c r="D1510" s="58" t="s">
        <v>1409</v>
      </c>
      <c r="E1510" s="3">
        <v>28</v>
      </c>
      <c r="F1510" s="3">
        <v>9</v>
      </c>
      <c r="G1510" s="3">
        <v>2023</v>
      </c>
      <c r="H1510" s="5" t="s">
        <v>123</v>
      </c>
      <c r="I1510" s="7" t="s">
        <v>587</v>
      </c>
      <c r="J1510" s="4" t="s">
        <v>50</v>
      </c>
      <c r="K1510" s="3" t="s">
        <v>62</v>
      </c>
      <c r="L1510" s="3">
        <v>0</v>
      </c>
      <c r="M1510" s="4" t="s">
        <v>30</v>
      </c>
      <c r="N1510" s="4">
        <v>0</v>
      </c>
      <c r="O1510" s="4" t="s">
        <v>55</v>
      </c>
      <c r="P1510" s="3" t="s">
        <v>52</v>
      </c>
      <c r="Q1510" s="11">
        <v>15</v>
      </c>
      <c r="R1510" s="3" t="s">
        <v>52</v>
      </c>
      <c r="S1510" s="5" t="s">
        <v>56</v>
      </c>
      <c r="T1510" s="4" t="str">
        <f>IF(OR(Tabela1[[#This Row],[Grau de Risco]]="Médio",Tabela1[[#This Row],[Grau de Risco]]="Baixo"),"Não","Sim")</f>
        <v>Não</v>
      </c>
    </row>
    <row r="1511" spans="1:20">
      <c r="A1511" s="4" t="s">
        <v>9</v>
      </c>
      <c r="B1511" s="10" t="s">
        <v>1809</v>
      </c>
      <c r="C1511" s="4" t="s">
        <v>26</v>
      </c>
      <c r="D1511" s="38" t="s">
        <v>1320</v>
      </c>
      <c r="E1511" s="3">
        <v>12</v>
      </c>
      <c r="F1511" s="3">
        <v>6</v>
      </c>
      <c r="G1511" s="3">
        <v>2023</v>
      </c>
      <c r="H1511" s="34" t="s">
        <v>59</v>
      </c>
      <c r="I1511" s="7" t="s">
        <v>591</v>
      </c>
      <c r="J1511" s="4" t="s">
        <v>93</v>
      </c>
      <c r="K1511" s="3">
        <v>10</v>
      </c>
      <c r="L1511" s="3">
        <v>0</v>
      </c>
      <c r="M1511" s="4" t="s">
        <v>30</v>
      </c>
      <c r="N1511" s="4">
        <v>0</v>
      </c>
      <c r="O1511" s="4" t="s">
        <v>55</v>
      </c>
      <c r="P1511" s="3" t="s">
        <v>52</v>
      </c>
      <c r="Q1511" s="11">
        <v>15</v>
      </c>
      <c r="R1511" s="3" t="s">
        <v>52</v>
      </c>
      <c r="S1511" s="5" t="s">
        <v>56</v>
      </c>
      <c r="T1511" s="4" t="str">
        <f>IF(OR(Tabela1[[#This Row],[Grau de Risco]]="Médio",Tabela1[[#This Row],[Grau de Risco]]="Baixo"),"Não","Sim")</f>
        <v>Não</v>
      </c>
    </row>
    <row r="1512" spans="1:20">
      <c r="A1512" s="4" t="s">
        <v>11</v>
      </c>
      <c r="B1512" s="10" t="s">
        <v>1809</v>
      </c>
      <c r="C1512" s="4" t="s">
        <v>41</v>
      </c>
      <c r="D1512" s="58" t="s">
        <v>1409</v>
      </c>
      <c r="E1512" s="3">
        <v>14</v>
      </c>
      <c r="F1512" s="3">
        <v>9</v>
      </c>
      <c r="G1512" s="3">
        <v>2023</v>
      </c>
      <c r="H1512" s="59" t="s">
        <v>516</v>
      </c>
      <c r="I1512" s="7" t="s">
        <v>592</v>
      </c>
      <c r="J1512" s="4" t="s">
        <v>111</v>
      </c>
      <c r="K1512" s="3">
        <v>6000</v>
      </c>
      <c r="L1512" s="3">
        <v>0</v>
      </c>
      <c r="M1512" s="4" t="s">
        <v>30</v>
      </c>
      <c r="N1512" s="4">
        <v>0</v>
      </c>
      <c r="O1512" s="4" t="s">
        <v>301</v>
      </c>
      <c r="P1512" s="3" t="s">
        <v>102</v>
      </c>
      <c r="Q1512" s="11">
        <v>2</v>
      </c>
      <c r="R1512" s="3" t="str">
        <f>IF(Q1512="","",IF(Q1512&lt;4,"Crítico",IF(Q1512&lt;9,"Alto",IF(Q1512&lt;14,"Médio","Baixo"))))</f>
        <v>Crítico</v>
      </c>
      <c r="S1512" s="10" t="s">
        <v>63</v>
      </c>
      <c r="T1512" s="4" t="str">
        <f>IF(OR(Tabela1[[#This Row],[Grau de Risco]]="Médio",Tabela1[[#This Row],[Grau de Risco]]="Baixo"),"Não","Sim")</f>
        <v>Sim</v>
      </c>
    </row>
    <row r="1513" spans="1:20" hidden="1">
      <c r="A1513" s="4" t="s">
        <v>2</v>
      </c>
      <c r="B1513" s="10" t="s">
        <v>1805</v>
      </c>
      <c r="C1513" s="4" t="s">
        <v>58</v>
      </c>
      <c r="D1513" s="38" t="s">
        <v>1382</v>
      </c>
      <c r="E1513" s="3">
        <v>5</v>
      </c>
      <c r="F1513" s="3">
        <v>4</v>
      </c>
      <c r="G1513" s="3">
        <v>2023</v>
      </c>
      <c r="H1513" s="36" t="s">
        <v>33</v>
      </c>
      <c r="I1513" s="7" t="s">
        <v>593</v>
      </c>
      <c r="J1513" s="4" t="s">
        <v>111</v>
      </c>
      <c r="K1513" s="3">
        <v>13</v>
      </c>
      <c r="L1513" s="3">
        <v>0</v>
      </c>
      <c r="M1513" s="4" t="s">
        <v>30</v>
      </c>
      <c r="N1513" s="4"/>
      <c r="O1513" s="4" t="s">
        <v>77</v>
      </c>
      <c r="P1513" s="3" t="s">
        <v>102</v>
      </c>
      <c r="Q1513" s="11">
        <v>4</v>
      </c>
      <c r="R1513" s="3" t="str">
        <f>IF(Q1513="","",IF(Q1513&lt;4,"Crítico",IF(Q1513&lt;9,"Alto",IF(Q1513&lt;14,"Médio","Baixo"))))</f>
        <v>Alto</v>
      </c>
      <c r="S1513" s="10" t="s">
        <v>63</v>
      </c>
      <c r="T1513" s="4" t="str">
        <f>IF(OR(Tabela1[[#This Row],[Grau de Risco]]="Médio",Tabela1[[#This Row],[Grau de Risco]]="Baixo"),"Não","Sim")</f>
        <v>Sim</v>
      </c>
    </row>
    <row r="1514" spans="1:20" hidden="1">
      <c r="A1514" s="4" t="s">
        <v>2</v>
      </c>
      <c r="B1514" s="10" t="s">
        <v>1793</v>
      </c>
      <c r="C1514" s="4" t="s">
        <v>81</v>
      </c>
      <c r="D1514" s="38" t="s">
        <v>1393</v>
      </c>
      <c r="E1514" s="3">
        <v>25</v>
      </c>
      <c r="F1514" s="3">
        <v>4</v>
      </c>
      <c r="G1514" s="3">
        <v>2023</v>
      </c>
      <c r="H1514" s="36" t="s">
        <v>112</v>
      </c>
      <c r="I1514" s="7" t="s">
        <v>1795</v>
      </c>
      <c r="J1514" s="4" t="s">
        <v>38</v>
      </c>
      <c r="K1514" s="3">
        <v>1</v>
      </c>
      <c r="L1514" s="3">
        <v>0</v>
      </c>
      <c r="M1514" s="4" t="s">
        <v>30</v>
      </c>
      <c r="N1514" s="4">
        <v>0</v>
      </c>
      <c r="O1514" s="4" t="s">
        <v>45</v>
      </c>
      <c r="P1514" s="3" t="s">
        <v>31</v>
      </c>
      <c r="Q1514" s="11">
        <v>13</v>
      </c>
      <c r="R1514" s="2" t="s">
        <v>31</v>
      </c>
      <c r="S1514" s="5" t="s">
        <v>56</v>
      </c>
      <c r="T1514" s="4" t="str">
        <f>IF(OR(Tabela1[[#This Row],[Grau de Risco]]="Médio",Tabela1[[#This Row],[Grau de Risco]]="Baixo"),"Não","Sim")</f>
        <v>Não</v>
      </c>
    </row>
    <row r="1515" spans="1:20">
      <c r="A1515" s="4" t="s">
        <v>7</v>
      </c>
      <c r="B1515" s="10" t="s">
        <v>1809</v>
      </c>
      <c r="C1515" s="4" t="s">
        <v>118</v>
      </c>
      <c r="D1515" s="38" t="s">
        <v>1320</v>
      </c>
      <c r="E1515" s="3">
        <v>10</v>
      </c>
      <c r="F1515" s="3">
        <v>7</v>
      </c>
      <c r="G1515" s="3">
        <v>2023</v>
      </c>
      <c r="H1515" s="4" t="s">
        <v>27</v>
      </c>
      <c r="I1515" s="7" t="s">
        <v>660</v>
      </c>
      <c r="J1515" s="4" t="s">
        <v>61</v>
      </c>
      <c r="K1515" s="3" t="s">
        <v>62</v>
      </c>
      <c r="L1515" s="3" t="s">
        <v>44</v>
      </c>
      <c r="M1515" s="4" t="s">
        <v>30</v>
      </c>
      <c r="N1515" s="4"/>
      <c r="O1515" s="4" t="s">
        <v>77</v>
      </c>
      <c r="P1515" s="3" t="s">
        <v>52</v>
      </c>
      <c r="Q1515" s="11">
        <v>15</v>
      </c>
      <c r="R1515" s="3" t="str">
        <f t="shared" ref="R1515:R1520" si="2">IF(Q1515="","",IF(Q1515&lt;4,"Crítico",IF(Q1515&lt;9,"Alto",IF(Q1515&lt;14,"Médio","Baixo"))))</f>
        <v>Baixo</v>
      </c>
      <c r="S1515" s="10" t="s">
        <v>63</v>
      </c>
      <c r="T1515" s="4" t="str">
        <f>IF(OR(Tabela1[[#This Row],[Grau de Risco]]="Médio",Tabela1[[#This Row],[Grau de Risco]]="Baixo"),"Não","Sim")</f>
        <v>Não</v>
      </c>
    </row>
    <row r="1516" spans="1:20" hidden="1">
      <c r="A1516" s="4" t="s">
        <v>2</v>
      </c>
      <c r="B1516" s="10" t="s">
        <v>1805</v>
      </c>
      <c r="C1516" s="4" t="s">
        <v>118</v>
      </c>
      <c r="D1516" s="58" t="s">
        <v>1409</v>
      </c>
      <c r="E1516" s="3">
        <v>5</v>
      </c>
      <c r="F1516" s="3">
        <v>1</v>
      </c>
      <c r="G1516" s="3">
        <v>2023</v>
      </c>
      <c r="H1516" s="36" t="s">
        <v>33</v>
      </c>
      <c r="I1516" s="7" t="s">
        <v>663</v>
      </c>
      <c r="J1516" s="4" t="s">
        <v>61</v>
      </c>
      <c r="K1516" s="3">
        <v>2</v>
      </c>
      <c r="L1516" s="3">
        <v>0</v>
      </c>
      <c r="M1516" s="4" t="s">
        <v>30</v>
      </c>
      <c r="N1516" s="4"/>
      <c r="O1516" s="4" t="s">
        <v>77</v>
      </c>
      <c r="P1516" s="3" t="s">
        <v>31</v>
      </c>
      <c r="Q1516" s="11">
        <v>10</v>
      </c>
      <c r="R1516" s="3" t="str">
        <f t="shared" si="2"/>
        <v>Médio</v>
      </c>
      <c r="S1516" s="10" t="s">
        <v>144</v>
      </c>
      <c r="T1516" s="4" t="str">
        <f>IF(OR(Tabela1[[#This Row],[Grau de Risco]]="Médio",Tabela1[[#This Row],[Grau de Risco]]="Baixo"),"Não","Sim")</f>
        <v>Não</v>
      </c>
    </row>
    <row r="1517" spans="1:20" hidden="1">
      <c r="A1517" s="4" t="s">
        <v>7</v>
      </c>
      <c r="B1517" s="10" t="s">
        <v>1805</v>
      </c>
      <c r="C1517" s="4" t="s">
        <v>58</v>
      </c>
      <c r="D1517" s="38" t="s">
        <v>47</v>
      </c>
      <c r="E1517" s="3">
        <v>21</v>
      </c>
      <c r="F1517" s="3">
        <v>4</v>
      </c>
      <c r="G1517" s="3">
        <v>2023</v>
      </c>
      <c r="H1517" s="36" t="s">
        <v>66</v>
      </c>
      <c r="I1517" s="7" t="s">
        <v>666</v>
      </c>
      <c r="J1517" s="4" t="s">
        <v>61</v>
      </c>
      <c r="K1517" s="3" t="s">
        <v>62</v>
      </c>
      <c r="L1517" s="3" t="s">
        <v>44</v>
      </c>
      <c r="M1517" s="4" t="s">
        <v>30</v>
      </c>
      <c r="N1517" s="4"/>
      <c r="O1517" s="4" t="s">
        <v>99</v>
      </c>
      <c r="P1517" s="3" t="s">
        <v>52</v>
      </c>
      <c r="Q1517" s="11">
        <v>11</v>
      </c>
      <c r="R1517" s="3" t="str">
        <f t="shared" si="2"/>
        <v>Médio</v>
      </c>
      <c r="S1517" s="10" t="s">
        <v>141</v>
      </c>
      <c r="T1517" s="4" t="str">
        <f>IF(OR(Tabela1[[#This Row],[Grau de Risco]]="Médio",Tabela1[[#This Row],[Grau de Risco]]="Baixo"),"Não","Sim")</f>
        <v>Não</v>
      </c>
    </row>
    <row r="1518" spans="1:20" hidden="1">
      <c r="A1518" s="4" t="s">
        <v>7</v>
      </c>
      <c r="B1518" s="10" t="s">
        <v>1805</v>
      </c>
      <c r="C1518" s="4" t="s">
        <v>118</v>
      </c>
      <c r="D1518" s="38" t="s">
        <v>1320</v>
      </c>
      <c r="E1518" s="3">
        <v>24</v>
      </c>
      <c r="F1518" s="3">
        <v>4</v>
      </c>
      <c r="G1518" s="3">
        <v>2023</v>
      </c>
      <c r="H1518" s="36" t="s">
        <v>107</v>
      </c>
      <c r="I1518" s="7" t="s">
        <v>667</v>
      </c>
      <c r="J1518" s="4" t="s">
        <v>61</v>
      </c>
      <c r="K1518" s="3" t="s">
        <v>62</v>
      </c>
      <c r="L1518" s="3" t="s">
        <v>44</v>
      </c>
      <c r="M1518" s="4" t="s">
        <v>30</v>
      </c>
      <c r="N1518" s="4"/>
      <c r="O1518" s="4" t="s">
        <v>88</v>
      </c>
      <c r="P1518" s="3" t="s">
        <v>52</v>
      </c>
      <c r="Q1518" s="11">
        <v>11</v>
      </c>
      <c r="R1518" s="3" t="str">
        <f t="shared" si="2"/>
        <v>Médio</v>
      </c>
      <c r="S1518" s="10" t="s">
        <v>32</v>
      </c>
      <c r="T1518" s="4" t="str">
        <f>IF(OR(Tabela1[[#This Row],[Grau de Risco]]="Médio",Tabela1[[#This Row],[Grau de Risco]]="Baixo"),"Não","Sim")</f>
        <v>Não</v>
      </c>
    </row>
    <row r="1519" spans="1:20" hidden="1">
      <c r="A1519" s="4" t="s">
        <v>2</v>
      </c>
      <c r="B1519" s="10" t="s">
        <v>1805</v>
      </c>
      <c r="C1519" s="4" t="s">
        <v>118</v>
      </c>
      <c r="D1519" s="38" t="s">
        <v>1320</v>
      </c>
      <c r="E1519" s="3">
        <v>26</v>
      </c>
      <c r="F1519" s="3">
        <v>6</v>
      </c>
      <c r="G1519" s="3">
        <v>2023</v>
      </c>
      <c r="H1519" s="36" t="s">
        <v>33</v>
      </c>
      <c r="I1519" s="7" t="s">
        <v>669</v>
      </c>
      <c r="J1519" s="4" t="s">
        <v>61</v>
      </c>
      <c r="K1519" s="3">
        <v>2</v>
      </c>
      <c r="L1519" s="3">
        <v>0</v>
      </c>
      <c r="M1519" s="4" t="s">
        <v>30</v>
      </c>
      <c r="N1519" s="4"/>
      <c r="O1519" s="4" t="s">
        <v>4</v>
      </c>
      <c r="P1519" s="3" t="s">
        <v>31</v>
      </c>
      <c r="Q1519" s="11">
        <v>10</v>
      </c>
      <c r="R1519" s="3" t="str">
        <f t="shared" si="2"/>
        <v>Médio</v>
      </c>
      <c r="S1519" s="5" t="s">
        <v>56</v>
      </c>
      <c r="T1519" s="4" t="str">
        <f>IF(OR(Tabela1[[#This Row],[Grau de Risco]]="Médio",Tabela1[[#This Row],[Grau de Risco]]="Baixo"),"Não","Sim")</f>
        <v>Não</v>
      </c>
    </row>
    <row r="1520" spans="1:20" hidden="1">
      <c r="A1520" s="4" t="s">
        <v>7</v>
      </c>
      <c r="B1520" s="10" t="s">
        <v>1805</v>
      </c>
      <c r="C1520" s="4" t="s">
        <v>118</v>
      </c>
      <c r="D1520" s="38" t="s">
        <v>1320</v>
      </c>
      <c r="E1520" s="3">
        <v>7</v>
      </c>
      <c r="F1520" s="3">
        <v>8</v>
      </c>
      <c r="G1520" s="3">
        <v>2023</v>
      </c>
      <c r="H1520" s="5" t="s">
        <v>48</v>
      </c>
      <c r="I1520" s="7" t="s">
        <v>671</v>
      </c>
      <c r="J1520" s="4" t="s">
        <v>61</v>
      </c>
      <c r="K1520" s="3" t="s">
        <v>62</v>
      </c>
      <c r="L1520" s="3"/>
      <c r="M1520" s="4"/>
      <c r="N1520" s="4"/>
      <c r="O1520" s="4" t="s">
        <v>74</v>
      </c>
      <c r="P1520" s="3" t="s">
        <v>52</v>
      </c>
      <c r="Q1520" s="11">
        <v>6</v>
      </c>
      <c r="R1520" s="3" t="str">
        <f t="shared" si="2"/>
        <v>Alto</v>
      </c>
      <c r="S1520" s="5" t="s">
        <v>56</v>
      </c>
      <c r="T1520" s="4" t="str">
        <f>IF(OR(Tabela1[[#This Row],[Grau de Risco]]="Médio",Tabela1[[#This Row],[Grau de Risco]]="Baixo"),"Não","Sim")</f>
        <v>Sim</v>
      </c>
    </row>
    <row r="1521" spans="1:20" hidden="1">
      <c r="A1521" s="4" t="s">
        <v>10</v>
      </c>
      <c r="B1521" s="10" t="s">
        <v>1805</v>
      </c>
      <c r="C1521" s="4" t="s">
        <v>41</v>
      </c>
      <c r="D1521" s="38" t="s">
        <v>1393</v>
      </c>
      <c r="E1521" s="3">
        <v>24</v>
      </c>
      <c r="F1521" s="3">
        <v>10</v>
      </c>
      <c r="G1521" s="3">
        <v>2023</v>
      </c>
      <c r="H1521" s="4" t="s">
        <v>86</v>
      </c>
      <c r="I1521" s="7" t="s">
        <v>693</v>
      </c>
      <c r="J1521" s="4" t="s">
        <v>93</v>
      </c>
      <c r="K1521" s="3" t="s">
        <v>62</v>
      </c>
      <c r="L1521" s="3">
        <v>0</v>
      </c>
      <c r="M1521" s="4" t="s">
        <v>30</v>
      </c>
      <c r="N1521" s="4">
        <v>0</v>
      </c>
      <c r="O1521" s="4" t="s">
        <v>101</v>
      </c>
      <c r="P1521" s="3" t="s">
        <v>31</v>
      </c>
      <c r="Q1521" s="11">
        <v>7</v>
      </c>
      <c r="R1521" s="3" t="s">
        <v>102</v>
      </c>
      <c r="S1521" s="10" t="s">
        <v>63</v>
      </c>
      <c r="T1521" s="4" t="str">
        <f>IF(OR(Tabela1[[#This Row],[Grau de Risco]]="Médio",Tabela1[[#This Row],[Grau de Risco]]="Baixo"),"Não","Sim")</f>
        <v>Sim</v>
      </c>
    </row>
    <row r="1522" spans="1:20" hidden="1">
      <c r="A1522" s="4" t="s">
        <v>7</v>
      </c>
      <c r="B1522" s="10" t="s">
        <v>1797</v>
      </c>
      <c r="C1522" s="4" t="s">
        <v>252</v>
      </c>
      <c r="D1522" s="58" t="s">
        <v>1409</v>
      </c>
      <c r="E1522" s="3">
        <v>11</v>
      </c>
      <c r="F1522" s="3">
        <v>4</v>
      </c>
      <c r="G1522" s="3">
        <v>2024</v>
      </c>
      <c r="H1522" s="4" t="s">
        <v>86</v>
      </c>
      <c r="I1522" s="7" t="s">
        <v>1742</v>
      </c>
      <c r="J1522" s="4" t="s">
        <v>69</v>
      </c>
      <c r="K1522" s="3" t="s">
        <v>44</v>
      </c>
      <c r="L1522" s="3" t="s">
        <v>44</v>
      </c>
      <c r="M1522" s="4"/>
      <c r="N1522" s="4" t="s">
        <v>44</v>
      </c>
      <c r="O1522" s="4"/>
      <c r="P1522" s="3" t="s">
        <v>52</v>
      </c>
      <c r="Q1522" s="11">
        <v>15</v>
      </c>
      <c r="R1522" s="3" t="s">
        <v>52</v>
      </c>
      <c r="S1522" s="10" t="s">
        <v>32</v>
      </c>
      <c r="T1522" s="4" t="str">
        <f>IF(OR(Tabela1[[#This Row],[Grau de Risco]]="Médio",Tabela1[[#This Row],[Grau de Risco]]="Baixo"),"Não","Sim")</f>
        <v>Não</v>
      </c>
    </row>
    <row r="1523" spans="1:20">
      <c r="A1523" s="4" t="s">
        <v>9</v>
      </c>
      <c r="B1523" s="10" t="s">
        <v>1809</v>
      </c>
      <c r="C1523" s="4" t="s">
        <v>89</v>
      </c>
      <c r="D1523" s="38" t="s">
        <v>1382</v>
      </c>
      <c r="E1523" s="3">
        <v>21</v>
      </c>
      <c r="F1523" s="3">
        <v>2</v>
      </c>
      <c r="G1523" s="3">
        <v>2024</v>
      </c>
      <c r="H1523" s="36" t="s">
        <v>375</v>
      </c>
      <c r="I1523" s="7" t="s">
        <v>760</v>
      </c>
      <c r="J1523" s="4" t="s">
        <v>35</v>
      </c>
      <c r="K1523" s="3">
        <v>15</v>
      </c>
      <c r="L1523" s="3">
        <v>0</v>
      </c>
      <c r="M1523" s="4" t="s">
        <v>30</v>
      </c>
      <c r="N1523" s="4"/>
      <c r="O1523" s="4" t="s">
        <v>101</v>
      </c>
      <c r="P1523" s="3" t="s">
        <v>31</v>
      </c>
      <c r="Q1523" s="11">
        <v>7</v>
      </c>
      <c r="R1523" s="3" t="s">
        <v>102</v>
      </c>
      <c r="S1523" s="10" t="s">
        <v>63</v>
      </c>
      <c r="T1523" s="4" t="str">
        <f>IF(OR(Tabela1[[#This Row],[Grau de Risco]]="Médio",Tabela1[[#This Row],[Grau de Risco]]="Baixo"),"Não","Sim")</f>
        <v>Sim</v>
      </c>
    </row>
    <row r="1524" spans="1:20" hidden="1">
      <c r="A1524" s="4" t="s">
        <v>7</v>
      </c>
      <c r="B1524" s="10" t="s">
        <v>1797</v>
      </c>
      <c r="C1524" s="4" t="s">
        <v>81</v>
      </c>
      <c r="D1524" s="38" t="s">
        <v>47</v>
      </c>
      <c r="E1524" s="3">
        <v>13</v>
      </c>
      <c r="F1524" s="3">
        <v>9</v>
      </c>
      <c r="G1524" s="3">
        <v>2024</v>
      </c>
      <c r="H1524" s="36" t="s">
        <v>82</v>
      </c>
      <c r="I1524" s="7" t="s">
        <v>1743</v>
      </c>
      <c r="J1524" s="4" t="s">
        <v>69</v>
      </c>
      <c r="K1524" s="3" t="s">
        <v>44</v>
      </c>
      <c r="L1524" s="3" t="s">
        <v>44</v>
      </c>
      <c r="M1524" s="4"/>
      <c r="N1524" s="4" t="s">
        <v>44</v>
      </c>
      <c r="O1524" s="4"/>
      <c r="P1524" s="3"/>
      <c r="Q1524" s="11">
        <v>11</v>
      </c>
      <c r="R1524" s="3" t="s">
        <v>31</v>
      </c>
      <c r="S1524" s="5" t="s">
        <v>56</v>
      </c>
      <c r="T1524" s="4" t="str">
        <f>IF(OR(Tabela1[[#This Row],[Grau de Risco]]="Médio",Tabela1[[#This Row],[Grau de Risco]]="Baixo"),"Não","Sim")</f>
        <v>Não</v>
      </c>
    </row>
    <row r="1525" spans="1:20" hidden="1">
      <c r="A1525" s="4" t="s">
        <v>2</v>
      </c>
      <c r="B1525" s="10" t="s">
        <v>1805</v>
      </c>
      <c r="C1525" s="4" t="s">
        <v>125</v>
      </c>
      <c r="D1525" s="38" t="s">
        <v>1382</v>
      </c>
      <c r="E1525" s="3">
        <v>10</v>
      </c>
      <c r="F1525" s="3">
        <v>1</v>
      </c>
      <c r="G1525" s="3">
        <v>2024</v>
      </c>
      <c r="H1525" s="36" t="s">
        <v>66</v>
      </c>
      <c r="I1525" s="7" t="s">
        <v>783</v>
      </c>
      <c r="J1525" s="4" t="s">
        <v>69</v>
      </c>
      <c r="K1525" s="3">
        <v>1</v>
      </c>
      <c r="L1525" s="3">
        <v>0</v>
      </c>
      <c r="M1525" s="4" t="s">
        <v>30</v>
      </c>
      <c r="N1525" s="4" t="s">
        <v>44</v>
      </c>
      <c r="O1525" s="4" t="s">
        <v>51</v>
      </c>
      <c r="P1525" s="3" t="s">
        <v>52</v>
      </c>
      <c r="Q1525" s="11">
        <v>11</v>
      </c>
      <c r="R1525" s="3" t="s">
        <v>31</v>
      </c>
      <c r="S1525" s="5" t="s">
        <v>56</v>
      </c>
      <c r="T1525" s="4" t="str">
        <f>IF(OR(Tabela1[[#This Row],[Grau de Risco]]="Médio",Tabela1[[#This Row],[Grau de Risco]]="Baixo"),"Não","Sim")</f>
        <v>Não</v>
      </c>
    </row>
    <row r="1526" spans="1:20">
      <c r="A1526" s="4" t="s">
        <v>7</v>
      </c>
      <c r="B1526" s="10" t="s">
        <v>1809</v>
      </c>
      <c r="C1526" s="4" t="s">
        <v>81</v>
      </c>
      <c r="D1526" s="38" t="s">
        <v>1320</v>
      </c>
      <c r="E1526" s="3">
        <v>30</v>
      </c>
      <c r="F1526" s="3">
        <v>9</v>
      </c>
      <c r="G1526" s="3">
        <v>2024</v>
      </c>
      <c r="H1526" s="5" t="s">
        <v>123</v>
      </c>
      <c r="I1526" s="7" t="s">
        <v>796</v>
      </c>
      <c r="J1526" s="4" t="s">
        <v>73</v>
      </c>
      <c r="K1526" s="3"/>
      <c r="L1526" s="3"/>
      <c r="M1526" s="4"/>
      <c r="N1526" s="4"/>
      <c r="O1526" s="4" t="s">
        <v>77</v>
      </c>
      <c r="P1526" s="3"/>
      <c r="Q1526" s="11">
        <v>13</v>
      </c>
      <c r="R1526" s="3" t="s">
        <v>31</v>
      </c>
      <c r="S1526" s="10" t="s">
        <v>4</v>
      </c>
      <c r="T1526" s="4" t="str">
        <f>IF(OR(Tabela1[[#This Row],[Grau de Risco]]="Médio",Tabela1[[#This Row],[Grau de Risco]]="Baixo"),"Não","Sim")</f>
        <v>Não</v>
      </c>
    </row>
    <row r="1527" spans="1:20" hidden="1">
      <c r="A1527" s="4" t="s">
        <v>8</v>
      </c>
      <c r="B1527" s="10" t="s">
        <v>1800</v>
      </c>
      <c r="C1527" s="4" t="s">
        <v>252</v>
      </c>
      <c r="D1527" s="58" t="s">
        <v>1409</v>
      </c>
      <c r="E1527" s="3">
        <v>28</v>
      </c>
      <c r="F1527" s="3">
        <v>3</v>
      </c>
      <c r="G1527" s="3">
        <v>2024</v>
      </c>
      <c r="H1527" s="36" t="s">
        <v>66</v>
      </c>
      <c r="I1527" s="7" t="s">
        <v>798</v>
      </c>
      <c r="J1527" s="4" t="s">
        <v>29</v>
      </c>
      <c r="K1527" s="3">
        <v>0</v>
      </c>
      <c r="L1527" s="3" t="s">
        <v>80</v>
      </c>
      <c r="M1527" s="4" t="s">
        <v>30</v>
      </c>
      <c r="N1527" s="4" t="s">
        <v>80</v>
      </c>
      <c r="O1527" s="4" t="s">
        <v>4</v>
      </c>
      <c r="P1527" s="3" t="s">
        <v>52</v>
      </c>
      <c r="Q1527" s="11">
        <v>16</v>
      </c>
      <c r="R1527" s="3" t="s">
        <v>52</v>
      </c>
      <c r="S1527" s="5" t="s">
        <v>56</v>
      </c>
      <c r="T1527" s="4" t="str">
        <f>IF(OR(Tabela1[[#This Row],[Grau de Risco]]="Médio",Tabela1[[#This Row],[Grau de Risco]]="Baixo"),"Não","Sim")</f>
        <v>Não</v>
      </c>
    </row>
    <row r="1528" spans="1:20" hidden="1">
      <c r="A1528" s="4" t="s">
        <v>2</v>
      </c>
      <c r="B1528" s="10" t="s">
        <v>1797</v>
      </c>
      <c r="C1528" s="4" t="s">
        <v>252</v>
      </c>
      <c r="D1528" s="38" t="s">
        <v>1393</v>
      </c>
      <c r="E1528" s="3">
        <v>9</v>
      </c>
      <c r="F1528" s="3">
        <v>7</v>
      </c>
      <c r="G1528" s="3">
        <v>2024</v>
      </c>
      <c r="H1528" s="5" t="s">
        <v>48</v>
      </c>
      <c r="I1528" s="7" t="s">
        <v>816</v>
      </c>
      <c r="J1528" s="4" t="s">
        <v>817</v>
      </c>
      <c r="K1528" s="3">
        <v>2</v>
      </c>
      <c r="L1528" s="3">
        <v>0</v>
      </c>
      <c r="M1528" s="4" t="s">
        <v>30</v>
      </c>
      <c r="N1528" s="4"/>
      <c r="O1528" s="4" t="s">
        <v>74</v>
      </c>
      <c r="P1528" s="3" t="s">
        <v>52</v>
      </c>
      <c r="Q1528" s="11">
        <v>14</v>
      </c>
      <c r="R1528" s="3" t="s">
        <v>52</v>
      </c>
      <c r="S1528" s="5" t="s">
        <v>56</v>
      </c>
      <c r="T1528" s="4" t="str">
        <f>IF(OR(Tabela1[[#This Row],[Grau de Risco]]="Médio",Tabela1[[#This Row],[Grau de Risco]]="Baixo"),"Não","Sim")</f>
        <v>Não</v>
      </c>
    </row>
    <row r="1529" spans="1:20">
      <c r="A1529" s="5" t="s">
        <v>7</v>
      </c>
      <c r="B1529" s="10" t="s">
        <v>1809</v>
      </c>
      <c r="C1529" s="4" t="s">
        <v>26</v>
      </c>
      <c r="D1529" s="58" t="s">
        <v>1409</v>
      </c>
      <c r="E1529" s="3">
        <v>18</v>
      </c>
      <c r="F1529" s="3">
        <v>1</v>
      </c>
      <c r="G1529" s="3">
        <v>2024</v>
      </c>
      <c r="H1529" s="36" t="s">
        <v>33</v>
      </c>
      <c r="I1529" s="7" t="s">
        <v>818</v>
      </c>
      <c r="J1529" s="4" t="s">
        <v>84</v>
      </c>
      <c r="K1529" s="3" t="s">
        <v>44</v>
      </c>
      <c r="L1529" s="3" t="s">
        <v>30</v>
      </c>
      <c r="M1529" s="4" t="s">
        <v>30</v>
      </c>
      <c r="N1529" s="4" t="s">
        <v>44</v>
      </c>
      <c r="O1529" s="4" t="s">
        <v>77</v>
      </c>
      <c r="P1529" s="3"/>
      <c r="Q1529" s="11">
        <v>16</v>
      </c>
      <c r="R1529" s="3" t="s">
        <v>52</v>
      </c>
      <c r="S1529" s="10" t="s">
        <v>63</v>
      </c>
      <c r="T1529" s="4" t="str">
        <f>IF(OR(Tabela1[[#This Row],[Grau de Risco]]="Médio",Tabela1[[#This Row],[Grau de Risco]]="Baixo"),"Não","Sim")</f>
        <v>Não</v>
      </c>
    </row>
    <row r="1530" spans="1:20" hidden="1">
      <c r="A1530" s="47" t="s">
        <v>6</v>
      </c>
      <c r="B1530" s="10" t="s">
        <v>1797</v>
      </c>
      <c r="C1530" s="4" t="s">
        <v>41</v>
      </c>
      <c r="D1530" s="58" t="s">
        <v>1409</v>
      </c>
      <c r="E1530" s="3">
        <v>3</v>
      </c>
      <c r="F1530" s="3">
        <v>10</v>
      </c>
      <c r="G1530" s="3">
        <v>2024</v>
      </c>
      <c r="H1530" s="5" t="s">
        <v>48</v>
      </c>
      <c r="I1530" s="7" t="s">
        <v>1744</v>
      </c>
      <c r="J1530" s="4" t="s">
        <v>29</v>
      </c>
      <c r="K1530" s="3" t="s">
        <v>44</v>
      </c>
      <c r="L1530" s="3" t="s">
        <v>44</v>
      </c>
      <c r="M1530" s="4"/>
      <c r="N1530" s="4" t="s">
        <v>44</v>
      </c>
      <c r="O1530" s="4"/>
      <c r="P1530" s="3" t="s">
        <v>52</v>
      </c>
      <c r="Q1530" s="11">
        <v>14</v>
      </c>
      <c r="R1530" s="3" t="s">
        <v>52</v>
      </c>
      <c r="S1530" s="5" t="s">
        <v>56</v>
      </c>
      <c r="T1530" s="4" t="str">
        <f>IF(OR(Tabela1[[#This Row],[Grau de Risco]]="Médio",Tabela1[[#This Row],[Grau de Risco]]="Baixo"),"Não","Sim")</f>
        <v>Não</v>
      </c>
    </row>
    <row r="1531" spans="1:20" hidden="1">
      <c r="A1531" s="4" t="s">
        <v>7</v>
      </c>
      <c r="B1531" s="10" t="s">
        <v>1797</v>
      </c>
      <c r="C1531" s="4" t="s">
        <v>252</v>
      </c>
      <c r="D1531" s="38" t="s">
        <v>1382</v>
      </c>
      <c r="E1531" s="3">
        <v>15</v>
      </c>
      <c r="F1531" s="3">
        <v>5</v>
      </c>
      <c r="G1531" s="3">
        <v>2024</v>
      </c>
      <c r="H1531" s="36" t="s">
        <v>82</v>
      </c>
      <c r="I1531" s="7" t="s">
        <v>853</v>
      </c>
      <c r="J1531" s="4" t="s">
        <v>111</v>
      </c>
      <c r="K1531" s="3" t="s">
        <v>62</v>
      </c>
      <c r="L1531" s="3"/>
      <c r="M1531" s="4"/>
      <c r="N1531" s="4"/>
      <c r="O1531" s="4" t="s">
        <v>117</v>
      </c>
      <c r="P1531" s="3" t="s">
        <v>52</v>
      </c>
      <c r="Q1531" s="11">
        <v>15</v>
      </c>
      <c r="R1531" s="3" t="s">
        <v>52</v>
      </c>
      <c r="S1531" s="10" t="s">
        <v>144</v>
      </c>
      <c r="T1531" s="4" t="str">
        <f>IF(OR(Tabela1[[#This Row],[Grau de Risco]]="Médio",Tabela1[[#This Row],[Grau de Risco]]="Baixo"),"Não","Sim")</f>
        <v>Não</v>
      </c>
    </row>
    <row r="1532" spans="1:20" hidden="1">
      <c r="A1532" s="4" t="s">
        <v>8</v>
      </c>
      <c r="B1532" s="10" t="s">
        <v>1805</v>
      </c>
      <c r="C1532" s="4" t="s">
        <v>81</v>
      </c>
      <c r="D1532" s="38" t="s">
        <v>1320</v>
      </c>
      <c r="E1532" s="3">
        <v>30</v>
      </c>
      <c r="F1532" s="3">
        <v>12</v>
      </c>
      <c r="G1532" s="3">
        <v>2024</v>
      </c>
      <c r="H1532" s="36" t="s">
        <v>33</v>
      </c>
      <c r="I1532" s="7" t="s">
        <v>912</v>
      </c>
      <c r="J1532" s="4" t="s">
        <v>79</v>
      </c>
      <c r="K1532" s="3" t="s">
        <v>44</v>
      </c>
      <c r="L1532" s="3" t="s">
        <v>44</v>
      </c>
      <c r="M1532" s="4"/>
      <c r="N1532" s="4" t="s">
        <v>44</v>
      </c>
      <c r="O1532" s="4" t="s">
        <v>70</v>
      </c>
      <c r="P1532" s="3" t="s">
        <v>52</v>
      </c>
      <c r="Q1532" s="11">
        <v>11</v>
      </c>
      <c r="R1532" s="3" t="s">
        <v>31</v>
      </c>
      <c r="S1532" s="5" t="s">
        <v>56</v>
      </c>
      <c r="T1532" s="4" t="str">
        <f>IF(OR(Tabela1[[#This Row],[Grau de Risco]]="Médio",Tabela1[[#This Row],[Grau de Risco]]="Baixo"),"Não","Sim")</f>
        <v>Não</v>
      </c>
    </row>
    <row r="1533" spans="1:20" hidden="1">
      <c r="A1533" s="4" t="s">
        <v>7</v>
      </c>
      <c r="B1533" s="10" t="s">
        <v>1797</v>
      </c>
      <c r="C1533" s="4" t="s">
        <v>41</v>
      </c>
      <c r="D1533" s="5" t="s">
        <v>148</v>
      </c>
      <c r="E1533" s="3">
        <v>31</v>
      </c>
      <c r="F1533" s="3">
        <v>3</v>
      </c>
      <c r="G1533" s="3">
        <v>2024</v>
      </c>
      <c r="H1533" s="60" t="s">
        <v>109</v>
      </c>
      <c r="I1533" s="7" t="s">
        <v>916</v>
      </c>
      <c r="J1533" s="4" t="s">
        <v>79</v>
      </c>
      <c r="K1533" s="3" t="s">
        <v>62</v>
      </c>
      <c r="L1533" s="3"/>
      <c r="M1533" s="4"/>
      <c r="N1533" s="4"/>
      <c r="O1533" s="4" t="s">
        <v>77</v>
      </c>
      <c r="P1533" s="3" t="s">
        <v>52</v>
      </c>
      <c r="Q1533" s="11">
        <v>15</v>
      </c>
      <c r="R1533" s="3" t="s">
        <v>52</v>
      </c>
      <c r="S1533" s="10" t="s">
        <v>63</v>
      </c>
      <c r="T1533" s="4" t="str">
        <f>IF(OR(Tabela1[[#This Row],[Grau de Risco]]="Médio",Tabela1[[#This Row],[Grau de Risco]]="Baixo"),"Não","Sim")</f>
        <v>Não</v>
      </c>
    </row>
    <row r="1534" spans="1:20" hidden="1">
      <c r="A1534" s="4" t="s">
        <v>9</v>
      </c>
      <c r="B1534" s="10" t="s">
        <v>1797</v>
      </c>
      <c r="C1534" s="4" t="s">
        <v>26</v>
      </c>
      <c r="D1534" s="58" t="s">
        <v>1409</v>
      </c>
      <c r="E1534" s="3">
        <v>11</v>
      </c>
      <c r="F1534" s="3">
        <v>6</v>
      </c>
      <c r="G1534" s="3">
        <v>2024</v>
      </c>
      <c r="H1534" s="5" t="s">
        <v>71</v>
      </c>
      <c r="I1534" s="7" t="s">
        <v>927</v>
      </c>
      <c r="J1534" s="4" t="s">
        <v>111</v>
      </c>
      <c r="K1534" s="3">
        <v>8</v>
      </c>
      <c r="L1534" s="3">
        <v>0</v>
      </c>
      <c r="M1534" s="4" t="s">
        <v>30</v>
      </c>
      <c r="N1534" s="4">
        <v>0</v>
      </c>
      <c r="O1534" s="4" t="s">
        <v>55</v>
      </c>
      <c r="P1534" s="3" t="s">
        <v>52</v>
      </c>
      <c r="Q1534" s="11">
        <v>14</v>
      </c>
      <c r="R1534" s="3" t="s">
        <v>52</v>
      </c>
      <c r="S1534" s="10" t="s">
        <v>4</v>
      </c>
      <c r="T1534" s="4" t="str">
        <f>IF(OR(Tabela1[[#This Row],[Grau de Risco]]="Médio",Tabela1[[#This Row],[Grau de Risco]]="Baixo"),"Não","Sim")</f>
        <v>Não</v>
      </c>
    </row>
    <row r="1535" spans="1:20" hidden="1">
      <c r="A1535" s="4" t="s">
        <v>10</v>
      </c>
      <c r="B1535" s="10" t="s">
        <v>1800</v>
      </c>
      <c r="C1535" s="4" t="s">
        <v>125</v>
      </c>
      <c r="D1535" s="38" t="s">
        <v>1393</v>
      </c>
      <c r="E1535" s="3">
        <v>24</v>
      </c>
      <c r="F1535" s="3">
        <v>9</v>
      </c>
      <c r="G1535" s="3">
        <v>2024</v>
      </c>
      <c r="H1535" s="36" t="s">
        <v>375</v>
      </c>
      <c r="I1535" s="7" t="s">
        <v>1745</v>
      </c>
      <c r="J1535" s="4" t="s">
        <v>111</v>
      </c>
      <c r="K1535" s="3">
        <v>0</v>
      </c>
      <c r="L1535" s="3" t="s">
        <v>80</v>
      </c>
      <c r="M1535" s="4" t="s">
        <v>30</v>
      </c>
      <c r="N1535" s="4" t="s">
        <v>80</v>
      </c>
      <c r="O1535" s="4"/>
      <c r="P1535" s="3" t="s">
        <v>31</v>
      </c>
      <c r="Q1535" s="11">
        <v>10</v>
      </c>
      <c r="R1535" s="3" t="s">
        <v>31</v>
      </c>
      <c r="S1535" s="10" t="s">
        <v>63</v>
      </c>
      <c r="T1535" s="4" t="str">
        <f>IF(OR(Tabela1[[#This Row],[Grau de Risco]]="Médio",Tabela1[[#This Row],[Grau de Risco]]="Baixo"),"Não","Sim")</f>
        <v>Não</v>
      </c>
    </row>
    <row r="1536" spans="1:20" hidden="1">
      <c r="A1536" s="4" t="s">
        <v>7</v>
      </c>
      <c r="B1536" s="10" t="s">
        <v>1797</v>
      </c>
      <c r="C1536" s="4" t="s">
        <v>81</v>
      </c>
      <c r="D1536" s="38" t="s">
        <v>47</v>
      </c>
      <c r="E1536" s="3">
        <v>12</v>
      </c>
      <c r="F1536" s="3">
        <v>4</v>
      </c>
      <c r="G1536" s="3">
        <v>2024</v>
      </c>
      <c r="H1536" s="4" t="s">
        <v>27</v>
      </c>
      <c r="I1536" s="7" t="s">
        <v>961</v>
      </c>
      <c r="J1536" s="4" t="s">
        <v>50</v>
      </c>
      <c r="K1536" s="3"/>
      <c r="L1536" s="3"/>
      <c r="M1536" s="4"/>
      <c r="N1536" s="4"/>
      <c r="O1536" s="4" t="s">
        <v>51</v>
      </c>
      <c r="P1536" s="3" t="s">
        <v>52</v>
      </c>
      <c r="Q1536" s="11">
        <v>16</v>
      </c>
      <c r="R1536" s="3" t="s">
        <v>52</v>
      </c>
      <c r="S1536" s="5" t="s">
        <v>56</v>
      </c>
      <c r="T1536" s="4" t="str">
        <f>IF(OR(Tabela1[[#This Row],[Grau de Risco]]="Médio",Tabela1[[#This Row],[Grau de Risco]]="Baixo"),"Não","Sim")</f>
        <v>Não</v>
      </c>
    </row>
    <row r="1537" spans="1:20" hidden="1">
      <c r="A1537" s="4" t="s">
        <v>8</v>
      </c>
      <c r="B1537" s="10" t="s">
        <v>1800</v>
      </c>
      <c r="C1537" s="4" t="s">
        <v>81</v>
      </c>
      <c r="D1537" s="38" t="s">
        <v>1320</v>
      </c>
      <c r="E1537" s="3">
        <v>31</v>
      </c>
      <c r="F1537" s="3">
        <v>1</v>
      </c>
      <c r="G1537" s="3">
        <v>2024</v>
      </c>
      <c r="H1537" s="36" t="s">
        <v>33</v>
      </c>
      <c r="I1537" s="7" t="s">
        <v>987</v>
      </c>
      <c r="J1537" s="4" t="s">
        <v>54</v>
      </c>
      <c r="K1537" s="3">
        <v>0</v>
      </c>
      <c r="L1537" s="3" t="s">
        <v>30</v>
      </c>
      <c r="M1537" s="4" t="s">
        <v>30</v>
      </c>
      <c r="N1537" s="4" t="s">
        <v>44</v>
      </c>
      <c r="O1537" s="4" t="s">
        <v>45</v>
      </c>
      <c r="P1537" s="3" t="s">
        <v>52</v>
      </c>
      <c r="Q1537" s="11">
        <v>11</v>
      </c>
      <c r="R1537" s="3" t="s">
        <v>31</v>
      </c>
      <c r="S1537" s="10" t="s">
        <v>63</v>
      </c>
      <c r="T1537" s="4" t="str">
        <f>IF(OR(Tabela1[[#This Row],[Grau de Risco]]="Médio",Tabela1[[#This Row],[Grau de Risco]]="Baixo"),"Não","Sim")</f>
        <v>Não</v>
      </c>
    </row>
    <row r="1538" spans="1:20" hidden="1">
      <c r="A1538" s="4" t="s">
        <v>8</v>
      </c>
      <c r="B1538" s="10" t="s">
        <v>1800</v>
      </c>
      <c r="C1538" s="4" t="s">
        <v>81</v>
      </c>
      <c r="D1538" s="38" t="s">
        <v>1320</v>
      </c>
      <c r="E1538" s="3">
        <v>26</v>
      </c>
      <c r="F1538" s="3">
        <v>2</v>
      </c>
      <c r="G1538" s="3">
        <v>2024</v>
      </c>
      <c r="H1538" s="4" t="s">
        <v>86</v>
      </c>
      <c r="I1538" s="7" t="s">
        <v>1746</v>
      </c>
      <c r="J1538" s="4" t="s">
        <v>54</v>
      </c>
      <c r="K1538" s="3">
        <v>0</v>
      </c>
      <c r="L1538" s="3" t="s">
        <v>30</v>
      </c>
      <c r="M1538" s="4" t="s">
        <v>30</v>
      </c>
      <c r="N1538" s="4" t="s">
        <v>44</v>
      </c>
      <c r="O1538" s="4"/>
      <c r="P1538" s="3">
        <v>16</v>
      </c>
      <c r="Q1538" s="11">
        <v>15</v>
      </c>
      <c r="R1538" s="3" t="s">
        <v>52</v>
      </c>
      <c r="S1538" s="10" t="s">
        <v>63</v>
      </c>
      <c r="T1538" s="4" t="str">
        <f>IF(OR(Tabela1[[#This Row],[Grau de Risco]]="Médio",Tabela1[[#This Row],[Grau de Risco]]="Baixo"),"Não","Sim")</f>
        <v>Não</v>
      </c>
    </row>
    <row r="1539" spans="1:20" hidden="1">
      <c r="A1539" s="4" t="s">
        <v>2</v>
      </c>
      <c r="B1539" s="10" t="s">
        <v>1797</v>
      </c>
      <c r="C1539" s="4" t="s">
        <v>41</v>
      </c>
      <c r="D1539" s="38" t="s">
        <v>1393</v>
      </c>
      <c r="E1539" s="3">
        <v>25</v>
      </c>
      <c r="F1539" s="3">
        <v>6</v>
      </c>
      <c r="G1539" s="3">
        <v>2024</v>
      </c>
      <c r="H1539" s="4" t="s">
        <v>86</v>
      </c>
      <c r="I1539" s="7" t="s">
        <v>1072</v>
      </c>
      <c r="J1539" s="4" t="s">
        <v>229</v>
      </c>
      <c r="K1539" s="3">
        <v>4</v>
      </c>
      <c r="L1539" s="3">
        <v>0</v>
      </c>
      <c r="M1539" s="4" t="s">
        <v>30</v>
      </c>
      <c r="N1539" s="4">
        <v>0</v>
      </c>
      <c r="O1539" s="4" t="s">
        <v>55</v>
      </c>
      <c r="P1539" s="3" t="s">
        <v>52</v>
      </c>
      <c r="Q1539" s="11">
        <v>14</v>
      </c>
      <c r="R1539" s="3" t="s">
        <v>52</v>
      </c>
      <c r="S1539" s="10" t="s">
        <v>4</v>
      </c>
      <c r="T1539" s="4" t="str">
        <f>IF(OR(Tabela1[[#This Row],[Grau de Risco]]="Médio",Tabela1[[#This Row],[Grau de Risco]]="Baixo"),"Não","Sim")</f>
        <v>Não</v>
      </c>
    </row>
    <row r="1540" spans="1:20" hidden="1">
      <c r="A1540" s="4" t="s">
        <v>2</v>
      </c>
      <c r="B1540" s="10" t="s">
        <v>1805</v>
      </c>
      <c r="C1540" s="4" t="s">
        <v>252</v>
      </c>
      <c r="D1540" s="58" t="s">
        <v>1409</v>
      </c>
      <c r="E1540" s="3">
        <v>13</v>
      </c>
      <c r="F1540" s="3">
        <v>6</v>
      </c>
      <c r="G1540" s="3">
        <v>2024</v>
      </c>
      <c r="H1540" s="36" t="s">
        <v>66</v>
      </c>
      <c r="I1540" s="7" t="s">
        <v>1088</v>
      </c>
      <c r="J1540" s="4" t="s">
        <v>93</v>
      </c>
      <c r="K1540" s="3">
        <v>1</v>
      </c>
      <c r="L1540" s="3">
        <v>0</v>
      </c>
      <c r="M1540" s="4" t="s">
        <v>30</v>
      </c>
      <c r="N1540" s="4">
        <v>0</v>
      </c>
      <c r="O1540" s="4" t="s">
        <v>99</v>
      </c>
      <c r="P1540" s="3" t="s">
        <v>52</v>
      </c>
      <c r="Q1540" s="11">
        <v>11</v>
      </c>
      <c r="R1540" s="3" t="s">
        <v>31</v>
      </c>
      <c r="S1540" s="5" t="s">
        <v>56</v>
      </c>
      <c r="T1540" s="4" t="str">
        <f>IF(OR(Tabela1[[#This Row],[Grau de Risco]]="Médio",Tabela1[[#This Row],[Grau de Risco]]="Baixo"),"Não","Sim")</f>
        <v>Não</v>
      </c>
    </row>
    <row r="1541" spans="1:20">
      <c r="A1541" s="28" t="s">
        <v>7</v>
      </c>
      <c r="B1541" s="10" t="s">
        <v>1809</v>
      </c>
      <c r="C1541" s="28" t="s">
        <v>26</v>
      </c>
      <c r="D1541" s="28" t="s">
        <v>148</v>
      </c>
      <c r="E1541" s="32">
        <v>5</v>
      </c>
      <c r="F1541" s="32">
        <v>1</v>
      </c>
      <c r="G1541" s="32">
        <v>2025</v>
      </c>
      <c r="H1541" s="34" t="s">
        <v>112</v>
      </c>
      <c r="I1541" s="29" t="s">
        <v>1111</v>
      </c>
      <c r="J1541" s="28" t="s">
        <v>61</v>
      </c>
      <c r="K1541" s="32"/>
      <c r="L1541" s="32"/>
      <c r="M1541" s="28"/>
      <c r="N1541" s="28"/>
      <c r="O1541" s="28" t="s">
        <v>4</v>
      </c>
      <c r="P1541" s="32"/>
      <c r="Q1541" s="11">
        <v>14</v>
      </c>
      <c r="R1541" s="32" t="s">
        <v>52</v>
      </c>
      <c r="S1541" s="33" t="s">
        <v>56</v>
      </c>
      <c r="T1541" s="4" t="str">
        <f>IF(OR(Tabela1[[#This Row],[Grau de Risco]]="Médio",Tabela1[[#This Row],[Grau de Risco]]="Baixo"),"Não","Sim")</f>
        <v>Não</v>
      </c>
    </row>
    <row r="1542" spans="1:20" hidden="1">
      <c r="A1542" s="4" t="s">
        <v>8</v>
      </c>
      <c r="B1542" s="10" t="s">
        <v>1797</v>
      </c>
      <c r="C1542" s="4" t="s">
        <v>81</v>
      </c>
      <c r="D1542" s="38" t="s">
        <v>1393</v>
      </c>
      <c r="E1542" s="3">
        <v>21</v>
      </c>
      <c r="F1542" s="3">
        <v>1</v>
      </c>
      <c r="G1542" s="3">
        <v>2025</v>
      </c>
      <c r="H1542" s="34" t="s">
        <v>59</v>
      </c>
      <c r="I1542" s="7" t="s">
        <v>1126</v>
      </c>
      <c r="J1542" s="4" t="s">
        <v>35</v>
      </c>
      <c r="K1542" s="3" t="s">
        <v>44</v>
      </c>
      <c r="L1542" s="3" t="s">
        <v>44</v>
      </c>
      <c r="M1542" s="4"/>
      <c r="N1542" s="4" t="s">
        <v>44</v>
      </c>
      <c r="O1542" s="4" t="s">
        <v>559</v>
      </c>
      <c r="P1542" s="3" t="s">
        <v>52</v>
      </c>
      <c r="Q1542" s="11">
        <v>14</v>
      </c>
      <c r="R1542" s="3" t="s">
        <v>52</v>
      </c>
      <c r="S1542" s="10" t="s">
        <v>32</v>
      </c>
      <c r="T1542" s="4" t="str">
        <f>IF(OR(Tabela1[[#This Row],[Grau de Risco]]="Médio",Tabela1[[#This Row],[Grau de Risco]]="Baixo"),"Não","Sim")</f>
        <v>Não</v>
      </c>
    </row>
    <row r="1543" spans="1:20" hidden="1">
      <c r="A1543" s="4" t="s">
        <v>8</v>
      </c>
      <c r="B1543" s="10" t="s">
        <v>1797</v>
      </c>
      <c r="C1543" s="4" t="s">
        <v>125</v>
      </c>
      <c r="D1543" s="38" t="s">
        <v>1393</v>
      </c>
      <c r="E1543" s="3">
        <v>4</v>
      </c>
      <c r="F1543" s="3">
        <v>2</v>
      </c>
      <c r="G1543" s="3">
        <v>2025</v>
      </c>
      <c r="H1543" s="34" t="s">
        <v>59</v>
      </c>
      <c r="I1543" s="7" t="s">
        <v>1144</v>
      </c>
      <c r="J1543" s="4" t="s">
        <v>69</v>
      </c>
      <c r="K1543" s="3" t="s">
        <v>44</v>
      </c>
      <c r="L1543" s="3" t="s">
        <v>44</v>
      </c>
      <c r="M1543" s="4" t="s">
        <v>30</v>
      </c>
      <c r="N1543" s="4"/>
      <c r="O1543" s="4" t="s">
        <v>55</v>
      </c>
      <c r="P1543" s="3" t="s">
        <v>52</v>
      </c>
      <c r="Q1543" s="11">
        <v>14</v>
      </c>
      <c r="R1543" s="3" t="s">
        <v>52</v>
      </c>
      <c r="S1543" s="5" t="s">
        <v>56</v>
      </c>
      <c r="T1543" s="4" t="str">
        <f>IF(OR(Tabela1[[#This Row],[Grau de Risco]]="Médio",Tabela1[[#This Row],[Grau de Risco]]="Baixo"),"Não","Sim")</f>
        <v>Não</v>
      </c>
    </row>
    <row r="1544" spans="1:20">
      <c r="A1544" s="4" t="s">
        <v>1110</v>
      </c>
      <c r="B1544" s="10" t="s">
        <v>1809</v>
      </c>
      <c r="C1544" s="4" t="s">
        <v>125</v>
      </c>
      <c r="D1544" s="38" t="s">
        <v>1382</v>
      </c>
      <c r="E1544" s="3">
        <v>12</v>
      </c>
      <c r="F1544" s="3">
        <v>2</v>
      </c>
      <c r="G1544" s="3">
        <v>2025</v>
      </c>
      <c r="H1544" s="36" t="s">
        <v>107</v>
      </c>
      <c r="I1544" s="7" t="s">
        <v>1153</v>
      </c>
      <c r="J1544" s="4" t="s">
        <v>69</v>
      </c>
      <c r="K1544" s="3" t="s">
        <v>44</v>
      </c>
      <c r="L1544" s="3" t="s">
        <v>44</v>
      </c>
      <c r="M1544" s="4"/>
      <c r="N1544" s="4" t="s">
        <v>44</v>
      </c>
      <c r="O1544" s="4"/>
      <c r="P1544" s="3"/>
      <c r="Q1544" s="11">
        <v>16</v>
      </c>
      <c r="R1544" s="3" t="s">
        <v>52</v>
      </c>
      <c r="S1544" s="33" t="s">
        <v>63</v>
      </c>
      <c r="T1544" s="4" t="str">
        <f>IF(OR(Tabela1[[#This Row],[Grau de Risco]]="Médio",Tabela1[[#This Row],[Grau de Risco]]="Baixo"),"Não","Sim")</f>
        <v>Não</v>
      </c>
    </row>
    <row r="1545" spans="1:20">
      <c r="A1545" s="4" t="s">
        <v>8</v>
      </c>
      <c r="B1545" s="10" t="s">
        <v>1809</v>
      </c>
      <c r="C1545" s="4" t="s">
        <v>41</v>
      </c>
      <c r="D1545" s="58" t="s">
        <v>1409</v>
      </c>
      <c r="E1545" s="3">
        <v>20</v>
      </c>
      <c r="F1545" s="3">
        <v>2</v>
      </c>
      <c r="G1545" s="3">
        <v>2025</v>
      </c>
      <c r="H1545" s="36" t="s">
        <v>112</v>
      </c>
      <c r="I1545" s="7" t="s">
        <v>1173</v>
      </c>
      <c r="J1545" s="4" t="s">
        <v>35</v>
      </c>
      <c r="K1545" s="3" t="s">
        <v>44</v>
      </c>
      <c r="L1545" s="3" t="s">
        <v>44</v>
      </c>
      <c r="M1545" s="4"/>
      <c r="N1545" s="4" t="s">
        <v>44</v>
      </c>
      <c r="O1545" s="4" t="s">
        <v>301</v>
      </c>
      <c r="P1545" s="3" t="s">
        <v>31</v>
      </c>
      <c r="Q1545" s="11">
        <v>4</v>
      </c>
      <c r="R1545" s="3" t="s">
        <v>102</v>
      </c>
      <c r="S1545" s="10" t="s">
        <v>63</v>
      </c>
      <c r="T1545" s="4" t="str">
        <f>IF(OR(Tabela1[[#This Row],[Grau de Risco]]="Médio",Tabela1[[#This Row],[Grau de Risco]]="Baixo"),"Não","Sim")</f>
        <v>Sim</v>
      </c>
    </row>
    <row r="1546" spans="1:20" hidden="1">
      <c r="A1546" s="4" t="s">
        <v>1110</v>
      </c>
      <c r="B1546" s="10" t="s">
        <v>1797</v>
      </c>
      <c r="C1546" s="4" t="s">
        <v>26</v>
      </c>
      <c r="D1546" s="38" t="s">
        <v>1393</v>
      </c>
      <c r="E1546" s="3">
        <v>25</v>
      </c>
      <c r="F1546" s="3">
        <v>2</v>
      </c>
      <c r="G1546" s="3">
        <v>2025</v>
      </c>
      <c r="H1546" s="36" t="s">
        <v>33</v>
      </c>
      <c r="I1546" s="7" t="s">
        <v>1178</v>
      </c>
      <c r="J1546" s="4" t="s">
        <v>84</v>
      </c>
      <c r="K1546" s="3" t="s">
        <v>44</v>
      </c>
      <c r="L1546" s="3" t="s">
        <v>44</v>
      </c>
      <c r="M1546" s="4"/>
      <c r="N1546" s="4" t="s">
        <v>44</v>
      </c>
      <c r="O1546" s="4"/>
      <c r="P1546" s="3"/>
      <c r="Q1546" s="11">
        <v>14</v>
      </c>
      <c r="R1546" s="3" t="s">
        <v>52</v>
      </c>
      <c r="S1546" s="10" t="s">
        <v>56</v>
      </c>
      <c r="T1546" s="4" t="str">
        <f>IF(OR(Tabela1[[#This Row],[Grau de Risco]]="Médio",Tabela1[[#This Row],[Grau de Risco]]="Baixo"),"Não","Sim")</f>
        <v>Não</v>
      </c>
    </row>
    <row r="1547" spans="1:20">
      <c r="A1547" s="47" t="s">
        <v>6</v>
      </c>
      <c r="B1547" s="10" t="s">
        <v>1809</v>
      </c>
      <c r="C1547" s="28" t="s">
        <v>81</v>
      </c>
      <c r="D1547" s="38" t="s">
        <v>1393</v>
      </c>
      <c r="E1547" s="32">
        <v>10</v>
      </c>
      <c r="F1547" s="32">
        <v>6</v>
      </c>
      <c r="G1547" s="32">
        <v>2025</v>
      </c>
      <c r="H1547" s="36" t="s">
        <v>112</v>
      </c>
      <c r="I1547" s="29" t="s">
        <v>1747</v>
      </c>
      <c r="J1547" s="28" t="s">
        <v>38</v>
      </c>
      <c r="K1547" s="32"/>
      <c r="L1547" s="32" t="s">
        <v>44</v>
      </c>
      <c r="M1547" s="28" t="s">
        <v>30</v>
      </c>
      <c r="N1547" s="28" t="s">
        <v>44</v>
      </c>
      <c r="O1547" s="28"/>
      <c r="P1547" s="32"/>
      <c r="Q1547" s="35">
        <v>6</v>
      </c>
      <c r="R1547" s="3" t="s">
        <v>102</v>
      </c>
      <c r="S1547" t="s">
        <v>1261</v>
      </c>
      <c r="T1547" s="4" t="str">
        <f>IF(OR(Tabela1[[#This Row],[Grau de Risco]]="Médio",Tabela1[[#This Row],[Grau de Risco]]="Baixo"),"Não","Sim")</f>
        <v>Sim</v>
      </c>
    </row>
    <row r="1548" spans="1:20">
      <c r="A1548" s="4" t="s">
        <v>7</v>
      </c>
      <c r="B1548" s="10" t="s">
        <v>1809</v>
      </c>
      <c r="C1548" s="4" t="s">
        <v>26</v>
      </c>
      <c r="D1548" s="5" t="s">
        <v>148</v>
      </c>
      <c r="E1548" s="3">
        <v>13</v>
      </c>
      <c r="F1548" s="3">
        <v>4</v>
      </c>
      <c r="G1548" s="3">
        <v>2025</v>
      </c>
      <c r="H1548" s="5" t="s">
        <v>48</v>
      </c>
      <c r="I1548" s="7" t="s">
        <v>1748</v>
      </c>
      <c r="J1548" s="4" t="s">
        <v>575</v>
      </c>
      <c r="K1548" s="3">
        <v>0</v>
      </c>
      <c r="L1548" s="3">
        <v>0</v>
      </c>
      <c r="M1548" s="4" t="s">
        <v>30</v>
      </c>
      <c r="N1548" s="4">
        <v>0</v>
      </c>
      <c r="O1548" s="4"/>
      <c r="P1548" s="3" t="s">
        <v>52</v>
      </c>
      <c r="Q1548" s="11">
        <v>15</v>
      </c>
      <c r="R1548" s="3" t="s">
        <v>52</v>
      </c>
      <c r="S1548" s="10" t="s">
        <v>63</v>
      </c>
      <c r="T1548" s="4" t="str">
        <f>IF(OR(Tabela1[[#This Row],[Grau de Risco]]="Médio",Tabela1[[#This Row],[Grau de Risco]]="Baixo"),"Não","Sim")</f>
        <v>Não</v>
      </c>
    </row>
    <row r="1549" spans="1:20" hidden="1">
      <c r="A1549" s="4" t="s">
        <v>8</v>
      </c>
      <c r="B1549" s="10" t="s">
        <v>1803</v>
      </c>
      <c r="C1549" s="4" t="s">
        <v>125</v>
      </c>
      <c r="D1549" s="38" t="s">
        <v>1320</v>
      </c>
      <c r="E1549" s="3">
        <v>5</v>
      </c>
      <c r="F1549" s="3">
        <v>5</v>
      </c>
      <c r="G1549" s="3">
        <v>2025</v>
      </c>
      <c r="H1549" s="4" t="s">
        <v>27</v>
      </c>
      <c r="I1549" s="7" t="s">
        <v>1247</v>
      </c>
      <c r="J1549" s="4" t="s">
        <v>69</v>
      </c>
      <c r="K1549" s="3" t="s">
        <v>44</v>
      </c>
      <c r="L1549" s="3" t="s">
        <v>44</v>
      </c>
      <c r="M1549" s="4"/>
      <c r="N1549" s="4" t="s">
        <v>44</v>
      </c>
      <c r="O1549" s="4" t="s">
        <v>167</v>
      </c>
      <c r="P1549" s="3" t="s">
        <v>52</v>
      </c>
      <c r="Q1549" s="11">
        <v>14</v>
      </c>
      <c r="R1549" s="3" t="s">
        <v>52</v>
      </c>
      <c r="S1549" s="10" t="s">
        <v>32</v>
      </c>
      <c r="T1549" s="4" t="str">
        <f>IF(OR(Tabela1[[#This Row],[Grau de Risco]]="Médio",Tabela1[[#This Row],[Grau de Risco]]="Baixo"),"Não","Sim")</f>
        <v>Não</v>
      </c>
    </row>
    <row r="1550" spans="1:20" hidden="1">
      <c r="A1550" s="4" t="s">
        <v>2</v>
      </c>
      <c r="B1550" s="10" t="s">
        <v>1805</v>
      </c>
      <c r="C1550" s="4" t="s">
        <v>81</v>
      </c>
      <c r="D1550" s="58" t="s">
        <v>1409</v>
      </c>
      <c r="E1550" s="3">
        <v>29</v>
      </c>
      <c r="F1550" s="3">
        <v>5</v>
      </c>
      <c r="G1550" s="3">
        <v>2025</v>
      </c>
      <c r="H1550" s="5" t="s">
        <v>48</v>
      </c>
      <c r="I1550" s="7" t="s">
        <v>1273</v>
      </c>
      <c r="J1550" s="4" t="s">
        <v>93</v>
      </c>
      <c r="K1550" s="3">
        <v>5</v>
      </c>
      <c r="L1550" s="3">
        <v>0</v>
      </c>
      <c r="M1550" s="4" t="s">
        <v>30</v>
      </c>
      <c r="N1550" s="4"/>
      <c r="O1550" s="4" t="s">
        <v>74</v>
      </c>
      <c r="P1550" s="3" t="s">
        <v>31</v>
      </c>
      <c r="Q1550" s="11">
        <v>8</v>
      </c>
      <c r="R1550" s="3" t="s">
        <v>102</v>
      </c>
      <c r="S1550" s="5" t="s">
        <v>56</v>
      </c>
      <c r="T1550" s="4" t="str">
        <f>IF(OR(Tabela1[[#This Row],[Grau de Risco]]="Médio",Tabela1[[#This Row],[Grau de Risco]]="Baixo"),"Não","Sim")</f>
        <v>Sim</v>
      </c>
    </row>
    <row r="1551" spans="1:20" hidden="1">
      <c r="A1551" s="4" t="s">
        <v>7</v>
      </c>
      <c r="B1551" s="10" t="s">
        <v>1797</v>
      </c>
      <c r="C1551" s="4" t="s">
        <v>125</v>
      </c>
      <c r="D1551" s="38" t="s">
        <v>1393</v>
      </c>
      <c r="E1551" s="3">
        <v>3</v>
      </c>
      <c r="F1551" s="3">
        <v>6</v>
      </c>
      <c r="G1551" s="3">
        <v>2025</v>
      </c>
      <c r="H1551" s="5" t="s">
        <v>71</v>
      </c>
      <c r="I1551" s="7" t="s">
        <v>1749</v>
      </c>
      <c r="J1551" s="4" t="s">
        <v>69</v>
      </c>
      <c r="K1551" s="3" t="s">
        <v>44</v>
      </c>
      <c r="L1551" s="3" t="s">
        <v>44</v>
      </c>
      <c r="M1551" s="4"/>
      <c r="N1551" s="4" t="s">
        <v>44</v>
      </c>
      <c r="O1551" s="4"/>
      <c r="P1551" s="3"/>
      <c r="Q1551" s="11">
        <v>14</v>
      </c>
      <c r="R1551" s="3" t="s">
        <v>52</v>
      </c>
      <c r="S1551" s="10" t="s">
        <v>63</v>
      </c>
      <c r="T1551" s="4" t="str">
        <f>IF(OR(Tabela1[[#This Row],[Grau de Risco]]="Médio",Tabela1[[#This Row],[Grau de Risco]]="Baixo"),"Não","Sim")</f>
        <v>Não</v>
      </c>
    </row>
    <row r="1552" spans="1:20" hidden="1">
      <c r="A1552" s="28" t="s">
        <v>9</v>
      </c>
      <c r="B1552" s="33" t="s">
        <v>1797</v>
      </c>
      <c r="C1552" s="28" t="s">
        <v>125</v>
      </c>
      <c r="D1552" s="38" t="s">
        <v>47</v>
      </c>
      <c r="E1552" s="32">
        <v>6</v>
      </c>
      <c r="F1552" s="32">
        <v>6</v>
      </c>
      <c r="G1552" s="32">
        <v>2025</v>
      </c>
      <c r="H1552" s="34" t="s">
        <v>209</v>
      </c>
      <c r="I1552" s="29" t="s">
        <v>1284</v>
      </c>
      <c r="J1552" s="28" t="s">
        <v>91</v>
      </c>
      <c r="K1552" s="32">
        <v>15</v>
      </c>
      <c r="L1552" s="32"/>
      <c r="M1552" s="28"/>
      <c r="N1552" s="28"/>
      <c r="O1552" s="28" t="s">
        <v>386</v>
      </c>
      <c r="P1552" s="32" t="s">
        <v>31</v>
      </c>
      <c r="Q1552" s="35">
        <v>5</v>
      </c>
      <c r="R1552" s="32" t="s">
        <v>102</v>
      </c>
      <c r="S1552" s="10" t="s">
        <v>63</v>
      </c>
      <c r="T1552" s="4" t="str">
        <f>IF(OR(Tabela1[[#This Row],[Grau de Risco]]="Médio",Tabela1[[#This Row],[Grau de Risco]]="Baixo"),"Não","Sim")</f>
        <v>Sim</v>
      </c>
    </row>
    <row r="1553" spans="1:20" hidden="1">
      <c r="A1553" s="4" t="s">
        <v>10</v>
      </c>
      <c r="B1553" s="10" t="s">
        <v>1797</v>
      </c>
      <c r="C1553" s="4" t="s">
        <v>125</v>
      </c>
      <c r="D1553" s="38" t="s">
        <v>47</v>
      </c>
      <c r="E1553" s="3">
        <v>4</v>
      </c>
      <c r="F1553" s="3">
        <v>7</v>
      </c>
      <c r="G1553" s="3">
        <v>2025</v>
      </c>
      <c r="H1553" s="36" t="s">
        <v>375</v>
      </c>
      <c r="I1553" s="7" t="s">
        <v>1335</v>
      </c>
      <c r="J1553" s="4" t="s">
        <v>69</v>
      </c>
      <c r="K1553" s="3" t="s">
        <v>44</v>
      </c>
      <c r="L1553" s="3" t="s">
        <v>44</v>
      </c>
      <c r="M1553" s="4"/>
      <c r="N1553" s="4" t="s">
        <v>44</v>
      </c>
      <c r="O1553" s="4" t="s">
        <v>55</v>
      </c>
      <c r="P1553" s="3" t="s">
        <v>52</v>
      </c>
      <c r="Q1553" s="11">
        <v>14</v>
      </c>
      <c r="R1553" s="3" t="s">
        <v>52</v>
      </c>
      <c r="S1553" s="5" t="s">
        <v>56</v>
      </c>
      <c r="T1553" s="4" t="str">
        <f>IF(OR(Tabela1[[#This Row],[Grau de Risco]]="Médio",Tabela1[[#This Row],[Grau de Risco]]="Baixo"),"Não","Sim")</f>
        <v>Não</v>
      </c>
    </row>
    <row r="1554" spans="1:20" hidden="1">
      <c r="A1554" s="28" t="s">
        <v>7</v>
      </c>
      <c r="B1554" s="33" t="s">
        <v>1797</v>
      </c>
      <c r="C1554" s="28" t="s">
        <v>125</v>
      </c>
      <c r="D1554" s="38" t="s">
        <v>1382</v>
      </c>
      <c r="E1554" s="32">
        <v>3</v>
      </c>
      <c r="F1554" s="32">
        <v>7</v>
      </c>
      <c r="G1554" s="32">
        <v>2025</v>
      </c>
      <c r="H1554" s="5" t="s">
        <v>71</v>
      </c>
      <c r="I1554" s="29" t="s">
        <v>1341</v>
      </c>
      <c r="J1554" s="28" t="s">
        <v>61</v>
      </c>
      <c r="K1554" s="32"/>
      <c r="L1554" s="32"/>
      <c r="M1554" s="28"/>
      <c r="N1554" s="28"/>
      <c r="O1554" s="28" t="s">
        <v>55</v>
      </c>
      <c r="P1554" s="32"/>
      <c r="Q1554" s="35">
        <v>16</v>
      </c>
      <c r="R1554" s="32" t="s">
        <v>52</v>
      </c>
      <c r="S1554" s="33" t="s">
        <v>56</v>
      </c>
      <c r="T1554" s="4" t="str">
        <f>IF(OR(Tabela1[[#This Row],[Grau de Risco]]="Médio",Tabela1[[#This Row],[Grau de Risco]]="Baixo"),"Não","Sim")</f>
        <v>Não</v>
      </c>
    </row>
    <row r="1555" spans="1:20" hidden="1">
      <c r="A1555" s="28" t="s">
        <v>2</v>
      </c>
      <c r="B1555" s="33" t="s">
        <v>1797</v>
      </c>
      <c r="C1555" s="28" t="s">
        <v>252</v>
      </c>
      <c r="D1555" s="38" t="s">
        <v>1382</v>
      </c>
      <c r="E1555" s="32">
        <v>9</v>
      </c>
      <c r="F1555" s="32">
        <v>7</v>
      </c>
      <c r="G1555" s="32">
        <v>2025</v>
      </c>
      <c r="H1555" s="34" t="s">
        <v>332</v>
      </c>
      <c r="I1555" s="29" t="s">
        <v>1347</v>
      </c>
      <c r="J1555" s="28" t="s">
        <v>61</v>
      </c>
      <c r="K1555" s="32">
        <v>2</v>
      </c>
      <c r="L1555" s="32"/>
      <c r="M1555" s="28"/>
      <c r="N1555" s="28"/>
      <c r="O1555" s="28" t="s">
        <v>159</v>
      </c>
      <c r="P1555" s="32" t="s">
        <v>31</v>
      </c>
      <c r="Q1555" s="35">
        <v>11</v>
      </c>
      <c r="R1555" s="32" t="s">
        <v>31</v>
      </c>
      <c r="S1555" s="5" t="s">
        <v>56</v>
      </c>
      <c r="T1555" s="4" t="str">
        <f>IF(OR(Tabela1[[#This Row],[Grau de Risco]]="Médio",Tabela1[[#This Row],[Grau de Risco]]="Baixo"),"Não","Sim")</f>
        <v>Não</v>
      </c>
    </row>
    <row r="1556" spans="1:20" hidden="1">
      <c r="A1556" s="4" t="s">
        <v>9</v>
      </c>
      <c r="B1556" s="10" t="s">
        <v>1797</v>
      </c>
      <c r="C1556" s="4" t="s">
        <v>252</v>
      </c>
      <c r="D1556" s="58" t="s">
        <v>1409</v>
      </c>
      <c r="E1556" s="3">
        <v>10</v>
      </c>
      <c r="F1556" s="3">
        <v>7</v>
      </c>
      <c r="G1556" s="3">
        <v>2025</v>
      </c>
      <c r="H1556" s="36" t="s">
        <v>375</v>
      </c>
      <c r="I1556" s="7" t="s">
        <v>1348</v>
      </c>
      <c r="J1556" s="4" t="s">
        <v>835</v>
      </c>
      <c r="K1556" s="3">
        <v>2</v>
      </c>
      <c r="L1556" s="3">
        <v>0</v>
      </c>
      <c r="M1556" s="4">
        <v>0</v>
      </c>
      <c r="N1556" s="4">
        <v>0</v>
      </c>
      <c r="O1556" s="4" t="s">
        <v>101</v>
      </c>
      <c r="P1556" s="3" t="s">
        <v>31</v>
      </c>
      <c r="Q1556" s="11">
        <v>7</v>
      </c>
      <c r="R1556" s="3" t="s">
        <v>102</v>
      </c>
      <c r="S1556" s="10" t="s">
        <v>63</v>
      </c>
      <c r="T1556" s="4" t="str">
        <f>IF(OR(Tabela1[[#This Row],[Grau de Risco]]="Médio",Tabela1[[#This Row],[Grau de Risco]]="Baixo"),"Não","Sim")</f>
        <v>Sim</v>
      </c>
    </row>
    <row r="1557" spans="1:20" hidden="1">
      <c r="A1557" s="28" t="s">
        <v>7</v>
      </c>
      <c r="B1557" s="33" t="s">
        <v>1797</v>
      </c>
      <c r="C1557" s="28" t="s">
        <v>125</v>
      </c>
      <c r="D1557" s="28" t="s">
        <v>1409</v>
      </c>
      <c r="E1557" s="32">
        <v>21</v>
      </c>
      <c r="F1557" s="32">
        <v>8</v>
      </c>
      <c r="G1557" s="32">
        <v>2025</v>
      </c>
      <c r="H1557" s="34" t="s">
        <v>71</v>
      </c>
      <c r="I1557" s="29" t="s">
        <v>1403</v>
      </c>
      <c r="J1557" s="28" t="s">
        <v>229</v>
      </c>
      <c r="K1557" s="32"/>
      <c r="L1557" s="32"/>
      <c r="M1557" s="28"/>
      <c r="N1557" s="28"/>
      <c r="O1557" s="28" t="s">
        <v>4</v>
      </c>
      <c r="P1557" s="32"/>
      <c r="Q1557" s="35">
        <v>11</v>
      </c>
      <c r="R1557" s="32" t="s">
        <v>31</v>
      </c>
      <c r="S1557" s="33" t="s">
        <v>63</v>
      </c>
      <c r="T1557" s="4" t="str">
        <f>IF(OR(Tabela1[[#This Row],[Grau de Risco]]="Médio",Tabela1[[#This Row],[Grau de Risco]]="Baixo"),"Não","Sim")</f>
        <v>Não</v>
      </c>
    </row>
    <row r="1558" spans="1:20" hidden="1">
      <c r="A1558" s="28" t="s">
        <v>8</v>
      </c>
      <c r="B1558" s="33" t="s">
        <v>1797</v>
      </c>
      <c r="C1558" s="28" t="s">
        <v>125</v>
      </c>
      <c r="D1558" s="28" t="s">
        <v>47</v>
      </c>
      <c r="E1558" s="32">
        <v>3</v>
      </c>
      <c r="F1558" s="32">
        <v>10</v>
      </c>
      <c r="G1558" s="32">
        <v>2025</v>
      </c>
      <c r="H1558" s="34" t="s">
        <v>27</v>
      </c>
      <c r="I1558" s="29" t="s">
        <v>1750</v>
      </c>
      <c r="J1558" s="28" t="s">
        <v>76</v>
      </c>
      <c r="K1558" s="32"/>
      <c r="L1558" s="32"/>
      <c r="M1558" s="28"/>
      <c r="N1558" s="28"/>
      <c r="O1558" s="28"/>
      <c r="P1558" s="32" t="s">
        <v>52</v>
      </c>
      <c r="Q1558" s="35">
        <v>14</v>
      </c>
      <c r="R1558" s="3" t="s">
        <v>52</v>
      </c>
      <c r="S1558" s="33" t="s">
        <v>56</v>
      </c>
      <c r="T1558" s="4" t="str">
        <f>IF(OR(Tabela1[[#This Row],[Grau de Risco]]="Médio",Tabela1[[#This Row],[Grau de Risco]]="Baixo"),"Não","Sim")</f>
        <v>Não</v>
      </c>
    </row>
    <row r="1559" spans="1:20" hidden="1">
      <c r="A1559" s="4" t="s">
        <v>7</v>
      </c>
      <c r="B1559" s="10" t="s">
        <v>1797</v>
      </c>
      <c r="C1559" s="4" t="s">
        <v>125</v>
      </c>
      <c r="D1559" s="5" t="s">
        <v>1382</v>
      </c>
      <c r="E1559" s="3">
        <v>27</v>
      </c>
      <c r="F1559" s="3">
        <v>8</v>
      </c>
      <c r="G1559" s="3">
        <v>2025</v>
      </c>
      <c r="H1559" s="5" t="s">
        <v>82</v>
      </c>
      <c r="I1559" s="7" t="s">
        <v>1751</v>
      </c>
      <c r="J1559" s="4" t="s">
        <v>69</v>
      </c>
      <c r="K1559" s="3" t="s">
        <v>44</v>
      </c>
      <c r="L1559" s="3" t="s">
        <v>44</v>
      </c>
      <c r="M1559" s="4"/>
      <c r="N1559" s="67" t="s">
        <v>44</v>
      </c>
      <c r="O1559" s="4"/>
      <c r="P1559" s="3"/>
      <c r="Q1559" s="11">
        <v>14</v>
      </c>
      <c r="R1559" s="3" t="s">
        <v>52</v>
      </c>
      <c r="S1559" s="10" t="s">
        <v>56</v>
      </c>
      <c r="T1559" s="4" t="str">
        <f>IF(OR(Tabela1[[#This Row],[Grau de Risco]]="Médio",Tabela1[[#This Row],[Grau de Risco]]="Baixo"),"Não","Sim")</f>
        <v>Não</v>
      </c>
    </row>
    <row r="1560" spans="1:20" ht="28.8" hidden="1">
      <c r="A1560" s="28" t="s">
        <v>240</v>
      </c>
      <c r="B1560" s="33" t="s">
        <v>1797</v>
      </c>
      <c r="C1560" s="32" t="s">
        <v>41</v>
      </c>
      <c r="D1560" s="32" t="s">
        <v>1393</v>
      </c>
      <c r="E1560" s="32">
        <v>4</v>
      </c>
      <c r="F1560" s="32">
        <v>11</v>
      </c>
      <c r="G1560" s="32">
        <v>2025</v>
      </c>
      <c r="H1560" s="32" t="s">
        <v>59</v>
      </c>
      <c r="I1560" s="72" t="s">
        <v>1548</v>
      </c>
      <c r="J1560" s="32" t="s">
        <v>93</v>
      </c>
      <c r="K1560" s="32"/>
      <c r="L1560" s="32">
        <v>6000</v>
      </c>
      <c r="M1560" s="32" t="s">
        <v>30</v>
      </c>
      <c r="N1560" s="32"/>
      <c r="O1560" s="32" t="s">
        <v>74</v>
      </c>
      <c r="P1560" s="32" t="s">
        <v>102</v>
      </c>
      <c r="Q1560" s="32">
        <v>1</v>
      </c>
      <c r="R1560" s="32" t="s">
        <v>102</v>
      </c>
      <c r="S1560" s="28" t="s">
        <v>141</v>
      </c>
      <c r="T1560" s="4" t="str">
        <f>IF(OR(Tabela1[[#This Row],[Grau de Risco]]="Médio",Tabela1[[#This Row],[Grau de Risco]]="Baixo"),"Não","Sim")</f>
        <v>Sim</v>
      </c>
    </row>
    <row r="1561" spans="1:20" hidden="1">
      <c r="A1561" s="28" t="s">
        <v>7</v>
      </c>
      <c r="B1561" s="33" t="s">
        <v>1797</v>
      </c>
      <c r="C1561" s="32" t="s">
        <v>41</v>
      </c>
      <c r="D1561" s="32" t="s">
        <v>1393</v>
      </c>
      <c r="E1561" s="32">
        <v>11</v>
      </c>
      <c r="F1561" s="32">
        <v>11</v>
      </c>
      <c r="G1561" s="32">
        <v>2025</v>
      </c>
      <c r="H1561" s="32" t="s">
        <v>48</v>
      </c>
      <c r="I1561" s="29" t="s">
        <v>1752</v>
      </c>
      <c r="J1561" s="32" t="s">
        <v>575</v>
      </c>
      <c r="K1561" s="87">
        <v>0</v>
      </c>
      <c r="L1561" s="87">
        <v>0</v>
      </c>
      <c r="M1561" s="69" t="s">
        <v>30</v>
      </c>
      <c r="N1561" s="69">
        <v>0</v>
      </c>
      <c r="O1561" s="32"/>
      <c r="P1561" s="32"/>
      <c r="Q1561" s="32">
        <v>15</v>
      </c>
      <c r="R1561" s="3" t="s">
        <v>52</v>
      </c>
      <c r="S1561" s="28" t="s">
        <v>178</v>
      </c>
      <c r="T1561" s="4" t="str">
        <f>IF(OR(Tabela1[[#This Row],[Grau de Risco]]="Médio",Tabela1[[#This Row],[Grau de Risco]]="Baixo"),"Não","Sim")</f>
        <v>Não</v>
      </c>
    </row>
    <row r="1562" spans="1:20" hidden="1">
      <c r="A1562" s="28" t="s">
        <v>7</v>
      </c>
      <c r="B1562" s="33" t="s">
        <v>1800</v>
      </c>
      <c r="C1562" s="4" t="s">
        <v>41</v>
      </c>
      <c r="D1562" s="38" t="s">
        <v>1393</v>
      </c>
      <c r="E1562" s="32">
        <v>4</v>
      </c>
      <c r="F1562" s="32">
        <v>2</v>
      </c>
      <c r="G1562" s="32">
        <v>2025</v>
      </c>
      <c r="H1562" s="38" t="s">
        <v>33</v>
      </c>
      <c r="I1562" s="29" t="s">
        <v>1146</v>
      </c>
      <c r="J1562" s="28" t="s">
        <v>135</v>
      </c>
      <c r="K1562" s="87" t="s">
        <v>80</v>
      </c>
      <c r="L1562" s="87" t="s">
        <v>80</v>
      </c>
      <c r="M1562" s="70" t="s">
        <v>30</v>
      </c>
      <c r="N1562" s="70" t="s">
        <v>80</v>
      </c>
      <c r="O1562" s="28"/>
      <c r="P1562" s="32"/>
      <c r="Q1562" s="35">
        <v>8</v>
      </c>
      <c r="R1562" s="32" t="s">
        <v>102</v>
      </c>
      <c r="S1562" s="5" t="s">
        <v>40</v>
      </c>
      <c r="T1562" s="4" t="str">
        <f>IF(OR(Tabela1[[#This Row],[Grau de Risco]]="Médio",Tabela1[[#This Row],[Grau de Risco]]="Baixo"),"Não","Sim")</f>
        <v>Sim</v>
      </c>
    </row>
    <row r="1563" spans="1:20" hidden="1">
      <c r="A1563" s="28" t="s">
        <v>6</v>
      </c>
      <c r="B1563" s="33" t="s">
        <v>1800</v>
      </c>
      <c r="C1563" s="28" t="s">
        <v>252</v>
      </c>
      <c r="D1563" s="38" t="s">
        <v>36</v>
      </c>
      <c r="E1563" s="32">
        <v>19</v>
      </c>
      <c r="F1563" s="32">
        <v>7</v>
      </c>
      <c r="G1563" s="32">
        <v>2025</v>
      </c>
      <c r="H1563" s="38" t="s">
        <v>33</v>
      </c>
      <c r="I1563" s="7" t="s">
        <v>1360</v>
      </c>
      <c r="J1563" s="28" t="s">
        <v>38</v>
      </c>
      <c r="K1563" s="87" t="s">
        <v>80</v>
      </c>
      <c r="L1563" s="87" t="s">
        <v>80</v>
      </c>
      <c r="M1563" s="70" t="s">
        <v>30</v>
      </c>
      <c r="N1563" s="70" t="s">
        <v>80</v>
      </c>
      <c r="O1563" s="28" t="s">
        <v>4</v>
      </c>
      <c r="P1563" s="32" t="s">
        <v>44</v>
      </c>
      <c r="Q1563" s="35">
        <v>10</v>
      </c>
      <c r="R1563" s="32" t="s">
        <v>31</v>
      </c>
      <c r="S1563" s="33" t="s">
        <v>56</v>
      </c>
      <c r="T1563" s="4" t="str">
        <f>IF(OR(Tabela1[[#This Row],[Grau de Risco]]="Médio",Tabela1[[#This Row],[Grau de Risco]]="Baixo"),"Não","Sim")</f>
        <v>Não</v>
      </c>
    </row>
    <row r="1564" spans="1:20" hidden="1">
      <c r="A1564" s="28" t="s">
        <v>7</v>
      </c>
      <c r="B1564" s="33" t="s">
        <v>1800</v>
      </c>
      <c r="C1564" s="28" t="s">
        <v>44</v>
      </c>
      <c r="D1564" s="38" t="s">
        <v>1382</v>
      </c>
      <c r="E1564" s="32">
        <v>29</v>
      </c>
      <c r="F1564" s="32">
        <v>1</v>
      </c>
      <c r="G1564" s="32">
        <v>2025</v>
      </c>
      <c r="H1564" s="38" t="s">
        <v>82</v>
      </c>
      <c r="I1564" s="29" t="s">
        <v>1753</v>
      </c>
      <c r="J1564" s="28" t="s">
        <v>115</v>
      </c>
      <c r="K1564" s="32" t="s">
        <v>80</v>
      </c>
      <c r="L1564" s="32" t="s">
        <v>80</v>
      </c>
      <c r="M1564" s="28" t="s">
        <v>30</v>
      </c>
      <c r="N1564" s="70" t="s">
        <v>80</v>
      </c>
      <c r="O1564" s="28"/>
      <c r="P1564" s="32"/>
      <c r="Q1564" s="35">
        <v>10</v>
      </c>
      <c r="R1564" s="32" t="s">
        <v>31</v>
      </c>
      <c r="S1564" s="5" t="s">
        <v>40</v>
      </c>
      <c r="T1564" s="4" t="str">
        <f>IF(OR(Tabela1[[#This Row],[Grau de Risco]]="Médio",Tabela1[[#This Row],[Grau de Risco]]="Baixo"),"Não","Sim")</f>
        <v>Não</v>
      </c>
    </row>
    <row r="1565" spans="1:20" hidden="1">
      <c r="A1565" s="28" t="s">
        <v>7</v>
      </c>
      <c r="B1565" s="33" t="s">
        <v>1800</v>
      </c>
      <c r="C1565" s="28" t="s">
        <v>44</v>
      </c>
      <c r="D1565" s="38" t="s">
        <v>36</v>
      </c>
      <c r="E1565" s="32">
        <v>31</v>
      </c>
      <c r="F1565" s="32">
        <v>5</v>
      </c>
      <c r="G1565" s="32">
        <v>2025</v>
      </c>
      <c r="H1565" s="38" t="s">
        <v>27</v>
      </c>
      <c r="I1565" s="29" t="s">
        <v>1275</v>
      </c>
      <c r="J1565" s="28" t="s">
        <v>69</v>
      </c>
      <c r="K1565" s="32" t="s">
        <v>80</v>
      </c>
      <c r="L1565" s="32" t="s">
        <v>80</v>
      </c>
      <c r="M1565" s="28" t="s">
        <v>30</v>
      </c>
      <c r="N1565" s="28" t="s">
        <v>80</v>
      </c>
      <c r="O1565" s="28"/>
      <c r="P1565" s="32" t="s">
        <v>52</v>
      </c>
      <c r="Q1565" s="35">
        <v>11</v>
      </c>
      <c r="R1565" s="32" t="s">
        <v>31</v>
      </c>
      <c r="S1565" s="33" t="s">
        <v>63</v>
      </c>
      <c r="T1565" s="4" t="str">
        <f>IF(OR(Tabela1[[#This Row],[Grau de Risco]]="Médio",Tabela1[[#This Row],[Grau de Risco]]="Baixo"),"Não","Sim")</f>
        <v>Não</v>
      </c>
    </row>
    <row r="1566" spans="1:20" hidden="1">
      <c r="A1566" s="28" t="s">
        <v>7</v>
      </c>
      <c r="B1566" s="33" t="s">
        <v>1800</v>
      </c>
      <c r="C1566" s="28" t="s">
        <v>44</v>
      </c>
      <c r="D1566" s="58" t="s">
        <v>1409</v>
      </c>
      <c r="E1566" s="32">
        <v>30</v>
      </c>
      <c r="F1566" s="32">
        <v>7</v>
      </c>
      <c r="G1566" s="32">
        <v>2025</v>
      </c>
      <c r="H1566" s="38" t="s">
        <v>1132</v>
      </c>
      <c r="I1566" s="7" t="s">
        <v>1384</v>
      </c>
      <c r="J1566" s="28" t="s">
        <v>61</v>
      </c>
      <c r="K1566" s="32" t="s">
        <v>80</v>
      </c>
      <c r="L1566" s="32" t="s">
        <v>80</v>
      </c>
      <c r="M1566" s="28" t="s">
        <v>30</v>
      </c>
      <c r="N1566" s="28" t="s">
        <v>80</v>
      </c>
      <c r="O1566" s="28" t="s">
        <v>4</v>
      </c>
      <c r="P1566" s="32" t="s">
        <v>44</v>
      </c>
      <c r="Q1566" s="35">
        <v>7</v>
      </c>
      <c r="R1566" s="32" t="s">
        <v>102</v>
      </c>
      <c r="S1566" s="33" t="s">
        <v>4</v>
      </c>
      <c r="T1566" s="4" t="str">
        <f>IF(OR(Tabela1[[#This Row],[Grau de Risco]]="Médio",Tabela1[[#This Row],[Grau de Risco]]="Baixo"),"Não","Sim")</f>
        <v>Sim</v>
      </c>
    </row>
    <row r="1567" spans="1:20" hidden="1">
      <c r="A1567" s="28" t="s">
        <v>7</v>
      </c>
      <c r="B1567" s="33" t="s">
        <v>1800</v>
      </c>
      <c r="C1567" s="28" t="s">
        <v>44</v>
      </c>
      <c r="D1567" s="38" t="s">
        <v>47</v>
      </c>
      <c r="E1567" s="32">
        <v>19</v>
      </c>
      <c r="F1567" s="32">
        <v>9</v>
      </c>
      <c r="G1567" s="32">
        <v>2025</v>
      </c>
      <c r="H1567" s="38" t="s">
        <v>33</v>
      </c>
      <c r="I1567" s="29" t="s">
        <v>1458</v>
      </c>
      <c r="J1567" s="28" t="s">
        <v>54</v>
      </c>
      <c r="K1567" s="32" t="s">
        <v>80</v>
      </c>
      <c r="L1567" s="32" t="s">
        <v>80</v>
      </c>
      <c r="M1567" s="28" t="s">
        <v>30</v>
      </c>
      <c r="N1567" s="28" t="s">
        <v>80</v>
      </c>
      <c r="O1567" s="4" t="s">
        <v>4</v>
      </c>
      <c r="P1567" s="32" t="s">
        <v>44</v>
      </c>
      <c r="Q1567" s="35">
        <v>11</v>
      </c>
      <c r="R1567" s="32" t="s">
        <v>31</v>
      </c>
      <c r="S1567" s="33" t="s">
        <v>141</v>
      </c>
      <c r="T1567" s="4" t="str">
        <f>IF(OR(Tabela1[[#This Row],[Grau de Risco]]="Médio",Tabela1[[#This Row],[Grau de Risco]]="Baixo"),"Não","Sim")</f>
        <v>Não</v>
      </c>
    </row>
    <row r="1568" spans="1:20" hidden="1">
      <c r="A1568" s="28" t="s">
        <v>6</v>
      </c>
      <c r="B1568" s="33" t="s">
        <v>1800</v>
      </c>
      <c r="C1568" s="28" t="s">
        <v>44</v>
      </c>
      <c r="D1568" s="38" t="s">
        <v>1382</v>
      </c>
      <c r="E1568" s="32">
        <v>4</v>
      </c>
      <c r="F1568" s="32">
        <v>6</v>
      </c>
      <c r="G1568" s="32">
        <v>2025</v>
      </c>
      <c r="H1568" s="38" t="s">
        <v>71</v>
      </c>
      <c r="I1568" s="29" t="s">
        <v>1280</v>
      </c>
      <c r="J1568" s="28" t="s">
        <v>84</v>
      </c>
      <c r="K1568" s="32" t="s">
        <v>80</v>
      </c>
      <c r="L1568" s="32" t="s">
        <v>80</v>
      </c>
      <c r="M1568" s="28" t="s">
        <v>30</v>
      </c>
      <c r="N1568" s="70" t="s">
        <v>80</v>
      </c>
      <c r="O1568" s="28" t="s">
        <v>4</v>
      </c>
      <c r="P1568" s="32"/>
      <c r="Q1568" s="35">
        <v>2</v>
      </c>
      <c r="R1568" s="3" t="str">
        <f>IF(Q1568="","",IF(Q1568&lt;4,"Crítico",IF(Q1568&lt;9,"Alto",IF(Q1568&lt;14,"Médio","Baixo"))))</f>
        <v>Crítico</v>
      </c>
      <c r="S1568" s="33" t="s">
        <v>4</v>
      </c>
      <c r="T1568" s="4" t="str">
        <f>IF(OR(Tabela1[[#This Row],[Grau de Risco]]="Médio",Tabela1[[#This Row],[Grau de Risco]]="Baixo"),"Não","Sim")</f>
        <v>Sim</v>
      </c>
    </row>
    <row r="1569" spans="1:20" hidden="1">
      <c r="A1569" s="28" t="s">
        <v>7</v>
      </c>
      <c r="B1569" s="33" t="s">
        <v>1800</v>
      </c>
      <c r="C1569" s="28" t="s">
        <v>44</v>
      </c>
      <c r="D1569" s="38" t="s">
        <v>1382</v>
      </c>
      <c r="E1569" s="32">
        <v>29</v>
      </c>
      <c r="F1569" s="32">
        <v>10</v>
      </c>
      <c r="G1569" s="32">
        <v>2025</v>
      </c>
      <c r="H1569" s="38" t="s">
        <v>48</v>
      </c>
      <c r="I1569" s="7" t="s">
        <v>1511</v>
      </c>
      <c r="J1569" s="28" t="s">
        <v>61</v>
      </c>
      <c r="K1569" s="87" t="s">
        <v>80</v>
      </c>
      <c r="L1569" s="87" t="s">
        <v>80</v>
      </c>
      <c r="M1569" s="70" t="s">
        <v>30</v>
      </c>
      <c r="N1569" s="70" t="s">
        <v>80</v>
      </c>
      <c r="O1569" s="4" t="s">
        <v>4</v>
      </c>
      <c r="P1569" s="32" t="s">
        <v>44</v>
      </c>
      <c r="Q1569" s="35">
        <v>5</v>
      </c>
      <c r="R1569" s="3" t="s">
        <v>102</v>
      </c>
      <c r="S1569" s="5" t="s">
        <v>40</v>
      </c>
      <c r="T1569" s="4" t="str">
        <f>IF(OR(Tabela1[[#This Row],[Grau de Risco]]="Médio",Tabela1[[#This Row],[Grau de Risco]]="Baixo"),"Não","Sim")</f>
        <v>Sim</v>
      </c>
    </row>
    <row r="1570" spans="1:20" hidden="1">
      <c r="A1570" s="28" t="s">
        <v>7</v>
      </c>
      <c r="B1570" s="33" t="s">
        <v>1800</v>
      </c>
      <c r="C1570" s="28" t="s">
        <v>44</v>
      </c>
      <c r="D1570" s="38" t="s">
        <v>1409</v>
      </c>
      <c r="E1570" s="32">
        <v>30</v>
      </c>
      <c r="F1570" s="32">
        <v>10</v>
      </c>
      <c r="G1570" s="32">
        <v>2025</v>
      </c>
      <c r="H1570" s="38" t="s">
        <v>71</v>
      </c>
      <c r="I1570" s="7" t="s">
        <v>1513</v>
      </c>
      <c r="J1570" s="28" t="s">
        <v>50</v>
      </c>
      <c r="K1570" s="87" t="s">
        <v>80</v>
      </c>
      <c r="L1570" s="87" t="s">
        <v>80</v>
      </c>
      <c r="M1570" s="70" t="s">
        <v>30</v>
      </c>
      <c r="N1570" s="70" t="s">
        <v>80</v>
      </c>
      <c r="O1570" s="4" t="s">
        <v>4</v>
      </c>
      <c r="P1570" s="32" t="s">
        <v>44</v>
      </c>
      <c r="Q1570" s="35">
        <v>5</v>
      </c>
      <c r="R1570" s="3" t="s">
        <v>102</v>
      </c>
      <c r="S1570" s="5" t="s">
        <v>40</v>
      </c>
      <c r="T1570" s="4" t="str">
        <f>IF(OR(Tabela1[[#This Row],[Grau de Risco]]="Médio",Tabela1[[#This Row],[Grau de Risco]]="Baixo"),"Não","Sim")</f>
        <v>Sim</v>
      </c>
    </row>
    <row r="1571" spans="1:20" hidden="1">
      <c r="A1571" s="38" t="s">
        <v>7</v>
      </c>
      <c r="B1571" s="58" t="s">
        <v>1800</v>
      </c>
      <c r="C1571" s="38" t="s">
        <v>44</v>
      </c>
      <c r="D1571" s="38" t="s">
        <v>36</v>
      </c>
      <c r="E1571" s="38">
        <v>22</v>
      </c>
      <c r="F1571" s="38">
        <v>11</v>
      </c>
      <c r="G1571" s="38">
        <v>2025</v>
      </c>
      <c r="H1571" s="38" t="s">
        <v>33</v>
      </c>
      <c r="I1571" t="s">
        <v>1545</v>
      </c>
      <c r="J1571" s="38" t="s">
        <v>111</v>
      </c>
      <c r="K1571" s="86" t="s">
        <v>80</v>
      </c>
      <c r="L1571" s="86" t="s">
        <v>80</v>
      </c>
      <c r="M1571" s="86" t="s">
        <v>30</v>
      </c>
      <c r="N1571" s="86" t="s">
        <v>80</v>
      </c>
      <c r="O1571" s="38" t="s">
        <v>85</v>
      </c>
      <c r="P1571" s="32" t="s">
        <v>52</v>
      </c>
      <c r="Q1571" s="38">
        <v>16</v>
      </c>
      <c r="R1571" s="32" t="s">
        <v>52</v>
      </c>
      <c r="S1571" s="38" t="s">
        <v>1546</v>
      </c>
      <c r="T1571" s="4" t="str">
        <f>IF(OR(Tabela1[[#This Row],[Grau de Risco]]="Médio",Tabela1[[#This Row],[Grau de Risco]]="Baixo"),"Não","Sim")</f>
        <v>Não</v>
      </c>
    </row>
    <row r="1572" spans="1:20" hidden="1">
      <c r="A1572" s="4" t="s">
        <v>2</v>
      </c>
      <c r="B1572" s="10" t="s">
        <v>1803</v>
      </c>
      <c r="C1572" s="4"/>
      <c r="D1572" s="38" t="s">
        <v>1393</v>
      </c>
      <c r="E1572" s="3">
        <v>19</v>
      </c>
      <c r="F1572" s="3">
        <v>4</v>
      </c>
      <c r="G1572" s="3">
        <v>2022</v>
      </c>
      <c r="H1572" s="36" t="s">
        <v>82</v>
      </c>
      <c r="I1572" s="7" t="s">
        <v>238</v>
      </c>
      <c r="J1572" s="4" t="s">
        <v>111</v>
      </c>
      <c r="K1572" s="3">
        <v>2</v>
      </c>
      <c r="L1572" s="3">
        <v>0</v>
      </c>
      <c r="M1572" s="4" t="s">
        <v>30</v>
      </c>
      <c r="N1572" s="4"/>
      <c r="O1572" s="4" t="s">
        <v>85</v>
      </c>
      <c r="P1572" s="3" t="s">
        <v>102</v>
      </c>
      <c r="Q1572" s="11">
        <v>13</v>
      </c>
      <c r="R1572" s="3" t="str">
        <f>IF(Q1572="","",IF(Q1572&lt;4,"Crítico",IF(Q1572&lt;9,"Alto",IF(Q1572&lt;14,"Médio","Baixo"))))</f>
        <v>Médio</v>
      </c>
      <c r="S1572" s="5" t="s">
        <v>40</v>
      </c>
      <c r="T1572" s="4" t="str">
        <f>IF(OR(Tabela1[[#This Row],[Grau de Risco]]="Médio",Tabela1[[#This Row],[Grau de Risco]]="Baixo"),"Não","Sim")</f>
        <v>Não</v>
      </c>
    </row>
    <row r="1573" spans="1:20" hidden="1">
      <c r="A1573" s="4" t="s">
        <v>2</v>
      </c>
      <c r="B1573" s="10" t="s">
        <v>1803</v>
      </c>
      <c r="C1573" s="4"/>
      <c r="D1573" s="38" t="s">
        <v>1393</v>
      </c>
      <c r="E1573" s="3">
        <v>19</v>
      </c>
      <c r="F1573" s="3">
        <v>4</v>
      </c>
      <c r="G1573" s="3">
        <v>2022</v>
      </c>
      <c r="H1573" s="36" t="s">
        <v>82</v>
      </c>
      <c r="I1573" s="7" t="s">
        <v>239</v>
      </c>
      <c r="J1573" s="4" t="s">
        <v>111</v>
      </c>
      <c r="K1573" s="3">
        <v>2</v>
      </c>
      <c r="L1573" s="3">
        <v>0</v>
      </c>
      <c r="M1573" s="4" t="s">
        <v>30</v>
      </c>
      <c r="N1573" s="67"/>
      <c r="O1573" s="4" t="s">
        <v>85</v>
      </c>
      <c r="P1573" s="3" t="s">
        <v>102</v>
      </c>
      <c r="Q1573" s="11">
        <v>13</v>
      </c>
      <c r="R1573" s="3" t="str">
        <f>IF(Q1573="","",IF(Q1573&lt;4,"Crítico",IF(Q1573&lt;9,"Alto",IF(Q1573&lt;14,"Médio","Baixo"))))</f>
        <v>Médio</v>
      </c>
      <c r="S1573" s="5" t="s">
        <v>40</v>
      </c>
      <c r="T1573" s="4" t="str">
        <f>IF(OR(Tabela1[[#This Row],[Grau de Risco]]="Médio",Tabela1[[#This Row],[Grau de Risco]]="Baixo"),"Não","Sim")</f>
        <v>Não</v>
      </c>
    </row>
    <row r="1574" spans="1:20">
      <c r="A1574" s="5" t="s">
        <v>7</v>
      </c>
      <c r="B1574" s="10" t="s">
        <v>1809</v>
      </c>
      <c r="C1574" s="4" t="s">
        <v>41</v>
      </c>
      <c r="D1574" s="38" t="s">
        <v>47</v>
      </c>
      <c r="E1574" s="3">
        <v>1</v>
      </c>
      <c r="F1574" s="3">
        <v>9</v>
      </c>
      <c r="G1574" s="3">
        <v>2023</v>
      </c>
      <c r="H1574" s="34" t="s">
        <v>59</v>
      </c>
      <c r="I1574" s="7" t="s">
        <v>1754</v>
      </c>
      <c r="J1574" s="4" t="s">
        <v>29</v>
      </c>
      <c r="K1574" s="3" t="s">
        <v>44</v>
      </c>
      <c r="L1574" s="3" t="s">
        <v>44</v>
      </c>
      <c r="M1574" s="4"/>
      <c r="N1574" s="102" t="s">
        <v>44</v>
      </c>
      <c r="O1574" s="4"/>
      <c r="P1574" s="3"/>
      <c r="Q1574" s="11">
        <v>4</v>
      </c>
      <c r="R1574" s="3" t="s">
        <v>102</v>
      </c>
      <c r="S1574" s="5" t="s">
        <v>56</v>
      </c>
      <c r="T1574" s="4" t="str">
        <f>IF(OR(Tabela1[[#This Row],[Grau de Risco]]="Médio",Tabela1[[#This Row],[Grau de Risco]]="Baixo"),"Não","Sim")</f>
        <v>Sim</v>
      </c>
    </row>
    <row r="1575" spans="1:20" hidden="1">
      <c r="A1575" s="4" t="s">
        <v>7</v>
      </c>
      <c r="B1575" s="10" t="s">
        <v>1793</v>
      </c>
      <c r="C1575" s="4"/>
      <c r="D1575" s="38" t="s">
        <v>1320</v>
      </c>
      <c r="E1575" s="3">
        <v>13</v>
      </c>
      <c r="F1575" s="3">
        <v>11</v>
      </c>
      <c r="G1575" s="3">
        <v>2023</v>
      </c>
      <c r="H1575" s="36" t="s">
        <v>375</v>
      </c>
      <c r="I1575" s="7" t="s">
        <v>1807</v>
      </c>
      <c r="J1575" s="4" t="s">
        <v>111</v>
      </c>
      <c r="K1575" s="3" t="s">
        <v>62</v>
      </c>
      <c r="L1575" s="3">
        <v>0</v>
      </c>
      <c r="M1575" s="4" t="s">
        <v>30</v>
      </c>
      <c r="N1575" s="4">
        <v>0</v>
      </c>
      <c r="O1575" s="4" t="s">
        <v>396</v>
      </c>
      <c r="P1575" s="3" t="s">
        <v>52</v>
      </c>
      <c r="Q1575" s="11">
        <v>16</v>
      </c>
      <c r="R1575" s="3" t="str">
        <f>IF(Q1575="","",IF(Q1575&lt;4,"Crítico",IF(Q1575&lt;9,"Alto",IF(Q1575&lt;14,"Médio","Baixo"))))</f>
        <v>Baixo</v>
      </c>
      <c r="S1575" s="10" t="s">
        <v>32</v>
      </c>
      <c r="T1575" s="4" t="str">
        <f>IF(OR(Tabela1[[#This Row],[Grau de Risco]]="Médio",Tabela1[[#This Row],[Grau de Risco]]="Baixo"),"Não","Sim")</f>
        <v>Não</v>
      </c>
    </row>
    <row r="1576" spans="1:20" hidden="1">
      <c r="A1576" s="5" t="s">
        <v>7</v>
      </c>
      <c r="B1576" s="10" t="s">
        <v>1805</v>
      </c>
      <c r="C1576" s="4" t="s">
        <v>41</v>
      </c>
      <c r="D1576" s="58" t="s">
        <v>1409</v>
      </c>
      <c r="E1576" s="3">
        <v>7</v>
      </c>
      <c r="F1576" s="3">
        <v>12</v>
      </c>
      <c r="G1576" s="3">
        <v>2023</v>
      </c>
      <c r="H1576" s="4" t="s">
        <v>86</v>
      </c>
      <c r="I1576" s="7" t="s">
        <v>398</v>
      </c>
      <c r="J1576" s="5" t="s">
        <v>169</v>
      </c>
      <c r="K1576" s="3" t="s">
        <v>44</v>
      </c>
      <c r="L1576" s="3"/>
      <c r="M1576" s="4"/>
      <c r="N1576" s="4"/>
      <c r="O1576" s="4" t="s">
        <v>4</v>
      </c>
      <c r="P1576" s="3"/>
      <c r="Q1576" s="3">
        <v>11</v>
      </c>
      <c r="R1576" s="11" t="s">
        <v>31</v>
      </c>
      <c r="S1576" s="10" t="s">
        <v>63</v>
      </c>
      <c r="T1576" s="4" t="str">
        <f>IF(OR(Tabela1[[#This Row],[Grau de Risco]]="Médio",Tabela1[[#This Row],[Grau de Risco]]="Baixo"),"Não","Sim")</f>
        <v>Não</v>
      </c>
    </row>
    <row r="1577" spans="1:20" hidden="1">
      <c r="A1577" s="5" t="s">
        <v>7</v>
      </c>
      <c r="B1577" s="10" t="s">
        <v>1805</v>
      </c>
      <c r="C1577" s="4" t="s">
        <v>41</v>
      </c>
      <c r="D1577" s="38" t="s">
        <v>1393</v>
      </c>
      <c r="E1577" s="3">
        <v>19</v>
      </c>
      <c r="F1577" s="3">
        <v>12</v>
      </c>
      <c r="G1577" s="3">
        <v>2023</v>
      </c>
      <c r="H1577" s="36" t="s">
        <v>107</v>
      </c>
      <c r="I1577" s="7" t="s">
        <v>399</v>
      </c>
      <c r="J1577" s="21" t="s">
        <v>169</v>
      </c>
      <c r="K1577" s="3" t="s">
        <v>44</v>
      </c>
      <c r="L1577" s="3"/>
      <c r="M1577" s="4"/>
      <c r="N1577" s="4"/>
      <c r="O1577" s="4" t="s">
        <v>4</v>
      </c>
      <c r="P1577" s="3"/>
      <c r="Q1577" s="3">
        <v>7</v>
      </c>
      <c r="R1577" s="11" t="s">
        <v>102</v>
      </c>
      <c r="S1577" s="10" t="s">
        <v>4</v>
      </c>
      <c r="T1577" s="4" t="str">
        <f>IF(OR(Tabela1[[#This Row],[Grau de Risco]]="Médio",Tabela1[[#This Row],[Grau de Risco]]="Baixo"),"Não","Sim")</f>
        <v>Sim</v>
      </c>
    </row>
    <row r="1578" spans="1:20" hidden="1">
      <c r="A1578" s="5" t="s">
        <v>7</v>
      </c>
      <c r="B1578" s="10" t="s">
        <v>1805</v>
      </c>
      <c r="C1578" s="4" t="s">
        <v>41</v>
      </c>
      <c r="D1578" s="58" t="s">
        <v>1409</v>
      </c>
      <c r="E1578" s="3">
        <v>19</v>
      </c>
      <c r="F1578" s="3">
        <v>10</v>
      </c>
      <c r="G1578" s="3">
        <v>2023</v>
      </c>
      <c r="H1578" s="36" t="s">
        <v>107</v>
      </c>
      <c r="I1578" s="7" t="s">
        <v>400</v>
      </c>
      <c r="J1578" s="4" t="s">
        <v>169</v>
      </c>
      <c r="K1578" s="3" t="s">
        <v>44</v>
      </c>
      <c r="L1578" s="3"/>
      <c r="M1578" s="4"/>
      <c r="N1578" s="4"/>
      <c r="O1578" s="4" t="s">
        <v>4</v>
      </c>
      <c r="P1578" s="3"/>
      <c r="Q1578" s="11">
        <v>4</v>
      </c>
      <c r="R1578" s="3" t="s">
        <v>102</v>
      </c>
      <c r="S1578" s="10" t="s">
        <v>4</v>
      </c>
      <c r="T1578" s="4" t="str">
        <f>IF(OR(Tabela1[[#This Row],[Grau de Risco]]="Médio",Tabela1[[#This Row],[Grau de Risco]]="Baixo"),"Não","Sim")</f>
        <v>Sim</v>
      </c>
    </row>
    <row r="1579" spans="1:20">
      <c r="A1579" s="5" t="s">
        <v>7</v>
      </c>
      <c r="B1579" s="10" t="s">
        <v>1809</v>
      </c>
      <c r="C1579" s="4" t="s">
        <v>41</v>
      </c>
      <c r="D1579" s="38" t="s">
        <v>1393</v>
      </c>
      <c r="E1579" s="3">
        <v>17</v>
      </c>
      <c r="F1579" s="3">
        <v>10</v>
      </c>
      <c r="G1579" s="3">
        <v>2023</v>
      </c>
      <c r="H1579" s="5" t="s">
        <v>48</v>
      </c>
      <c r="I1579" s="7" t="s">
        <v>1837</v>
      </c>
      <c r="J1579" s="4" t="s">
        <v>38</v>
      </c>
      <c r="K1579" s="3" t="s">
        <v>44</v>
      </c>
      <c r="L1579" s="3"/>
      <c r="M1579" s="4"/>
      <c r="N1579" s="4"/>
      <c r="O1579" s="4" t="s">
        <v>4</v>
      </c>
      <c r="P1579" s="3"/>
      <c r="Q1579" s="11">
        <v>11</v>
      </c>
      <c r="R1579" s="3" t="s">
        <v>31</v>
      </c>
      <c r="S1579" s="10" t="s">
        <v>32</v>
      </c>
      <c r="T1579" s="4" t="str">
        <f>IF(OR(Tabela1[[#This Row],[Grau de Risco]]="Médio",Tabela1[[#This Row],[Grau de Risco]]="Baixo"),"Não","Sim")</f>
        <v>Não</v>
      </c>
    </row>
    <row r="1580" spans="1:20">
      <c r="A1580" s="4" t="s">
        <v>7</v>
      </c>
      <c r="B1580" s="10" t="s">
        <v>1809</v>
      </c>
      <c r="C1580" s="4"/>
      <c r="D1580" s="38" t="s">
        <v>1382</v>
      </c>
      <c r="E1580" s="3">
        <v>8</v>
      </c>
      <c r="F1580" s="3">
        <v>11</v>
      </c>
      <c r="G1580" s="3">
        <v>2023</v>
      </c>
      <c r="H1580" s="36" t="s">
        <v>66</v>
      </c>
      <c r="I1580" s="7" t="s">
        <v>429</v>
      </c>
      <c r="J1580" s="4" t="s">
        <v>61</v>
      </c>
      <c r="K1580" s="3" t="s">
        <v>62</v>
      </c>
      <c r="L1580" s="3">
        <v>0</v>
      </c>
      <c r="M1580" s="4" t="s">
        <v>30</v>
      </c>
      <c r="N1580" s="4">
        <v>0</v>
      </c>
      <c r="O1580" s="4" t="s">
        <v>396</v>
      </c>
      <c r="P1580" s="3" t="s">
        <v>52</v>
      </c>
      <c r="Q1580" s="11">
        <v>16</v>
      </c>
      <c r="R1580" s="3" t="str">
        <f>IF(Q1580="","",IF(Q1580&lt;4,"Crítico",IF(Q1580&lt;9,"Alto",IF(Q1580&lt;14,"Médio","Baixo"))))</f>
        <v>Baixo</v>
      </c>
      <c r="S1580" s="10" t="s">
        <v>32</v>
      </c>
      <c r="T1580" s="4" t="str">
        <f>IF(OR(Tabela1[[#This Row],[Grau de Risco]]="Médio",Tabela1[[#This Row],[Grau de Risco]]="Baixo"),"Não","Sim")</f>
        <v>Não</v>
      </c>
    </row>
    <row r="1581" spans="1:20">
      <c r="A1581" s="4" t="s">
        <v>7</v>
      </c>
      <c r="B1581" s="10" t="s">
        <v>1809</v>
      </c>
      <c r="C1581" s="4" t="s">
        <v>26</v>
      </c>
      <c r="D1581" s="58" t="s">
        <v>1409</v>
      </c>
      <c r="E1581" s="3">
        <v>10</v>
      </c>
      <c r="F1581" s="3">
        <v>8</v>
      </c>
      <c r="G1581" s="3">
        <v>2023</v>
      </c>
      <c r="H1581" s="4" t="s">
        <v>27</v>
      </c>
      <c r="I1581" s="7" t="s">
        <v>473</v>
      </c>
      <c r="J1581" s="4" t="s">
        <v>50</v>
      </c>
      <c r="K1581" s="3" t="s">
        <v>62</v>
      </c>
      <c r="L1581" s="3">
        <v>0</v>
      </c>
      <c r="M1581" s="4" t="s">
        <v>30</v>
      </c>
      <c r="N1581" s="4">
        <v>0</v>
      </c>
      <c r="O1581" s="4" t="s">
        <v>129</v>
      </c>
      <c r="P1581" s="3" t="s">
        <v>52</v>
      </c>
      <c r="Q1581" s="11">
        <v>15</v>
      </c>
      <c r="R1581" s="3" t="s">
        <v>52</v>
      </c>
      <c r="S1581" s="5" t="s">
        <v>56</v>
      </c>
      <c r="T1581" s="4" t="str">
        <f>IF(OR(Tabela1[[#This Row],[Grau de Risco]]="Médio",Tabela1[[#This Row],[Grau de Risco]]="Baixo"),"Não","Sim")</f>
        <v>Não</v>
      </c>
    </row>
    <row r="1582" spans="1:20">
      <c r="A1582" s="4" t="s">
        <v>7</v>
      </c>
      <c r="B1582" s="10" t="s">
        <v>1809</v>
      </c>
      <c r="C1582" s="4"/>
      <c r="D1582" s="5" t="s">
        <v>148</v>
      </c>
      <c r="E1582" s="3">
        <v>17</v>
      </c>
      <c r="F1582" s="3">
        <v>9</v>
      </c>
      <c r="G1582" s="3">
        <v>2023</v>
      </c>
      <c r="H1582" s="5" t="s">
        <v>474</v>
      </c>
      <c r="I1582" s="7" t="s">
        <v>1838</v>
      </c>
      <c r="J1582" s="4" t="s">
        <v>50</v>
      </c>
      <c r="K1582" s="3" t="s">
        <v>62</v>
      </c>
      <c r="L1582" s="3">
        <v>0</v>
      </c>
      <c r="M1582" s="4" t="s">
        <v>30</v>
      </c>
      <c r="N1582" s="4">
        <v>0</v>
      </c>
      <c r="O1582" s="4" t="s">
        <v>4</v>
      </c>
      <c r="P1582" s="3" t="s">
        <v>52</v>
      </c>
      <c r="Q1582" s="11">
        <v>11</v>
      </c>
      <c r="R1582" s="3" t="s">
        <v>31</v>
      </c>
      <c r="S1582" s="10" t="s">
        <v>32</v>
      </c>
      <c r="T1582" s="4" t="str">
        <f>IF(OR(Tabela1[[#This Row],[Grau de Risco]]="Médio",Tabela1[[#This Row],[Grau de Risco]]="Baixo"),"Não","Sim")</f>
        <v>Não</v>
      </c>
    </row>
    <row r="1583" spans="1:20" hidden="1">
      <c r="A1583" s="4" t="s">
        <v>2</v>
      </c>
      <c r="B1583" s="10" t="s">
        <v>1800</v>
      </c>
      <c r="C1583" s="4" t="s">
        <v>41</v>
      </c>
      <c r="D1583" s="5" t="s">
        <v>148</v>
      </c>
      <c r="E1583" s="16">
        <v>6</v>
      </c>
      <c r="F1583" s="3">
        <v>8</v>
      </c>
      <c r="G1583" s="3">
        <v>2023</v>
      </c>
      <c r="H1583" s="5" t="s">
        <v>48</v>
      </c>
      <c r="I1583" s="7" t="s">
        <v>477</v>
      </c>
      <c r="J1583" s="4" t="s">
        <v>38</v>
      </c>
      <c r="K1583" s="3">
        <v>15</v>
      </c>
      <c r="L1583" s="3">
        <v>15</v>
      </c>
      <c r="M1583" s="4" t="s">
        <v>30</v>
      </c>
      <c r="N1583" s="4"/>
      <c r="O1583" s="4" t="s">
        <v>74</v>
      </c>
      <c r="P1583" s="3" t="s">
        <v>102</v>
      </c>
      <c r="Q1583" s="11">
        <v>2</v>
      </c>
      <c r="R1583" s="3" t="str">
        <f>IF(Q1583="","",IF(Q1583&lt;4,"Crítico",IF(Q1583&lt;9,"Alto",IF(Q1583&lt;14,"Médio","Baixo"))))</f>
        <v>Crítico</v>
      </c>
      <c r="S1583" s="10" t="s">
        <v>141</v>
      </c>
      <c r="T1583" s="4" t="str">
        <f>IF(OR(Tabela1[[#This Row],[Grau de Risco]]="Médio",Tabela1[[#This Row],[Grau de Risco]]="Baixo"),"Não","Sim")</f>
        <v>Sim</v>
      </c>
    </row>
    <row r="1584" spans="1:20">
      <c r="A1584" s="4" t="s">
        <v>7</v>
      </c>
      <c r="B1584" s="10" t="s">
        <v>1809</v>
      </c>
      <c r="C1584" s="4"/>
      <c r="D1584" s="38" t="s">
        <v>1393</v>
      </c>
      <c r="E1584" s="3">
        <v>5</v>
      </c>
      <c r="F1584" s="3">
        <v>12</v>
      </c>
      <c r="G1584" s="3">
        <v>2023</v>
      </c>
      <c r="H1584" s="5" t="s">
        <v>123</v>
      </c>
      <c r="I1584" s="7" t="s">
        <v>1755</v>
      </c>
      <c r="J1584" s="4" t="s">
        <v>135</v>
      </c>
      <c r="K1584" s="3" t="s">
        <v>62</v>
      </c>
      <c r="L1584" s="3" t="s">
        <v>44</v>
      </c>
      <c r="M1584" s="4" t="s">
        <v>30</v>
      </c>
      <c r="N1584" s="4" t="s">
        <v>44</v>
      </c>
      <c r="O1584" s="4"/>
      <c r="P1584" s="3" t="s">
        <v>52</v>
      </c>
      <c r="Q1584" s="11">
        <v>11</v>
      </c>
      <c r="R1584" s="3" t="str">
        <f>IF(Q1584="","",IF(Q1584&lt;4,"Crítico",IF(Q1584&lt;9,"Alto",IF(Q1584&lt;14,"Médio","Baixo"))))</f>
        <v>Médio</v>
      </c>
      <c r="S1584" s="10" t="s">
        <v>32</v>
      </c>
      <c r="T1584" s="4" t="str">
        <f>IF(OR(Tabela1[[#This Row],[Grau de Risco]]="Médio",Tabela1[[#This Row],[Grau de Risco]]="Baixo"),"Não","Sim")</f>
        <v>Não</v>
      </c>
    </row>
    <row r="1585" spans="1:20" hidden="1">
      <c r="A1585" s="4" t="s">
        <v>7</v>
      </c>
      <c r="B1585" s="10" t="s">
        <v>1793</v>
      </c>
      <c r="C1585" s="4"/>
      <c r="D1585" s="38" t="s">
        <v>1320</v>
      </c>
      <c r="E1585" s="3">
        <v>4</v>
      </c>
      <c r="F1585" s="3">
        <v>12</v>
      </c>
      <c r="G1585" s="3">
        <v>2023</v>
      </c>
      <c r="H1585" s="36" t="s">
        <v>82</v>
      </c>
      <c r="I1585" s="7" t="s">
        <v>487</v>
      </c>
      <c r="J1585" s="4" t="s">
        <v>93</v>
      </c>
      <c r="K1585" s="3" t="s">
        <v>62</v>
      </c>
      <c r="L1585" s="3">
        <v>0</v>
      </c>
      <c r="M1585" s="4" t="s">
        <v>30</v>
      </c>
      <c r="N1585" s="4">
        <v>0</v>
      </c>
      <c r="O1585" s="4" t="s">
        <v>45</v>
      </c>
      <c r="P1585" s="3" t="s">
        <v>52</v>
      </c>
      <c r="Q1585" s="11">
        <v>13</v>
      </c>
      <c r="R1585" s="3" t="s">
        <v>31</v>
      </c>
      <c r="S1585" s="5" t="s">
        <v>56</v>
      </c>
      <c r="T1585" s="4" t="str">
        <f>IF(OR(Tabela1[[#This Row],[Grau de Risco]]="Médio",Tabela1[[#This Row],[Grau de Risco]]="Baixo"),"Não","Sim")</f>
        <v>Não</v>
      </c>
    </row>
    <row r="1586" spans="1:20" hidden="1">
      <c r="A1586" s="4" t="s">
        <v>7</v>
      </c>
      <c r="B1586" s="10" t="s">
        <v>1800</v>
      </c>
      <c r="C1586" s="4"/>
      <c r="D1586" s="5" t="s">
        <v>36</v>
      </c>
      <c r="E1586" s="3">
        <v>25</v>
      </c>
      <c r="F1586" s="3">
        <v>11</v>
      </c>
      <c r="G1586" s="3">
        <v>2023</v>
      </c>
      <c r="H1586" s="4" t="s">
        <v>86</v>
      </c>
      <c r="I1586" s="7" t="s">
        <v>501</v>
      </c>
      <c r="J1586" s="4" t="s">
        <v>290</v>
      </c>
      <c r="K1586" s="3" t="s">
        <v>62</v>
      </c>
      <c r="L1586" s="3">
        <v>0</v>
      </c>
      <c r="M1586" s="4"/>
      <c r="N1586" s="4">
        <v>0</v>
      </c>
      <c r="O1586" s="4" t="s">
        <v>4</v>
      </c>
      <c r="P1586" s="3" t="s">
        <v>31</v>
      </c>
      <c r="Q1586" s="11">
        <v>7</v>
      </c>
      <c r="R1586" s="3" t="s">
        <v>102</v>
      </c>
      <c r="S1586" s="5" t="s">
        <v>40</v>
      </c>
      <c r="T1586" s="4" t="str">
        <f>IF(OR(Tabela1[[#This Row],[Grau de Risco]]="Médio",Tabela1[[#This Row],[Grau de Risco]]="Baixo"),"Não","Sim")</f>
        <v>Sim</v>
      </c>
    </row>
    <row r="1587" spans="1:20">
      <c r="A1587" s="4" t="s">
        <v>7</v>
      </c>
      <c r="B1587" s="10" t="s">
        <v>1809</v>
      </c>
      <c r="C1587" s="4"/>
      <c r="D1587" s="38" t="s">
        <v>47</v>
      </c>
      <c r="E1587" s="3">
        <v>13</v>
      </c>
      <c r="F1587" s="3">
        <v>10</v>
      </c>
      <c r="G1587" s="3">
        <v>2023</v>
      </c>
      <c r="H1587" s="5" t="s">
        <v>48</v>
      </c>
      <c r="I1587" s="7" t="s">
        <v>1839</v>
      </c>
      <c r="J1587" s="4" t="s">
        <v>50</v>
      </c>
      <c r="K1587" s="3" t="s">
        <v>62</v>
      </c>
      <c r="L1587" s="3">
        <v>0</v>
      </c>
      <c r="M1587" s="4" t="s">
        <v>30</v>
      </c>
      <c r="N1587" s="4">
        <v>0</v>
      </c>
      <c r="O1587" s="4" t="s">
        <v>77</v>
      </c>
      <c r="P1587" s="3" t="s">
        <v>52</v>
      </c>
      <c r="Q1587" s="11">
        <v>11</v>
      </c>
      <c r="R1587" s="3" t="s">
        <v>31</v>
      </c>
      <c r="S1587" s="10" t="s">
        <v>32</v>
      </c>
      <c r="T1587" s="4" t="str">
        <f>IF(OR(Tabela1[[#This Row],[Grau de Risco]]="Médio",Tabela1[[#This Row],[Grau de Risco]]="Baixo"),"Não","Sim")</f>
        <v>Não</v>
      </c>
    </row>
    <row r="1588" spans="1:20">
      <c r="A1588" s="5" t="s">
        <v>7</v>
      </c>
      <c r="B1588" s="10" t="s">
        <v>1809</v>
      </c>
      <c r="C1588" s="4" t="s">
        <v>41</v>
      </c>
      <c r="D1588" s="38" t="s">
        <v>1393</v>
      </c>
      <c r="E1588" s="3">
        <v>26</v>
      </c>
      <c r="F1588" s="3">
        <v>9</v>
      </c>
      <c r="G1588" s="3">
        <v>2023</v>
      </c>
      <c r="H1588" s="4" t="s">
        <v>86</v>
      </c>
      <c r="I1588" s="7" t="s">
        <v>511</v>
      </c>
      <c r="J1588" s="4" t="s">
        <v>54</v>
      </c>
      <c r="K1588" s="3" t="s">
        <v>44</v>
      </c>
      <c r="L1588" s="3"/>
      <c r="M1588" s="4"/>
      <c r="N1588" s="4"/>
      <c r="O1588" s="4" t="s">
        <v>248</v>
      </c>
      <c r="P1588" s="3"/>
      <c r="Q1588" s="11">
        <v>7</v>
      </c>
      <c r="R1588" s="3" t="s">
        <v>102</v>
      </c>
      <c r="S1588" s="5" t="s">
        <v>40</v>
      </c>
      <c r="T1588" s="4" t="str">
        <f>IF(OR(Tabela1[[#This Row],[Grau de Risco]]="Médio",Tabela1[[#This Row],[Grau de Risco]]="Baixo"),"Não","Sim")</f>
        <v>Sim</v>
      </c>
    </row>
    <row r="1589" spans="1:20">
      <c r="A1589" s="4" t="s">
        <v>7</v>
      </c>
      <c r="B1589" s="10" t="s">
        <v>1809</v>
      </c>
      <c r="C1589" s="4"/>
      <c r="D1589" s="58" t="s">
        <v>1409</v>
      </c>
      <c r="E1589" s="3">
        <v>1</v>
      </c>
      <c r="F1589" s="3">
        <v>6</v>
      </c>
      <c r="G1589" s="3">
        <v>2023</v>
      </c>
      <c r="H1589" s="5" t="s">
        <v>48</v>
      </c>
      <c r="I1589" s="7" t="s">
        <v>522</v>
      </c>
      <c r="J1589" s="4" t="s">
        <v>61</v>
      </c>
      <c r="K1589" s="3" t="s">
        <v>62</v>
      </c>
      <c r="L1589" s="3" t="s">
        <v>44</v>
      </c>
      <c r="M1589" s="4" t="s">
        <v>30</v>
      </c>
      <c r="N1589" s="4"/>
      <c r="O1589" s="4" t="s">
        <v>51</v>
      </c>
      <c r="P1589" s="3" t="s">
        <v>52</v>
      </c>
      <c r="Q1589" s="11">
        <v>10</v>
      </c>
      <c r="R1589" s="3" t="str">
        <f>IF(Q1589="","",IF(Q1589&lt;4,"Crítico",IF(Q1589&lt;9,"Alto",IF(Q1589&lt;14,"Médio","Baixo"))))</f>
        <v>Médio</v>
      </c>
      <c r="S1589" s="10" t="s">
        <v>32</v>
      </c>
      <c r="T1589" s="4" t="str">
        <f>IF(OR(Tabela1[[#This Row],[Grau de Risco]]="Médio",Tabela1[[#This Row],[Grau de Risco]]="Baixo"),"Não","Sim")</f>
        <v>Não</v>
      </c>
    </row>
    <row r="1590" spans="1:20" hidden="1">
      <c r="A1590" s="4" t="s">
        <v>7</v>
      </c>
      <c r="B1590" s="10" t="s">
        <v>1805</v>
      </c>
      <c r="C1590" s="4"/>
      <c r="D1590" s="38" t="s">
        <v>1382</v>
      </c>
      <c r="E1590" s="3">
        <v>19</v>
      </c>
      <c r="F1590" s="3">
        <v>4</v>
      </c>
      <c r="G1590" s="3">
        <v>2023</v>
      </c>
      <c r="H1590" s="36" t="s">
        <v>82</v>
      </c>
      <c r="I1590" s="7" t="s">
        <v>528</v>
      </c>
      <c r="J1590" s="4" t="s">
        <v>61</v>
      </c>
      <c r="K1590" s="3" t="s">
        <v>62</v>
      </c>
      <c r="L1590" s="3" t="s">
        <v>44</v>
      </c>
      <c r="M1590" s="4" t="s">
        <v>30</v>
      </c>
      <c r="N1590" s="4"/>
      <c r="O1590" s="4" t="s">
        <v>4</v>
      </c>
      <c r="P1590" s="3" t="s">
        <v>52</v>
      </c>
      <c r="Q1590" s="11">
        <v>15</v>
      </c>
      <c r="R1590" s="3" t="str">
        <f>IF(Q1590="","",IF(Q1590&lt;4,"Crítico",IF(Q1590&lt;9,"Alto",IF(Q1590&lt;14,"Médio","Baixo"))))</f>
        <v>Baixo</v>
      </c>
      <c r="S1590" s="10" t="s">
        <v>32</v>
      </c>
      <c r="T1590" s="4" t="str">
        <f>IF(OR(Tabela1[[#This Row],[Grau de Risco]]="Médio",Tabela1[[#This Row],[Grau de Risco]]="Baixo"),"Não","Sim")</f>
        <v>Não</v>
      </c>
    </row>
    <row r="1591" spans="1:20">
      <c r="A1591" s="4" t="s">
        <v>7</v>
      </c>
      <c r="B1591" s="10" t="s">
        <v>1809</v>
      </c>
      <c r="C1591" s="4"/>
      <c r="D1591" s="38" t="s">
        <v>1393</v>
      </c>
      <c r="E1591" s="3">
        <v>19</v>
      </c>
      <c r="F1591" s="3">
        <v>9</v>
      </c>
      <c r="G1591" s="3">
        <v>2023</v>
      </c>
      <c r="H1591" s="4" t="s">
        <v>27</v>
      </c>
      <c r="I1591" s="7" t="s">
        <v>561</v>
      </c>
      <c r="J1591" s="4" t="s">
        <v>290</v>
      </c>
      <c r="K1591" s="3" t="s">
        <v>62</v>
      </c>
      <c r="L1591" s="3">
        <v>0</v>
      </c>
      <c r="M1591" s="4" t="s">
        <v>30</v>
      </c>
      <c r="N1591" s="4">
        <v>0</v>
      </c>
      <c r="O1591" s="4" t="s">
        <v>85</v>
      </c>
      <c r="P1591" s="3" t="s">
        <v>52</v>
      </c>
      <c r="Q1591" s="11">
        <v>7</v>
      </c>
      <c r="R1591" s="3" t="s">
        <v>102</v>
      </c>
      <c r="S1591" s="5" t="s">
        <v>40</v>
      </c>
      <c r="T1591" s="4" t="str">
        <f>IF(OR(Tabela1[[#This Row],[Grau de Risco]]="Médio",Tabela1[[#This Row],[Grau de Risco]]="Baixo"),"Não","Sim")</f>
        <v>Sim</v>
      </c>
    </row>
    <row r="1592" spans="1:20">
      <c r="A1592" s="4" t="s">
        <v>7</v>
      </c>
      <c r="B1592" s="10" t="s">
        <v>1809</v>
      </c>
      <c r="C1592" s="4"/>
      <c r="D1592" s="58" t="s">
        <v>1409</v>
      </c>
      <c r="E1592" s="3">
        <v>2</v>
      </c>
      <c r="F1592" s="3">
        <v>2</v>
      </c>
      <c r="G1592" s="3">
        <v>2023</v>
      </c>
      <c r="H1592" s="5" t="s">
        <v>123</v>
      </c>
      <c r="I1592" s="7" t="s">
        <v>565</v>
      </c>
      <c r="J1592" s="4" t="s">
        <v>111</v>
      </c>
      <c r="K1592" s="3" t="s">
        <v>62</v>
      </c>
      <c r="L1592" s="3" t="s">
        <v>44</v>
      </c>
      <c r="M1592" s="4" t="s">
        <v>30</v>
      </c>
      <c r="N1592" s="4"/>
      <c r="O1592" s="4" t="s">
        <v>4</v>
      </c>
      <c r="P1592" s="3" t="s">
        <v>52</v>
      </c>
      <c r="Q1592" s="11">
        <v>15</v>
      </c>
      <c r="R1592" s="3" t="str">
        <f>IF(Q1592="","",IF(Q1592&lt;4,"Crítico",IF(Q1592&lt;9,"Alto",IF(Q1592&lt;14,"Médio","Baixo"))))</f>
        <v>Baixo</v>
      </c>
      <c r="S1592" s="10" t="s">
        <v>63</v>
      </c>
      <c r="T1592" s="4" t="str">
        <f>IF(OR(Tabela1[[#This Row],[Grau de Risco]]="Médio",Tabela1[[#This Row],[Grau de Risco]]="Baixo"),"Não","Sim")</f>
        <v>Não</v>
      </c>
    </row>
    <row r="1593" spans="1:20">
      <c r="A1593" s="4" t="s">
        <v>9</v>
      </c>
      <c r="B1593" s="10" t="s">
        <v>1809</v>
      </c>
      <c r="C1593" s="4" t="s">
        <v>26</v>
      </c>
      <c r="D1593" s="38" t="s">
        <v>1320</v>
      </c>
      <c r="E1593" s="3">
        <v>4</v>
      </c>
      <c r="F1593" s="3">
        <v>9</v>
      </c>
      <c r="G1593" s="3">
        <v>2023</v>
      </c>
      <c r="H1593" s="36" t="s">
        <v>112</v>
      </c>
      <c r="I1593" s="7" t="s">
        <v>569</v>
      </c>
      <c r="J1593" s="4" t="s">
        <v>111</v>
      </c>
      <c r="K1593" s="3">
        <v>10</v>
      </c>
      <c r="L1593" s="3">
        <v>0</v>
      </c>
      <c r="M1593" s="4" t="s">
        <v>30</v>
      </c>
      <c r="N1593" s="4">
        <v>0</v>
      </c>
      <c r="O1593" s="4" t="s">
        <v>101</v>
      </c>
      <c r="P1593" s="3" t="s">
        <v>31</v>
      </c>
      <c r="Q1593" s="11">
        <v>11</v>
      </c>
      <c r="R1593" s="3" t="str">
        <f>IF(Q1593="","",IF(Q1593&lt;4,"Crítico",IF(Q1593&lt;9,"Alto",IF(Q1593&lt;14,"Médio","Baixo"))))</f>
        <v>Médio</v>
      </c>
      <c r="S1593" s="10" t="s">
        <v>63</v>
      </c>
      <c r="T1593" s="4" t="str">
        <f>IF(OR(Tabela1[[#This Row],[Grau de Risco]]="Médio",Tabela1[[#This Row],[Grau de Risco]]="Baixo"),"Não","Sim")</f>
        <v>Não</v>
      </c>
    </row>
    <row r="1594" spans="1:20" hidden="1">
      <c r="A1594" s="5" t="s">
        <v>7</v>
      </c>
      <c r="B1594" s="10" t="s">
        <v>1805</v>
      </c>
      <c r="C1594" s="4" t="s">
        <v>41</v>
      </c>
      <c r="D1594" s="58" t="s">
        <v>1409</v>
      </c>
      <c r="E1594" s="3">
        <v>21</v>
      </c>
      <c r="F1594" s="3">
        <v>9</v>
      </c>
      <c r="G1594" s="3">
        <v>2023</v>
      </c>
      <c r="H1594" s="36" t="s">
        <v>82</v>
      </c>
      <c r="I1594" s="7" t="s">
        <v>1756</v>
      </c>
      <c r="J1594" s="4" t="s">
        <v>35</v>
      </c>
      <c r="K1594" s="3" t="s">
        <v>44</v>
      </c>
      <c r="L1594" s="3" t="s">
        <v>44</v>
      </c>
      <c r="M1594" s="4"/>
      <c r="N1594" s="4" t="s">
        <v>44</v>
      </c>
      <c r="O1594" s="4"/>
      <c r="P1594" s="3"/>
      <c r="Q1594" s="11">
        <v>11</v>
      </c>
      <c r="R1594" s="2" t="s">
        <v>31</v>
      </c>
      <c r="S1594" s="10" t="s">
        <v>180</v>
      </c>
      <c r="T1594" s="4" t="str">
        <f>IF(OR(Tabela1[[#This Row],[Grau de Risco]]="Médio",Tabela1[[#This Row],[Grau de Risco]]="Baixo"),"Não","Sim")</f>
        <v>Não</v>
      </c>
    </row>
    <row r="1595" spans="1:20">
      <c r="A1595" s="5" t="s">
        <v>7</v>
      </c>
      <c r="B1595" s="10" t="s">
        <v>1809</v>
      </c>
      <c r="C1595" s="4" t="s">
        <v>41</v>
      </c>
      <c r="D1595" s="38" t="s">
        <v>1393</v>
      </c>
      <c r="E1595" s="3">
        <v>5</v>
      </c>
      <c r="F1595" s="3">
        <v>9</v>
      </c>
      <c r="G1595" s="3">
        <v>2023</v>
      </c>
      <c r="H1595" s="5" t="s">
        <v>442</v>
      </c>
      <c r="I1595" s="7" t="s">
        <v>586</v>
      </c>
      <c r="J1595" s="4" t="s">
        <v>54</v>
      </c>
      <c r="K1595" s="3" t="s">
        <v>44</v>
      </c>
      <c r="L1595" s="3"/>
      <c r="M1595" s="4"/>
      <c r="N1595" s="4"/>
      <c r="O1595" s="4" t="s">
        <v>4</v>
      </c>
      <c r="P1595" s="3"/>
      <c r="Q1595" s="11">
        <v>15</v>
      </c>
      <c r="R1595" s="3" t="s">
        <v>52</v>
      </c>
      <c r="S1595" s="10" t="s">
        <v>32</v>
      </c>
      <c r="T1595" s="4" t="str">
        <f>IF(OR(Tabela1[[#This Row],[Grau de Risco]]="Médio",Tabela1[[#This Row],[Grau de Risco]]="Baixo"),"Não","Sim")</f>
        <v>Não</v>
      </c>
    </row>
    <row r="1596" spans="1:20" hidden="1">
      <c r="A1596" s="5" t="s">
        <v>7</v>
      </c>
      <c r="B1596" s="10" t="s">
        <v>1805</v>
      </c>
      <c r="C1596" s="4" t="s">
        <v>26</v>
      </c>
      <c r="D1596" s="58" t="s">
        <v>1409</v>
      </c>
      <c r="E1596" s="3">
        <v>16</v>
      </c>
      <c r="F1596" s="3">
        <v>11</v>
      </c>
      <c r="G1596" s="3">
        <v>2023</v>
      </c>
      <c r="H1596" s="5" t="s">
        <v>48</v>
      </c>
      <c r="I1596" s="7" t="s">
        <v>590</v>
      </c>
      <c r="J1596" s="4" t="s">
        <v>54</v>
      </c>
      <c r="K1596" s="3" t="s">
        <v>44</v>
      </c>
      <c r="L1596" s="3"/>
      <c r="M1596" s="4"/>
      <c r="N1596" s="4"/>
      <c r="O1596" s="4" t="s">
        <v>4</v>
      </c>
      <c r="P1596" s="3"/>
      <c r="Q1596" s="11">
        <v>16</v>
      </c>
      <c r="R1596" s="3" t="s">
        <v>52</v>
      </c>
      <c r="S1596" s="10" t="s">
        <v>32</v>
      </c>
      <c r="T1596" s="4" t="str">
        <f>IF(OR(Tabela1[[#This Row],[Grau de Risco]]="Médio",Tabela1[[#This Row],[Grau de Risco]]="Baixo"),"Não","Sim")</f>
        <v>Não</v>
      </c>
    </row>
    <row r="1597" spans="1:20" hidden="1">
      <c r="A1597" s="5" t="s">
        <v>7</v>
      </c>
      <c r="B1597" s="10" t="s">
        <v>1805</v>
      </c>
      <c r="C1597" s="4" t="s">
        <v>41</v>
      </c>
      <c r="D1597" s="38" t="s">
        <v>1320</v>
      </c>
      <c r="E1597" s="3">
        <v>24</v>
      </c>
      <c r="F1597" s="3">
        <v>7</v>
      </c>
      <c r="G1597" s="3">
        <v>2023</v>
      </c>
      <c r="H1597" s="36" t="s">
        <v>33</v>
      </c>
      <c r="I1597" s="7" t="s">
        <v>603</v>
      </c>
      <c r="J1597" s="4" t="s">
        <v>54</v>
      </c>
      <c r="K1597" s="3" t="s">
        <v>44</v>
      </c>
      <c r="L1597" s="3" t="s">
        <v>80</v>
      </c>
      <c r="M1597" s="4"/>
      <c r="N1597" s="4"/>
      <c r="O1597" s="4" t="s">
        <v>4</v>
      </c>
      <c r="P1597" s="3"/>
      <c r="Q1597" s="11">
        <v>4</v>
      </c>
      <c r="R1597" s="3" t="s">
        <v>102</v>
      </c>
      <c r="S1597" s="5" t="s">
        <v>56</v>
      </c>
      <c r="T1597" s="4" t="str">
        <f>IF(OR(Tabela1[[#This Row],[Grau de Risco]]="Médio",Tabela1[[#This Row],[Grau de Risco]]="Baixo"),"Não","Sim")</f>
        <v>Sim</v>
      </c>
    </row>
    <row r="1598" spans="1:20" hidden="1">
      <c r="A1598" s="4" t="s">
        <v>8</v>
      </c>
      <c r="B1598" s="10" t="s">
        <v>1800</v>
      </c>
      <c r="C1598" s="4" t="s">
        <v>41</v>
      </c>
      <c r="D1598" s="58" t="s">
        <v>1409</v>
      </c>
      <c r="E1598" s="3">
        <v>28</v>
      </c>
      <c r="F1598" s="3">
        <v>12</v>
      </c>
      <c r="G1598" s="3">
        <v>2023</v>
      </c>
      <c r="H1598" s="5" t="s">
        <v>71</v>
      </c>
      <c r="I1598" s="7" t="s">
        <v>609</v>
      </c>
      <c r="J1598" s="4" t="s">
        <v>54</v>
      </c>
      <c r="K1598" s="3">
        <v>0</v>
      </c>
      <c r="L1598" s="3"/>
      <c r="M1598" s="4"/>
      <c r="N1598" s="4"/>
      <c r="O1598" s="4" t="s">
        <v>167</v>
      </c>
      <c r="P1598" s="3" t="s">
        <v>52</v>
      </c>
      <c r="Q1598" s="11">
        <v>11</v>
      </c>
      <c r="R1598" s="3" t="s">
        <v>31</v>
      </c>
      <c r="S1598" s="10" t="s">
        <v>63</v>
      </c>
      <c r="T1598" s="4" t="str">
        <f>IF(OR(Tabela1[[#This Row],[Grau de Risco]]="Médio",Tabela1[[#This Row],[Grau de Risco]]="Baixo"),"Não","Sim")</f>
        <v>Não</v>
      </c>
    </row>
    <row r="1599" spans="1:20" hidden="1">
      <c r="A1599" s="5" t="s">
        <v>7</v>
      </c>
      <c r="B1599" s="10" t="s">
        <v>1805</v>
      </c>
      <c r="C1599" s="4" t="s">
        <v>41</v>
      </c>
      <c r="D1599" s="5" t="s">
        <v>36</v>
      </c>
      <c r="E1599" s="3">
        <v>2</v>
      </c>
      <c r="F1599" s="3">
        <v>9</v>
      </c>
      <c r="G1599" s="3">
        <v>2023</v>
      </c>
      <c r="H1599" s="36" t="s">
        <v>33</v>
      </c>
      <c r="I1599" s="7" t="s">
        <v>619</v>
      </c>
      <c r="J1599" s="4" t="s">
        <v>54</v>
      </c>
      <c r="K1599" s="3" t="s">
        <v>44</v>
      </c>
      <c r="L1599" s="3" t="s">
        <v>80</v>
      </c>
      <c r="M1599" s="4" t="s">
        <v>30</v>
      </c>
      <c r="N1599" s="4" t="s">
        <v>80</v>
      </c>
      <c r="O1599" s="4" t="s">
        <v>77</v>
      </c>
      <c r="P1599" s="3"/>
      <c r="Q1599" s="11">
        <v>15</v>
      </c>
      <c r="R1599" s="3" t="s">
        <v>52</v>
      </c>
      <c r="S1599" s="10" t="s">
        <v>63</v>
      </c>
      <c r="T1599" s="4" t="str">
        <f>IF(OR(Tabela1[[#This Row],[Grau de Risco]]="Médio",Tabela1[[#This Row],[Grau de Risco]]="Baixo"),"Não","Sim")</f>
        <v>Não</v>
      </c>
    </row>
    <row r="1600" spans="1:20" hidden="1">
      <c r="A1600" s="5" t="s">
        <v>7</v>
      </c>
      <c r="B1600" s="10" t="s">
        <v>1805</v>
      </c>
      <c r="C1600" s="4" t="s">
        <v>81</v>
      </c>
      <c r="D1600" s="38" t="s">
        <v>1393</v>
      </c>
      <c r="E1600" s="3">
        <v>5</v>
      </c>
      <c r="F1600" s="3">
        <v>9</v>
      </c>
      <c r="G1600" s="3">
        <v>2023</v>
      </c>
      <c r="H1600" s="36" t="s">
        <v>112</v>
      </c>
      <c r="I1600" s="7" t="s">
        <v>621</v>
      </c>
      <c r="J1600" s="4" t="s">
        <v>54</v>
      </c>
      <c r="K1600" s="3" t="s">
        <v>44</v>
      </c>
      <c r="L1600" s="3" t="s">
        <v>80</v>
      </c>
      <c r="M1600" s="4" t="s">
        <v>30</v>
      </c>
      <c r="N1600" s="4" t="s">
        <v>80</v>
      </c>
      <c r="O1600" s="4" t="s">
        <v>4</v>
      </c>
      <c r="P1600" s="3"/>
      <c r="Q1600" s="11">
        <v>15</v>
      </c>
      <c r="R1600" s="3" t="s">
        <v>52</v>
      </c>
      <c r="S1600" s="10" t="s">
        <v>63</v>
      </c>
      <c r="T1600" s="4" t="str">
        <f>IF(OR(Tabela1[[#This Row],[Grau de Risco]]="Médio",Tabela1[[#This Row],[Grau de Risco]]="Baixo"),"Não","Sim")</f>
        <v>Não</v>
      </c>
    </row>
    <row r="1601" spans="1:20" hidden="1">
      <c r="A1601" s="5" t="s">
        <v>7</v>
      </c>
      <c r="B1601" s="10" t="s">
        <v>1805</v>
      </c>
      <c r="C1601" s="4" t="s">
        <v>41</v>
      </c>
      <c r="D1601" s="38" t="s">
        <v>1393</v>
      </c>
      <c r="E1601" s="3">
        <v>5</v>
      </c>
      <c r="F1601" s="3">
        <v>9</v>
      </c>
      <c r="G1601" s="3">
        <v>2023</v>
      </c>
      <c r="H1601" s="34" t="s">
        <v>59</v>
      </c>
      <c r="I1601" s="7" t="s">
        <v>622</v>
      </c>
      <c r="J1601" s="4" t="s">
        <v>54</v>
      </c>
      <c r="K1601" s="3" t="s">
        <v>44</v>
      </c>
      <c r="L1601" s="3" t="s">
        <v>80</v>
      </c>
      <c r="M1601" s="4" t="s">
        <v>30</v>
      </c>
      <c r="N1601" s="4" t="s">
        <v>80</v>
      </c>
      <c r="O1601" s="4" t="s">
        <v>396</v>
      </c>
      <c r="P1601" s="3"/>
      <c r="Q1601" s="11">
        <v>15</v>
      </c>
      <c r="R1601" s="3" t="s">
        <v>52</v>
      </c>
      <c r="S1601" s="10" t="s">
        <v>179</v>
      </c>
      <c r="T1601" s="4" t="str">
        <f>IF(OR(Tabela1[[#This Row],[Grau de Risco]]="Médio",Tabela1[[#This Row],[Grau de Risco]]="Baixo"),"Não","Sim")</f>
        <v>Não</v>
      </c>
    </row>
    <row r="1602" spans="1:20" hidden="1">
      <c r="A1602" s="5" t="s">
        <v>7</v>
      </c>
      <c r="B1602" s="10" t="s">
        <v>1805</v>
      </c>
      <c r="C1602" s="4" t="s">
        <v>41</v>
      </c>
      <c r="D1602" s="38" t="s">
        <v>47</v>
      </c>
      <c r="E1602" s="3">
        <v>8</v>
      </c>
      <c r="F1602" s="3">
        <v>9</v>
      </c>
      <c r="G1602" s="3">
        <v>2023</v>
      </c>
      <c r="H1602" s="36" t="s">
        <v>33</v>
      </c>
      <c r="I1602" s="7" t="s">
        <v>624</v>
      </c>
      <c r="J1602" s="4" t="s">
        <v>54</v>
      </c>
      <c r="K1602" s="3" t="s">
        <v>44</v>
      </c>
      <c r="L1602" s="3" t="s">
        <v>80</v>
      </c>
      <c r="M1602" s="4"/>
      <c r="N1602" s="4"/>
      <c r="O1602" s="4" t="s">
        <v>4</v>
      </c>
      <c r="P1602" s="3"/>
      <c r="Q1602" s="11">
        <v>13</v>
      </c>
      <c r="R1602" s="2" t="s">
        <v>31</v>
      </c>
      <c r="S1602" s="10" t="s">
        <v>179</v>
      </c>
      <c r="T1602" s="4" t="str">
        <f>IF(OR(Tabela1[[#This Row],[Grau de Risco]]="Médio",Tabela1[[#This Row],[Grau de Risco]]="Baixo"),"Não","Sim")</f>
        <v>Não</v>
      </c>
    </row>
    <row r="1603" spans="1:20">
      <c r="A1603" s="5" t="s">
        <v>7</v>
      </c>
      <c r="B1603" s="10" t="s">
        <v>1809</v>
      </c>
      <c r="C1603" s="4" t="s">
        <v>26</v>
      </c>
      <c r="D1603" s="38" t="s">
        <v>47</v>
      </c>
      <c r="E1603" s="3">
        <v>24</v>
      </c>
      <c r="F1603" s="3">
        <v>11</v>
      </c>
      <c r="G1603" s="3">
        <v>2023</v>
      </c>
      <c r="H1603" s="36" t="s">
        <v>33</v>
      </c>
      <c r="I1603" s="7" t="s">
        <v>650</v>
      </c>
      <c r="J1603" s="4" t="s">
        <v>38</v>
      </c>
      <c r="K1603" s="3" t="s">
        <v>44</v>
      </c>
      <c r="L1603" s="3"/>
      <c r="M1603" s="4"/>
      <c r="N1603" s="4"/>
      <c r="O1603" s="4" t="s">
        <v>167</v>
      </c>
      <c r="P1603" s="3"/>
      <c r="Q1603" s="11">
        <v>12</v>
      </c>
      <c r="R1603" s="3" t="s">
        <v>31</v>
      </c>
      <c r="S1603" s="10" t="s">
        <v>63</v>
      </c>
      <c r="T1603" s="4" t="str">
        <f>IF(OR(Tabela1[[#This Row],[Grau de Risco]]="Médio",Tabela1[[#This Row],[Grau de Risco]]="Baixo"),"Não","Sim")</f>
        <v>Não</v>
      </c>
    </row>
    <row r="1604" spans="1:20" hidden="1">
      <c r="A1604" s="5" t="s">
        <v>7</v>
      </c>
      <c r="B1604" s="10" t="s">
        <v>1805</v>
      </c>
      <c r="C1604" s="4" t="s">
        <v>41</v>
      </c>
      <c r="D1604" s="5" t="s">
        <v>1320</v>
      </c>
      <c r="E1604" s="3">
        <v>9</v>
      </c>
      <c r="F1604" s="3">
        <v>10</v>
      </c>
      <c r="G1604" s="3">
        <v>2023</v>
      </c>
      <c r="H1604" s="36" t="s">
        <v>107</v>
      </c>
      <c r="I1604" s="7" t="s">
        <v>653</v>
      </c>
      <c r="J1604" s="4" t="s">
        <v>69</v>
      </c>
      <c r="K1604" s="3" t="s">
        <v>44</v>
      </c>
      <c r="L1604" s="3" t="s">
        <v>44</v>
      </c>
      <c r="M1604" s="4" t="s">
        <v>30</v>
      </c>
      <c r="N1604" s="4" t="s">
        <v>44</v>
      </c>
      <c r="O1604" s="4"/>
      <c r="P1604" s="3"/>
      <c r="Q1604" s="3">
        <v>6</v>
      </c>
      <c r="R1604" s="11" t="s">
        <v>102</v>
      </c>
      <c r="S1604" s="10" t="s">
        <v>4</v>
      </c>
      <c r="T1604" s="4" t="str">
        <f>IF(OR(Tabela1[[#This Row],[Grau de Risco]]="Médio",Tabela1[[#This Row],[Grau de Risco]]="Baixo"),"Não","Sim")</f>
        <v>Sim</v>
      </c>
    </row>
    <row r="1605" spans="1:20" hidden="1">
      <c r="A1605" s="4" t="s">
        <v>7</v>
      </c>
      <c r="B1605" s="10" t="s">
        <v>1805</v>
      </c>
      <c r="C1605" s="4"/>
      <c r="D1605" s="38" t="s">
        <v>1320</v>
      </c>
      <c r="E1605" s="3">
        <v>10</v>
      </c>
      <c r="F1605" s="3">
        <v>4</v>
      </c>
      <c r="G1605" s="3">
        <v>2023</v>
      </c>
      <c r="H1605" s="5" t="s">
        <v>48</v>
      </c>
      <c r="I1605" s="7" t="s">
        <v>665</v>
      </c>
      <c r="J1605" s="4" t="s">
        <v>61</v>
      </c>
      <c r="K1605" s="3" t="s">
        <v>62</v>
      </c>
      <c r="L1605" s="3" t="s">
        <v>44</v>
      </c>
      <c r="M1605" s="4" t="s">
        <v>30</v>
      </c>
      <c r="N1605" s="4"/>
      <c r="O1605" s="4" t="s">
        <v>4</v>
      </c>
      <c r="P1605" s="3" t="s">
        <v>52</v>
      </c>
      <c r="Q1605" s="11">
        <v>4</v>
      </c>
      <c r="R1605" s="3" t="str">
        <f>IF(Q1605="","",IF(Q1605&lt;4,"Crítico",IF(Q1605&lt;9,"Alto",IF(Q1605&lt;14,"Médio","Baixo"))))</f>
        <v>Alto</v>
      </c>
      <c r="S1605" s="10" t="s">
        <v>32</v>
      </c>
      <c r="T1605" s="4" t="str">
        <f>IF(OR(Tabela1[[#This Row],[Grau de Risco]]="Médio",Tabela1[[#This Row],[Grau de Risco]]="Baixo"),"Não","Sim")</f>
        <v>Sim</v>
      </c>
    </row>
    <row r="1606" spans="1:20" hidden="1">
      <c r="A1606" s="4" t="s">
        <v>7</v>
      </c>
      <c r="B1606" s="10" t="s">
        <v>1805</v>
      </c>
      <c r="C1606" s="4"/>
      <c r="D1606" s="58" t="s">
        <v>1409</v>
      </c>
      <c r="E1606" s="3">
        <v>4</v>
      </c>
      <c r="F1606" s="3">
        <v>10</v>
      </c>
      <c r="G1606" s="3">
        <v>2023</v>
      </c>
      <c r="H1606" s="36" t="s">
        <v>66</v>
      </c>
      <c r="I1606" s="7" t="s">
        <v>673</v>
      </c>
      <c r="J1606" s="4" t="s">
        <v>61</v>
      </c>
      <c r="K1606" s="3">
        <v>0</v>
      </c>
      <c r="L1606" s="3">
        <v>0</v>
      </c>
      <c r="M1606" s="4" t="s">
        <v>30</v>
      </c>
      <c r="N1606" s="4">
        <v>0</v>
      </c>
      <c r="O1606" s="4" t="s">
        <v>396</v>
      </c>
      <c r="P1606" s="3" t="s">
        <v>52</v>
      </c>
      <c r="Q1606" s="11">
        <v>14</v>
      </c>
      <c r="R1606" s="3" t="str">
        <f>IF(Q1606="","",IF(Q1606&lt;4,"Crítico",IF(Q1606&lt;9,"Alto",IF(Q1606&lt;14,"Médio","Baixo"))))</f>
        <v>Baixo</v>
      </c>
      <c r="S1606" s="10" t="s">
        <v>32</v>
      </c>
      <c r="T1606" s="4" t="str">
        <f>IF(OR(Tabela1[[#This Row],[Grau de Risco]]="Médio",Tabela1[[#This Row],[Grau de Risco]]="Baixo"),"Não","Sim")</f>
        <v>Não</v>
      </c>
    </row>
    <row r="1607" spans="1:20">
      <c r="A1607" s="4" t="s">
        <v>7</v>
      </c>
      <c r="B1607" s="10" t="s">
        <v>1809</v>
      </c>
      <c r="C1607" s="4"/>
      <c r="D1607" s="38" t="s">
        <v>1382</v>
      </c>
      <c r="E1607" s="3">
        <v>1</v>
      </c>
      <c r="F1607" s="3">
        <v>3</v>
      </c>
      <c r="G1607" s="3">
        <v>2023</v>
      </c>
      <c r="H1607" s="5" t="s">
        <v>71</v>
      </c>
      <c r="I1607" s="7" t="s">
        <v>679</v>
      </c>
      <c r="J1607" s="4" t="s">
        <v>115</v>
      </c>
      <c r="K1607" s="3" t="s">
        <v>62</v>
      </c>
      <c r="L1607" s="3" t="s">
        <v>44</v>
      </c>
      <c r="M1607" s="4" t="s">
        <v>30</v>
      </c>
      <c r="N1607" s="4"/>
      <c r="O1607" s="4" t="s">
        <v>51</v>
      </c>
      <c r="P1607" s="3" t="s">
        <v>52</v>
      </c>
      <c r="Q1607" s="11">
        <v>10</v>
      </c>
      <c r="R1607" s="3" t="str">
        <f>IF(Q1607="","",IF(Q1607&lt;4,"Crítico",IF(Q1607&lt;9,"Alto",IF(Q1607&lt;14,"Médio","Baixo"))))</f>
        <v>Médio</v>
      </c>
      <c r="S1607" s="10" t="s">
        <v>32</v>
      </c>
      <c r="T1607" s="4" t="str">
        <f>IF(OR(Tabela1[[#This Row],[Grau de Risco]]="Médio",Tabela1[[#This Row],[Grau de Risco]]="Baixo"),"Não","Sim")</f>
        <v>Não</v>
      </c>
    </row>
    <row r="1608" spans="1:20">
      <c r="A1608" s="4" t="s">
        <v>7</v>
      </c>
      <c r="B1608" s="10" t="s">
        <v>1809</v>
      </c>
      <c r="C1608" s="4"/>
      <c r="D1608" s="38" t="s">
        <v>1382</v>
      </c>
      <c r="E1608" s="3">
        <v>19</v>
      </c>
      <c r="F1608" s="3">
        <v>4</v>
      </c>
      <c r="G1608" s="3">
        <v>2023</v>
      </c>
      <c r="H1608" s="5" t="s">
        <v>48</v>
      </c>
      <c r="I1608" s="7" t="s">
        <v>681</v>
      </c>
      <c r="J1608" s="4" t="s">
        <v>115</v>
      </c>
      <c r="K1608" s="3" t="s">
        <v>62</v>
      </c>
      <c r="L1608" s="3" t="s">
        <v>44</v>
      </c>
      <c r="M1608" s="4" t="s">
        <v>30</v>
      </c>
      <c r="N1608" s="4"/>
      <c r="O1608" s="4" t="s">
        <v>159</v>
      </c>
      <c r="P1608" s="3" t="s">
        <v>52</v>
      </c>
      <c r="Q1608" s="11">
        <v>4</v>
      </c>
      <c r="R1608" s="3" t="str">
        <f>IF(Q1608="","",IF(Q1608&lt;4,"Crítico",IF(Q1608&lt;9,"Alto",IF(Q1608&lt;14,"Médio","Baixo"))))</f>
        <v>Alto</v>
      </c>
      <c r="S1608" s="10" t="s">
        <v>63</v>
      </c>
      <c r="T1608" s="4" t="str">
        <f>IF(OR(Tabela1[[#This Row],[Grau de Risco]]="Médio",Tabela1[[#This Row],[Grau de Risco]]="Baixo"),"Não","Sim")</f>
        <v>Sim</v>
      </c>
    </row>
    <row r="1609" spans="1:20">
      <c r="A1609" s="4" t="s">
        <v>7</v>
      </c>
      <c r="B1609" s="10" t="s">
        <v>1809</v>
      </c>
      <c r="C1609" s="4"/>
      <c r="D1609" s="38" t="s">
        <v>47</v>
      </c>
      <c r="E1609" s="3">
        <v>22</v>
      </c>
      <c r="F1609" s="3">
        <v>9</v>
      </c>
      <c r="G1609" s="3">
        <v>2023</v>
      </c>
      <c r="H1609" s="5" t="s">
        <v>71</v>
      </c>
      <c r="I1609" s="7" t="s">
        <v>683</v>
      </c>
      <c r="J1609" s="4" t="s">
        <v>115</v>
      </c>
      <c r="K1609" s="3">
        <v>0</v>
      </c>
      <c r="L1609" s="3">
        <v>0</v>
      </c>
      <c r="M1609" s="4" t="s">
        <v>30</v>
      </c>
      <c r="N1609" s="4">
        <v>0</v>
      </c>
      <c r="O1609" s="4" t="s">
        <v>396</v>
      </c>
      <c r="P1609" s="3" t="s">
        <v>52</v>
      </c>
      <c r="Q1609" s="11">
        <v>11</v>
      </c>
      <c r="R1609" s="3" t="str">
        <f>IF(Q1609="","",IF(Q1609&lt;4,"Crítico",IF(Q1609&lt;9,"Alto",IF(Q1609&lt;14,"Médio","Baixo"))))</f>
        <v>Médio</v>
      </c>
      <c r="S1609" s="10" t="s">
        <v>32</v>
      </c>
      <c r="T1609" s="4" t="str">
        <f>IF(OR(Tabela1[[#This Row],[Grau de Risco]]="Médio",Tabela1[[#This Row],[Grau de Risco]]="Baixo"),"Não","Sim")</f>
        <v>Não</v>
      </c>
    </row>
    <row r="1610" spans="1:20" hidden="1">
      <c r="A1610" s="4" t="s">
        <v>7</v>
      </c>
      <c r="B1610" s="10" t="s">
        <v>1805</v>
      </c>
      <c r="C1610" s="4"/>
      <c r="D1610" s="5" t="s">
        <v>148</v>
      </c>
      <c r="E1610" s="3">
        <v>30</v>
      </c>
      <c r="F1610" s="3">
        <v>7</v>
      </c>
      <c r="G1610" s="3">
        <v>2023</v>
      </c>
      <c r="H1610" s="36" t="s">
        <v>82</v>
      </c>
      <c r="I1610" s="7" t="s">
        <v>690</v>
      </c>
      <c r="J1610" s="4" t="s">
        <v>93</v>
      </c>
      <c r="K1610" s="3" t="s">
        <v>62</v>
      </c>
      <c r="L1610" s="3">
        <v>0</v>
      </c>
      <c r="M1610" s="4" t="s">
        <v>30</v>
      </c>
      <c r="N1610" s="4">
        <v>0</v>
      </c>
      <c r="O1610" s="4" t="s">
        <v>85</v>
      </c>
      <c r="P1610" s="3" t="s">
        <v>31</v>
      </c>
      <c r="Q1610" s="11">
        <v>4</v>
      </c>
      <c r="R1610" s="3" t="s">
        <v>102</v>
      </c>
      <c r="S1610" s="10" t="s">
        <v>32</v>
      </c>
      <c r="T1610" s="4" t="str">
        <f>IF(OR(Tabela1[[#This Row],[Grau de Risco]]="Médio",Tabela1[[#This Row],[Grau de Risco]]="Baixo"),"Não","Sim")</f>
        <v>Sim</v>
      </c>
    </row>
    <row r="1611" spans="1:20" hidden="1">
      <c r="A1611" s="5" t="s">
        <v>7</v>
      </c>
      <c r="B1611" s="25" t="s">
        <v>1793</v>
      </c>
      <c r="C1611" s="4" t="s">
        <v>41</v>
      </c>
      <c r="D1611" s="58" t="s">
        <v>1409</v>
      </c>
      <c r="E1611" s="27">
        <v>14</v>
      </c>
      <c r="F1611" s="3">
        <v>12</v>
      </c>
      <c r="G1611" s="27">
        <v>2023</v>
      </c>
      <c r="H1611" s="5" t="s">
        <v>48</v>
      </c>
      <c r="I1611" s="7" t="s">
        <v>700</v>
      </c>
      <c r="J1611" s="21" t="s">
        <v>38</v>
      </c>
      <c r="K1611" s="69" t="s">
        <v>44</v>
      </c>
      <c r="L1611" s="69"/>
      <c r="M1611" s="67"/>
      <c r="N1611" s="67"/>
      <c r="O1611" s="4" t="s">
        <v>4</v>
      </c>
      <c r="P1611" s="3"/>
      <c r="Q1611" s="3">
        <v>13</v>
      </c>
      <c r="R1611" s="11" t="s">
        <v>52</v>
      </c>
      <c r="S1611" s="5" t="s">
        <v>56</v>
      </c>
      <c r="T1611" s="4" t="str">
        <f>IF(OR(Tabela1[[#This Row],[Grau de Risco]]="Médio",Tabela1[[#This Row],[Grau de Risco]]="Baixo"),"Não","Sim")</f>
        <v>Não</v>
      </c>
    </row>
    <row r="1612" spans="1:20">
      <c r="A1612" s="5" t="s">
        <v>7</v>
      </c>
      <c r="B1612" s="10" t="s">
        <v>1809</v>
      </c>
      <c r="C1612" s="4" t="s">
        <v>81</v>
      </c>
      <c r="D1612" s="38" t="s">
        <v>47</v>
      </c>
      <c r="E1612" s="3">
        <v>3</v>
      </c>
      <c r="F1612" s="3">
        <v>11</v>
      </c>
      <c r="G1612" s="3">
        <v>2023</v>
      </c>
      <c r="H1612" s="5" t="s">
        <v>332</v>
      </c>
      <c r="I1612" s="7" t="s">
        <v>701</v>
      </c>
      <c r="J1612" s="4" t="s">
        <v>38</v>
      </c>
      <c r="K1612" s="69" t="s">
        <v>44</v>
      </c>
      <c r="L1612" s="69"/>
      <c r="M1612" s="67"/>
      <c r="N1612" s="67"/>
      <c r="O1612" s="4" t="s">
        <v>77</v>
      </c>
      <c r="P1612" s="3"/>
      <c r="Q1612" s="11">
        <v>15</v>
      </c>
      <c r="R1612" s="3" t="s">
        <v>52</v>
      </c>
      <c r="S1612" s="10" t="s">
        <v>63</v>
      </c>
      <c r="T1612" s="4" t="str">
        <f>IF(OR(Tabela1[[#This Row],[Grau de Risco]]="Médio",Tabela1[[#This Row],[Grau de Risco]]="Baixo"),"Não","Sim")</f>
        <v>Não</v>
      </c>
    </row>
    <row r="1613" spans="1:20">
      <c r="A1613" s="5" t="s">
        <v>7</v>
      </c>
      <c r="B1613" s="10" t="s">
        <v>1809</v>
      </c>
      <c r="C1613" s="4" t="s">
        <v>41</v>
      </c>
      <c r="D1613" s="38" t="s">
        <v>1320</v>
      </c>
      <c r="E1613" s="3">
        <v>13</v>
      </c>
      <c r="F1613" s="3">
        <v>11</v>
      </c>
      <c r="G1613" s="3">
        <v>2023</v>
      </c>
      <c r="H1613" s="34" t="s">
        <v>59</v>
      </c>
      <c r="I1613" s="7" t="s">
        <v>702</v>
      </c>
      <c r="J1613" s="4" t="s">
        <v>38</v>
      </c>
      <c r="K1613" s="69" t="s">
        <v>44</v>
      </c>
      <c r="L1613" s="69"/>
      <c r="M1613" s="67"/>
      <c r="N1613" s="67"/>
      <c r="O1613" s="4" t="s">
        <v>4</v>
      </c>
      <c r="P1613" s="3"/>
      <c r="Q1613" s="11">
        <v>2</v>
      </c>
      <c r="R1613" s="3" t="str">
        <f>IF(Q1613="","",IF(Q1613&lt;4,"Crítico",IF(Q1613&lt;9,"Alto",IF(Q1613&lt;14,"Médio","Baixo"))))</f>
        <v>Crítico</v>
      </c>
      <c r="S1613" s="10" t="s">
        <v>4</v>
      </c>
      <c r="T1613" s="4" t="str">
        <f>IF(OR(Tabela1[[#This Row],[Grau de Risco]]="Médio",Tabela1[[#This Row],[Grau de Risco]]="Baixo"),"Não","Sim")</f>
        <v>Sim</v>
      </c>
    </row>
    <row r="1614" spans="1:20">
      <c r="A1614" s="4" t="s">
        <v>2</v>
      </c>
      <c r="B1614" s="10" t="s">
        <v>1809</v>
      </c>
      <c r="C1614" s="4" t="s">
        <v>41</v>
      </c>
      <c r="D1614" s="38" t="s">
        <v>1382</v>
      </c>
      <c r="E1614" s="3">
        <v>29</v>
      </c>
      <c r="F1614" s="3">
        <v>5</v>
      </c>
      <c r="G1614" s="3">
        <v>2024</v>
      </c>
      <c r="H1614" s="36" t="s">
        <v>33</v>
      </c>
      <c r="I1614" s="7" t="s">
        <v>1821</v>
      </c>
      <c r="J1614" s="4" t="s">
        <v>61</v>
      </c>
      <c r="K1614" s="3">
        <v>3</v>
      </c>
      <c r="L1614" s="3">
        <v>0</v>
      </c>
      <c r="M1614" s="4" t="s">
        <v>30</v>
      </c>
      <c r="N1614" s="4"/>
      <c r="O1614" s="4" t="s">
        <v>85</v>
      </c>
      <c r="P1614" s="3" t="s">
        <v>31</v>
      </c>
      <c r="Q1614" s="11">
        <v>7</v>
      </c>
      <c r="R1614" s="3" t="s">
        <v>102</v>
      </c>
      <c r="S1614" s="5" t="s">
        <v>40</v>
      </c>
      <c r="T1614" s="4" t="str">
        <f>IF(OR(Tabela1[[#This Row],[Grau de Risco]]="Médio",Tabela1[[#This Row],[Grau de Risco]]="Baixo"),"Não","Sim")</f>
        <v>Sim</v>
      </c>
    </row>
    <row r="1615" spans="1:20" hidden="1">
      <c r="A1615" s="4" t="s">
        <v>7</v>
      </c>
      <c r="B1615" s="10" t="s">
        <v>1802</v>
      </c>
      <c r="C1615" s="4"/>
      <c r="D1615" s="38" t="s">
        <v>1382</v>
      </c>
      <c r="E1615" s="3">
        <v>20</v>
      </c>
      <c r="F1615" s="3">
        <v>11</v>
      </c>
      <c r="G1615" s="3">
        <v>2024</v>
      </c>
      <c r="H1615" s="34" t="s">
        <v>59</v>
      </c>
      <c r="I1615" s="7" t="s">
        <v>705</v>
      </c>
      <c r="J1615" s="4" t="s">
        <v>111</v>
      </c>
      <c r="K1615" s="3"/>
      <c r="L1615" s="3"/>
      <c r="M1615" s="4"/>
      <c r="N1615" s="4"/>
      <c r="O1615" s="4" t="s">
        <v>396</v>
      </c>
      <c r="P1615" s="3"/>
      <c r="Q1615" s="11">
        <v>15</v>
      </c>
      <c r="R1615" s="3" t="s">
        <v>52</v>
      </c>
      <c r="S1615" s="10" t="s">
        <v>4</v>
      </c>
      <c r="T1615" s="4" t="str">
        <f>IF(OR(Tabela1[[#This Row],[Grau de Risco]]="Médio",Tabela1[[#This Row],[Grau de Risco]]="Baixo"),"Não","Sim")</f>
        <v>Não</v>
      </c>
    </row>
    <row r="1616" spans="1:20" hidden="1">
      <c r="A1616" s="4" t="s">
        <v>7</v>
      </c>
      <c r="B1616" s="10" t="s">
        <v>1797</v>
      </c>
      <c r="C1616" s="4"/>
      <c r="D1616" s="58" t="s">
        <v>1409</v>
      </c>
      <c r="E1616" s="3">
        <v>22</v>
      </c>
      <c r="F1616" s="3">
        <v>8</v>
      </c>
      <c r="G1616" s="3">
        <v>2024</v>
      </c>
      <c r="H1616" s="34" t="s">
        <v>59</v>
      </c>
      <c r="I1616" s="7" t="s">
        <v>1757</v>
      </c>
      <c r="J1616" s="4" t="s">
        <v>29</v>
      </c>
      <c r="K1616" s="3" t="s">
        <v>44</v>
      </c>
      <c r="L1616" s="3" t="s">
        <v>44</v>
      </c>
      <c r="M1616" s="4"/>
      <c r="N1616" s="4" t="s">
        <v>44</v>
      </c>
      <c r="O1616" s="4"/>
      <c r="P1616" s="3"/>
      <c r="Q1616" s="11">
        <v>11</v>
      </c>
      <c r="R1616" s="3" t="s">
        <v>31</v>
      </c>
      <c r="S1616" s="10" t="s">
        <v>32</v>
      </c>
      <c r="T1616" s="4" t="str">
        <f>IF(OR(Tabela1[[#This Row],[Grau de Risco]]="Médio",Tabela1[[#This Row],[Grau de Risco]]="Baixo"),"Não","Sim")</f>
        <v>Não</v>
      </c>
    </row>
    <row r="1617" spans="1:20" hidden="1">
      <c r="A1617" s="4" t="s">
        <v>7</v>
      </c>
      <c r="B1617" s="10" t="s">
        <v>1805</v>
      </c>
      <c r="C1617" s="4"/>
      <c r="D1617" s="38" t="s">
        <v>1393</v>
      </c>
      <c r="E1617" s="3">
        <v>24</v>
      </c>
      <c r="F1617" s="3">
        <v>9</v>
      </c>
      <c r="G1617" s="3">
        <v>2024</v>
      </c>
      <c r="H1617" s="5" t="s">
        <v>463</v>
      </c>
      <c r="I1617" s="7" t="s">
        <v>717</v>
      </c>
      <c r="J1617" s="4" t="s">
        <v>69</v>
      </c>
      <c r="K1617" s="3" t="s">
        <v>44</v>
      </c>
      <c r="L1617" s="3" t="s">
        <v>44</v>
      </c>
      <c r="M1617" s="4"/>
      <c r="N1617" s="4" t="s">
        <v>44</v>
      </c>
      <c r="O1617" s="4"/>
      <c r="P1617" s="3"/>
      <c r="Q1617" s="11">
        <v>11</v>
      </c>
      <c r="R1617" s="3" t="s">
        <v>31</v>
      </c>
      <c r="S1617" s="10" t="s">
        <v>32</v>
      </c>
      <c r="T1617" s="4" t="str">
        <f>IF(OR(Tabela1[[#This Row],[Grau de Risco]]="Médio",Tabela1[[#This Row],[Grau de Risco]]="Baixo"),"Não","Sim")</f>
        <v>Não</v>
      </c>
    </row>
    <row r="1618" spans="1:20" hidden="1">
      <c r="A1618" s="4" t="s">
        <v>7</v>
      </c>
      <c r="B1618" s="10" t="s">
        <v>1805</v>
      </c>
      <c r="C1618" s="4"/>
      <c r="D1618" s="38" t="s">
        <v>1320</v>
      </c>
      <c r="E1618" s="3">
        <v>4</v>
      </c>
      <c r="F1618" s="3">
        <v>3</v>
      </c>
      <c r="G1618" s="3">
        <v>2024</v>
      </c>
      <c r="H1618" s="36" t="s">
        <v>33</v>
      </c>
      <c r="I1618" s="7" t="s">
        <v>719</v>
      </c>
      <c r="J1618" s="4" t="s">
        <v>69</v>
      </c>
      <c r="K1618" s="3" t="s">
        <v>44</v>
      </c>
      <c r="L1618" s="3" t="s">
        <v>44</v>
      </c>
      <c r="M1618" s="4"/>
      <c r="N1618" s="4" t="s">
        <v>44</v>
      </c>
      <c r="O1618" s="4"/>
      <c r="P1618" s="3" t="s">
        <v>52</v>
      </c>
      <c r="Q1618" s="11">
        <v>11</v>
      </c>
      <c r="R1618" s="3" t="s">
        <v>31</v>
      </c>
      <c r="S1618" s="10" t="s">
        <v>178</v>
      </c>
      <c r="T1618" s="4" t="str">
        <f>IF(OR(Tabela1[[#This Row],[Grau de Risco]]="Médio",Tabela1[[#This Row],[Grau de Risco]]="Baixo"),"Não","Sim")</f>
        <v>Não</v>
      </c>
    </row>
    <row r="1619" spans="1:20">
      <c r="A1619" s="5" t="s">
        <v>7</v>
      </c>
      <c r="B1619" s="10" t="s">
        <v>1809</v>
      </c>
      <c r="C1619" s="28" t="s">
        <v>26</v>
      </c>
      <c r="D1619" s="38" t="s">
        <v>1393</v>
      </c>
      <c r="E1619" s="32">
        <v>25</v>
      </c>
      <c r="F1619" s="32">
        <v>6</v>
      </c>
      <c r="G1619" s="32">
        <v>2024</v>
      </c>
      <c r="H1619" s="36" t="s">
        <v>112</v>
      </c>
      <c r="I1619" s="29" t="s">
        <v>1758</v>
      </c>
      <c r="J1619" s="28" t="s">
        <v>38</v>
      </c>
      <c r="K1619" s="3" t="s">
        <v>44</v>
      </c>
      <c r="L1619" s="32" t="s">
        <v>30</v>
      </c>
      <c r="M1619" s="28" t="s">
        <v>30</v>
      </c>
      <c r="N1619" s="28" t="s">
        <v>44</v>
      </c>
      <c r="O1619" s="28"/>
      <c r="P1619" s="32"/>
      <c r="Q1619" s="35">
        <v>15</v>
      </c>
      <c r="R1619" s="3" t="s">
        <v>52</v>
      </c>
      <c r="S1619" s="33" t="s">
        <v>63</v>
      </c>
      <c r="T1619" s="4" t="str">
        <f>IF(OR(Tabela1[[#This Row],[Grau de Risco]]="Médio",Tabela1[[#This Row],[Grau de Risco]]="Baixo"),"Não","Sim")</f>
        <v>Não</v>
      </c>
    </row>
    <row r="1620" spans="1:20">
      <c r="A1620" s="4" t="s">
        <v>7</v>
      </c>
      <c r="B1620" s="10" t="s">
        <v>1809</v>
      </c>
      <c r="C1620" s="4" t="s">
        <v>252</v>
      </c>
      <c r="D1620" s="58" t="s">
        <v>1409</v>
      </c>
      <c r="E1620" s="3">
        <v>31</v>
      </c>
      <c r="F1620" s="3">
        <v>10</v>
      </c>
      <c r="G1620" s="3">
        <v>2024</v>
      </c>
      <c r="H1620" s="36" t="s">
        <v>33</v>
      </c>
      <c r="I1620" s="7" t="s">
        <v>742</v>
      </c>
      <c r="J1620" s="4" t="s">
        <v>192</v>
      </c>
      <c r="K1620" s="3"/>
      <c r="L1620" s="3"/>
      <c r="M1620" s="4"/>
      <c r="N1620" s="4"/>
      <c r="O1620" s="4" t="s">
        <v>51</v>
      </c>
      <c r="P1620" s="3"/>
      <c r="Q1620" s="11">
        <v>13</v>
      </c>
      <c r="R1620" s="3" t="s">
        <v>31</v>
      </c>
      <c r="S1620" s="10" t="s">
        <v>4</v>
      </c>
      <c r="T1620" s="4" t="str">
        <f>IF(OR(Tabela1[[#This Row],[Grau de Risco]]="Médio",Tabela1[[#This Row],[Grau de Risco]]="Baixo"),"Não","Sim")</f>
        <v>Não</v>
      </c>
    </row>
    <row r="1621" spans="1:20">
      <c r="A1621" s="47" t="s">
        <v>6</v>
      </c>
      <c r="B1621" s="10" t="s">
        <v>1809</v>
      </c>
      <c r="C1621" s="4"/>
      <c r="D1621" s="38" t="s">
        <v>1393</v>
      </c>
      <c r="E1621" s="3">
        <v>20</v>
      </c>
      <c r="F1621" s="3">
        <v>8</v>
      </c>
      <c r="G1621" s="3">
        <v>2024</v>
      </c>
      <c r="H1621" s="5" t="s">
        <v>71</v>
      </c>
      <c r="I1621" s="7" t="s">
        <v>746</v>
      </c>
      <c r="J1621" s="4" t="s">
        <v>111</v>
      </c>
      <c r="K1621" s="3" t="s">
        <v>62</v>
      </c>
      <c r="L1621" s="3"/>
      <c r="M1621" s="4"/>
      <c r="N1621" s="4"/>
      <c r="O1621" s="4" t="s">
        <v>527</v>
      </c>
      <c r="P1621" s="3"/>
      <c r="Q1621" s="11">
        <v>10</v>
      </c>
      <c r="R1621" s="3" t="s">
        <v>31</v>
      </c>
      <c r="S1621" s="10" t="s">
        <v>141</v>
      </c>
      <c r="T1621" s="4" t="str">
        <f>IF(OR(Tabela1[[#This Row],[Grau de Risco]]="Médio",Tabela1[[#This Row],[Grau de Risco]]="Baixo"),"Não","Sim")</f>
        <v>Não</v>
      </c>
    </row>
    <row r="1622" spans="1:20">
      <c r="A1622" s="4" t="s">
        <v>7</v>
      </c>
      <c r="B1622" s="10" t="s">
        <v>1809</v>
      </c>
      <c r="C1622" s="4"/>
      <c r="D1622" s="38" t="s">
        <v>47</v>
      </c>
      <c r="E1622" s="3">
        <v>3</v>
      </c>
      <c r="F1622" s="3">
        <v>5</v>
      </c>
      <c r="G1622" s="3">
        <v>2024</v>
      </c>
      <c r="H1622" s="5" t="s">
        <v>48</v>
      </c>
      <c r="I1622" s="7" t="s">
        <v>748</v>
      </c>
      <c r="J1622" s="4" t="s">
        <v>61</v>
      </c>
      <c r="K1622" s="3" t="s">
        <v>62</v>
      </c>
      <c r="L1622" s="3"/>
      <c r="M1622" s="4"/>
      <c r="N1622" s="4"/>
      <c r="O1622" s="4" t="s">
        <v>4</v>
      </c>
      <c r="P1622" s="3"/>
      <c r="Q1622" s="11">
        <v>15</v>
      </c>
      <c r="R1622" s="3" t="s">
        <v>52</v>
      </c>
      <c r="S1622" s="10" t="s">
        <v>4</v>
      </c>
      <c r="T1622" s="4" t="str">
        <f>IF(OR(Tabela1[[#This Row],[Grau de Risco]]="Médio",Tabela1[[#This Row],[Grau de Risco]]="Baixo"),"Não","Sim")</f>
        <v>Não</v>
      </c>
    </row>
    <row r="1623" spans="1:20">
      <c r="A1623" s="47" t="s">
        <v>6</v>
      </c>
      <c r="B1623" s="10" t="s">
        <v>1809</v>
      </c>
      <c r="C1623" s="4" t="s">
        <v>44</v>
      </c>
      <c r="D1623" s="58" t="s">
        <v>1409</v>
      </c>
      <c r="E1623" s="31">
        <v>16</v>
      </c>
      <c r="F1623" s="31">
        <v>5</v>
      </c>
      <c r="G1623" s="31">
        <v>2024</v>
      </c>
      <c r="H1623" s="4" t="s">
        <v>86</v>
      </c>
      <c r="I1623" s="47" t="s">
        <v>1759</v>
      </c>
      <c r="J1623" s="47" t="s">
        <v>169</v>
      </c>
      <c r="K1623" s="41" t="s">
        <v>44</v>
      </c>
      <c r="L1623" s="31" t="s">
        <v>30</v>
      </c>
      <c r="M1623" s="47" t="s">
        <v>30</v>
      </c>
      <c r="N1623" s="31" t="s">
        <v>44</v>
      </c>
      <c r="O1623" s="47"/>
      <c r="P1623" s="31"/>
      <c r="Q1623" s="31">
        <v>4</v>
      </c>
      <c r="R1623" s="3" t="s">
        <v>102</v>
      </c>
      <c r="S1623" s="5" t="s">
        <v>40</v>
      </c>
      <c r="T1623" s="4" t="str">
        <f>IF(OR(Tabela1[[#This Row],[Grau de Risco]]="Médio",Tabela1[[#This Row],[Grau de Risco]]="Baixo"),"Não","Sim")</f>
        <v>Sim</v>
      </c>
    </row>
    <row r="1624" spans="1:20">
      <c r="A1624" s="4" t="s">
        <v>7</v>
      </c>
      <c r="B1624" s="10" t="s">
        <v>1809</v>
      </c>
      <c r="C1624" s="4"/>
      <c r="D1624" s="58" t="s">
        <v>1409</v>
      </c>
      <c r="E1624" s="3">
        <v>23</v>
      </c>
      <c r="F1624" s="3">
        <v>5</v>
      </c>
      <c r="G1624" s="3">
        <v>2024</v>
      </c>
      <c r="H1624" s="36" t="s">
        <v>82</v>
      </c>
      <c r="I1624" s="7" t="s">
        <v>1760</v>
      </c>
      <c r="J1624" s="4" t="s">
        <v>35</v>
      </c>
      <c r="K1624" s="3" t="s">
        <v>44</v>
      </c>
      <c r="L1624" s="3" t="s">
        <v>44</v>
      </c>
      <c r="M1624" s="4"/>
      <c r="N1624" s="4" t="s">
        <v>44</v>
      </c>
      <c r="O1624" s="4"/>
      <c r="P1624" s="3"/>
      <c r="Q1624" s="11">
        <v>11</v>
      </c>
      <c r="R1624" s="3" t="s">
        <v>31</v>
      </c>
      <c r="S1624" s="10" t="s">
        <v>141</v>
      </c>
      <c r="T1624" s="4" t="str">
        <f>IF(OR(Tabela1[[#This Row],[Grau de Risco]]="Médio",Tabela1[[#This Row],[Grau de Risco]]="Baixo"),"Não","Sim")</f>
        <v>Não</v>
      </c>
    </row>
    <row r="1625" spans="1:20">
      <c r="A1625" s="4" t="s">
        <v>7</v>
      </c>
      <c r="B1625" s="10" t="s">
        <v>1809</v>
      </c>
      <c r="C1625" s="4"/>
      <c r="D1625" s="58" t="s">
        <v>1409</v>
      </c>
      <c r="E1625" s="3">
        <v>12</v>
      </c>
      <c r="F1625" s="3">
        <v>9</v>
      </c>
      <c r="G1625" s="3">
        <v>2024</v>
      </c>
      <c r="H1625" s="36" t="s">
        <v>82</v>
      </c>
      <c r="I1625" s="7" t="s">
        <v>1761</v>
      </c>
      <c r="J1625" s="4" t="s">
        <v>35</v>
      </c>
      <c r="K1625" s="3" t="s">
        <v>44</v>
      </c>
      <c r="L1625" s="3" t="s">
        <v>44</v>
      </c>
      <c r="M1625" s="4"/>
      <c r="N1625" s="4" t="s">
        <v>44</v>
      </c>
      <c r="O1625" s="4"/>
      <c r="P1625" s="3"/>
      <c r="Q1625" s="11">
        <v>4</v>
      </c>
      <c r="R1625" s="3" t="s">
        <v>102</v>
      </c>
      <c r="S1625" s="10" t="s">
        <v>141</v>
      </c>
      <c r="T1625" s="4" t="str">
        <f>IF(OR(Tabela1[[#This Row],[Grau de Risco]]="Médio",Tabela1[[#This Row],[Grau de Risco]]="Baixo"),"Não","Sim")</f>
        <v>Sim</v>
      </c>
    </row>
    <row r="1626" spans="1:20">
      <c r="A1626" s="4" t="s">
        <v>7</v>
      </c>
      <c r="B1626" s="10" t="s">
        <v>1809</v>
      </c>
      <c r="C1626" s="4"/>
      <c r="D1626" s="38" t="s">
        <v>1393</v>
      </c>
      <c r="E1626" s="3">
        <v>6</v>
      </c>
      <c r="F1626" s="3">
        <v>2</v>
      </c>
      <c r="G1626" s="3">
        <v>2024</v>
      </c>
      <c r="H1626" s="4" t="s">
        <v>27</v>
      </c>
      <c r="I1626" s="7" t="s">
        <v>762</v>
      </c>
      <c r="J1626" s="4" t="s">
        <v>192</v>
      </c>
      <c r="K1626" s="3" t="s">
        <v>62</v>
      </c>
      <c r="L1626" s="3"/>
      <c r="M1626" s="4"/>
      <c r="N1626" s="4"/>
      <c r="O1626" s="4" t="s">
        <v>70</v>
      </c>
      <c r="P1626" s="3" t="s">
        <v>62</v>
      </c>
      <c r="Q1626" s="11">
        <v>16</v>
      </c>
      <c r="R1626" s="3" t="s">
        <v>52</v>
      </c>
      <c r="S1626" s="10" t="s">
        <v>141</v>
      </c>
      <c r="T1626" s="4" t="str">
        <f>IF(OR(Tabela1[[#This Row],[Grau de Risco]]="Médio",Tabela1[[#This Row],[Grau de Risco]]="Baixo"),"Não","Sim")</f>
        <v>Não</v>
      </c>
    </row>
    <row r="1627" spans="1:20" hidden="1">
      <c r="A1627" s="4" t="s">
        <v>7</v>
      </c>
      <c r="B1627" s="10" t="s">
        <v>1800</v>
      </c>
      <c r="C1627" s="4"/>
      <c r="D1627" s="38" t="s">
        <v>47</v>
      </c>
      <c r="E1627" s="3">
        <v>19</v>
      </c>
      <c r="F1627" s="3">
        <v>4</v>
      </c>
      <c r="G1627" s="3">
        <v>2024</v>
      </c>
      <c r="H1627" s="5" t="s">
        <v>442</v>
      </c>
      <c r="I1627" s="7" t="s">
        <v>771</v>
      </c>
      <c r="J1627" s="4" t="s">
        <v>61</v>
      </c>
      <c r="K1627" s="3" t="s">
        <v>62</v>
      </c>
      <c r="L1627" s="3"/>
      <c r="M1627" s="4"/>
      <c r="N1627" s="4"/>
      <c r="O1627" s="4" t="s">
        <v>77</v>
      </c>
      <c r="P1627" s="3"/>
      <c r="Q1627" s="11">
        <v>11</v>
      </c>
      <c r="R1627" s="3" t="s">
        <v>31</v>
      </c>
      <c r="S1627" s="10" t="s">
        <v>63</v>
      </c>
      <c r="T1627" s="4" t="str">
        <f>IF(OR(Tabela1[[#This Row],[Grau de Risco]]="Médio",Tabela1[[#This Row],[Grau de Risco]]="Baixo"),"Não","Sim")</f>
        <v>Não</v>
      </c>
    </row>
    <row r="1628" spans="1:20">
      <c r="A1628" s="4" t="s">
        <v>7</v>
      </c>
      <c r="B1628" s="10" t="s">
        <v>1809</v>
      </c>
      <c r="C1628" s="4"/>
      <c r="D1628" s="58" t="s">
        <v>1409</v>
      </c>
      <c r="E1628" s="3">
        <v>18</v>
      </c>
      <c r="F1628" s="3">
        <v>7</v>
      </c>
      <c r="G1628" s="3">
        <v>2024</v>
      </c>
      <c r="H1628" s="5" t="s">
        <v>209</v>
      </c>
      <c r="I1628" s="7" t="s">
        <v>773</v>
      </c>
      <c r="J1628" s="4" t="s">
        <v>61</v>
      </c>
      <c r="K1628" s="3" t="s">
        <v>62</v>
      </c>
      <c r="L1628" s="3"/>
      <c r="M1628" s="4"/>
      <c r="N1628" s="4"/>
      <c r="O1628" s="4" t="s">
        <v>85</v>
      </c>
      <c r="P1628" s="3"/>
      <c r="Q1628" s="11">
        <v>15</v>
      </c>
      <c r="R1628" s="3" t="s">
        <v>52</v>
      </c>
      <c r="S1628" s="5" t="s">
        <v>40</v>
      </c>
      <c r="T1628" s="4" t="str">
        <f>IF(OR(Tabela1[[#This Row],[Grau de Risco]]="Médio",Tabela1[[#This Row],[Grau de Risco]]="Baixo"),"Não","Sim")</f>
        <v>Não</v>
      </c>
    </row>
    <row r="1629" spans="1:20">
      <c r="A1629" s="4" t="s">
        <v>7</v>
      </c>
      <c r="B1629" s="10" t="s">
        <v>1809</v>
      </c>
      <c r="C1629" s="4"/>
      <c r="D1629" s="5" t="s">
        <v>36</v>
      </c>
      <c r="E1629" s="3">
        <v>7</v>
      </c>
      <c r="F1629" s="3">
        <v>12</v>
      </c>
      <c r="G1629" s="3">
        <v>2024</v>
      </c>
      <c r="H1629" s="36" t="s">
        <v>112</v>
      </c>
      <c r="I1629" s="7" t="s">
        <v>779</v>
      </c>
      <c r="J1629" s="4" t="s">
        <v>61</v>
      </c>
      <c r="K1629" s="3"/>
      <c r="L1629" s="3"/>
      <c r="M1629" s="4"/>
      <c r="N1629" s="4"/>
      <c r="O1629" s="4" t="s">
        <v>85</v>
      </c>
      <c r="P1629" s="3"/>
      <c r="Q1629" s="11">
        <v>15</v>
      </c>
      <c r="R1629" s="3" t="s">
        <v>52</v>
      </c>
      <c r="S1629" s="5" t="s">
        <v>40</v>
      </c>
      <c r="T1629" s="4" t="str">
        <f>IF(OR(Tabela1[[#This Row],[Grau de Risco]]="Médio",Tabela1[[#This Row],[Grau de Risco]]="Baixo"),"Não","Sim")</f>
        <v>Não</v>
      </c>
    </row>
    <row r="1630" spans="1:20">
      <c r="A1630" s="4" t="s">
        <v>7</v>
      </c>
      <c r="B1630" s="10" t="s">
        <v>1809</v>
      </c>
      <c r="C1630" s="4"/>
      <c r="D1630" s="58" t="s">
        <v>1409</v>
      </c>
      <c r="E1630" s="3">
        <v>28</v>
      </c>
      <c r="F1630" s="3">
        <v>11</v>
      </c>
      <c r="G1630" s="3">
        <v>2024</v>
      </c>
      <c r="H1630" s="5" t="s">
        <v>71</v>
      </c>
      <c r="I1630" s="7" t="s">
        <v>1762</v>
      </c>
      <c r="J1630" s="4" t="s">
        <v>290</v>
      </c>
      <c r="K1630" s="3"/>
      <c r="L1630" s="3"/>
      <c r="M1630" s="4"/>
      <c r="N1630" s="4"/>
      <c r="O1630" s="4"/>
      <c r="P1630" s="3" t="s">
        <v>52</v>
      </c>
      <c r="Q1630" s="11">
        <v>7</v>
      </c>
      <c r="R1630" s="3" t="s">
        <v>102</v>
      </c>
      <c r="S1630" s="5" t="s">
        <v>56</v>
      </c>
      <c r="T1630" s="4" t="str">
        <f>IF(OR(Tabela1[[#This Row],[Grau de Risco]]="Médio",Tabela1[[#This Row],[Grau de Risco]]="Baixo"),"Não","Sim")</f>
        <v>Sim</v>
      </c>
    </row>
    <row r="1631" spans="1:20" hidden="1">
      <c r="A1631" s="28" t="s">
        <v>8</v>
      </c>
      <c r="B1631" s="33" t="s">
        <v>1800</v>
      </c>
      <c r="C1631" s="28" t="s">
        <v>81</v>
      </c>
      <c r="D1631" s="58" t="s">
        <v>1409</v>
      </c>
      <c r="E1631" s="32">
        <v>12</v>
      </c>
      <c r="F1631" s="32">
        <v>9</v>
      </c>
      <c r="G1631" s="32">
        <v>2024</v>
      </c>
      <c r="H1631" s="36" t="s">
        <v>33</v>
      </c>
      <c r="I1631" s="29" t="s">
        <v>790</v>
      </c>
      <c r="J1631" s="28" t="s">
        <v>111</v>
      </c>
      <c r="K1631" s="32" t="s">
        <v>80</v>
      </c>
      <c r="L1631" s="32" t="s">
        <v>80</v>
      </c>
      <c r="M1631" s="28" t="s">
        <v>30</v>
      </c>
      <c r="N1631" s="28" t="s">
        <v>80</v>
      </c>
      <c r="O1631" s="28" t="s">
        <v>70</v>
      </c>
      <c r="P1631" s="32" t="s">
        <v>52</v>
      </c>
      <c r="Q1631" s="35">
        <v>16</v>
      </c>
      <c r="R1631" s="32" t="str">
        <f>IF(Q1631="","",IF(Q1631&lt;4,"Alto",IF(Q1631&lt;9,"Alto",IF(Q1631&lt;14,"Médio","Baixo"))))</f>
        <v>Baixo</v>
      </c>
      <c r="S1631" s="5" t="s">
        <v>56</v>
      </c>
      <c r="T1631" s="4" t="str">
        <f>IF(OR(Tabela1[[#This Row],[Grau de Risco]]="Médio",Tabela1[[#This Row],[Grau de Risco]]="Baixo"),"Não","Sim")</f>
        <v>Não</v>
      </c>
    </row>
    <row r="1632" spans="1:20">
      <c r="A1632" s="4" t="s">
        <v>7</v>
      </c>
      <c r="B1632" s="10" t="s">
        <v>1809</v>
      </c>
      <c r="C1632" s="4"/>
      <c r="D1632" s="38" t="s">
        <v>1393</v>
      </c>
      <c r="E1632" s="3">
        <v>23</v>
      </c>
      <c r="F1632" s="3">
        <v>1</v>
      </c>
      <c r="G1632" s="3">
        <v>2024</v>
      </c>
      <c r="H1632" s="4" t="s">
        <v>27</v>
      </c>
      <c r="I1632" s="7" t="s">
        <v>804</v>
      </c>
      <c r="J1632" s="4" t="s">
        <v>61</v>
      </c>
      <c r="K1632" s="3"/>
      <c r="L1632" s="3">
        <v>0</v>
      </c>
      <c r="M1632" s="4" t="s">
        <v>30</v>
      </c>
      <c r="N1632" s="4">
        <v>0</v>
      </c>
      <c r="O1632" s="4" t="s">
        <v>4</v>
      </c>
      <c r="P1632" s="3"/>
      <c r="Q1632" s="11">
        <v>15</v>
      </c>
      <c r="R1632" s="3" t="s">
        <v>52</v>
      </c>
      <c r="S1632" s="10" t="s">
        <v>63</v>
      </c>
      <c r="T1632" s="4" t="str">
        <f>IF(OR(Tabela1[[#This Row],[Grau de Risco]]="Médio",Tabela1[[#This Row],[Grau de Risco]]="Baixo"),"Não","Sim")</f>
        <v>Não</v>
      </c>
    </row>
    <row r="1633" spans="1:20">
      <c r="A1633" s="4" t="s">
        <v>7</v>
      </c>
      <c r="B1633" s="10" t="s">
        <v>1809</v>
      </c>
      <c r="C1633" s="4"/>
      <c r="D1633" s="58" t="s">
        <v>1409</v>
      </c>
      <c r="E1633" s="3">
        <v>28</v>
      </c>
      <c r="F1633" s="3">
        <v>3</v>
      </c>
      <c r="G1633" s="3">
        <v>2024</v>
      </c>
      <c r="H1633" s="4" t="s">
        <v>27</v>
      </c>
      <c r="I1633" s="7" t="s">
        <v>805</v>
      </c>
      <c r="J1633" s="4" t="s">
        <v>61</v>
      </c>
      <c r="K1633" s="3" t="s">
        <v>62</v>
      </c>
      <c r="L1633" s="3"/>
      <c r="M1633" s="4"/>
      <c r="N1633" s="4"/>
      <c r="O1633" s="4" t="s">
        <v>4</v>
      </c>
      <c r="P1633" s="3"/>
      <c r="Q1633" s="11">
        <v>11</v>
      </c>
      <c r="R1633" s="3" t="s">
        <v>31</v>
      </c>
      <c r="S1633" s="10" t="s">
        <v>141</v>
      </c>
      <c r="T1633" s="4" t="str">
        <f>IF(OR(Tabela1[[#This Row],[Grau de Risco]]="Médio",Tabela1[[#This Row],[Grau de Risco]]="Baixo"),"Não","Sim")</f>
        <v>Não</v>
      </c>
    </row>
    <row r="1634" spans="1:20">
      <c r="A1634" s="4" t="s">
        <v>7</v>
      </c>
      <c r="B1634" s="10" t="s">
        <v>1809</v>
      </c>
      <c r="C1634" s="4"/>
      <c r="D1634" s="58" t="s">
        <v>1409</v>
      </c>
      <c r="E1634" s="3">
        <v>5</v>
      </c>
      <c r="F1634" s="3">
        <v>12</v>
      </c>
      <c r="G1634" s="3">
        <v>2024</v>
      </c>
      <c r="H1634" s="36" t="s">
        <v>33</v>
      </c>
      <c r="I1634" s="7" t="s">
        <v>810</v>
      </c>
      <c r="J1634" s="4" t="s">
        <v>61</v>
      </c>
      <c r="K1634" s="3"/>
      <c r="L1634" s="3"/>
      <c r="M1634" s="4"/>
      <c r="N1634" s="4"/>
      <c r="O1634" s="4" t="s">
        <v>85</v>
      </c>
      <c r="P1634" s="3"/>
      <c r="Q1634" s="11">
        <v>15</v>
      </c>
      <c r="R1634" s="3" t="s">
        <v>52</v>
      </c>
      <c r="S1634" s="5" t="s">
        <v>56</v>
      </c>
      <c r="T1634" s="4" t="str">
        <f>IF(OR(Tabela1[[#This Row],[Grau de Risco]]="Médio",Tabela1[[#This Row],[Grau de Risco]]="Baixo"),"Não","Sim")</f>
        <v>Não</v>
      </c>
    </row>
    <row r="1635" spans="1:20">
      <c r="A1635" s="4" t="s">
        <v>7</v>
      </c>
      <c r="B1635" s="10" t="s">
        <v>1809</v>
      </c>
      <c r="C1635" s="4"/>
      <c r="D1635" s="5" t="s">
        <v>36</v>
      </c>
      <c r="E1635" s="3">
        <v>14</v>
      </c>
      <c r="F1635" s="3">
        <v>9</v>
      </c>
      <c r="G1635" s="3">
        <v>2024</v>
      </c>
      <c r="I1635" s="7" t="s">
        <v>815</v>
      </c>
      <c r="J1635" s="4" t="s">
        <v>111</v>
      </c>
      <c r="K1635" s="3"/>
      <c r="L1635" s="3"/>
      <c r="M1635" s="4"/>
      <c r="N1635" s="4"/>
      <c r="O1635" s="4" t="s">
        <v>77</v>
      </c>
      <c r="P1635" s="3"/>
      <c r="Q1635" s="11">
        <v>13</v>
      </c>
      <c r="R1635" s="3" t="s">
        <v>31</v>
      </c>
      <c r="S1635" s="10" t="s">
        <v>63</v>
      </c>
      <c r="T1635" s="4" t="str">
        <f>IF(OR(Tabela1[[#This Row],[Grau de Risco]]="Médio",Tabela1[[#This Row],[Grau de Risco]]="Baixo"),"Não","Sim")</f>
        <v>Não</v>
      </c>
    </row>
    <row r="1636" spans="1:20">
      <c r="A1636" s="4" t="s">
        <v>7</v>
      </c>
      <c r="B1636" s="10" t="s">
        <v>1809</v>
      </c>
      <c r="C1636" s="4" t="s">
        <v>26</v>
      </c>
      <c r="D1636" s="58" t="s">
        <v>1409</v>
      </c>
      <c r="E1636" s="3">
        <v>22</v>
      </c>
      <c r="F1636" s="3">
        <v>8</v>
      </c>
      <c r="G1636" s="3">
        <v>2024</v>
      </c>
      <c r="H1636" s="36" t="s">
        <v>82</v>
      </c>
      <c r="I1636" s="7" t="s">
        <v>836</v>
      </c>
      <c r="J1636" s="4" t="s">
        <v>229</v>
      </c>
      <c r="K1636" s="3" t="s">
        <v>62</v>
      </c>
      <c r="L1636" s="3"/>
      <c r="M1636" s="4"/>
      <c r="N1636" s="4"/>
      <c r="O1636" s="4" t="s">
        <v>85</v>
      </c>
      <c r="P1636" s="3"/>
      <c r="Q1636" s="11">
        <v>13</v>
      </c>
      <c r="R1636" s="3" t="s">
        <v>31</v>
      </c>
      <c r="S1636" s="5" t="s">
        <v>40</v>
      </c>
      <c r="T1636" s="4" t="str">
        <f>IF(OR(Tabela1[[#This Row],[Grau de Risco]]="Médio",Tabela1[[#This Row],[Grau de Risco]]="Baixo"),"Não","Sim")</f>
        <v>Não</v>
      </c>
    </row>
    <row r="1637" spans="1:20" hidden="1">
      <c r="A1637" s="5" t="s">
        <v>7</v>
      </c>
      <c r="B1637" s="56" t="s">
        <v>1800</v>
      </c>
      <c r="C1637" s="4" t="s">
        <v>44</v>
      </c>
      <c r="D1637" s="58" t="s">
        <v>1409</v>
      </c>
      <c r="E1637" s="32">
        <v>12</v>
      </c>
      <c r="F1637" s="32">
        <v>12</v>
      </c>
      <c r="G1637" s="32">
        <v>2024</v>
      </c>
      <c r="H1637" s="36" t="s">
        <v>82</v>
      </c>
      <c r="I1637" s="29" t="s">
        <v>857</v>
      </c>
      <c r="J1637" s="28" t="s">
        <v>61</v>
      </c>
      <c r="K1637" s="32" t="s">
        <v>80</v>
      </c>
      <c r="L1637" s="32" t="s">
        <v>80</v>
      </c>
      <c r="M1637" s="28" t="s">
        <v>30</v>
      </c>
      <c r="N1637" s="28" t="s">
        <v>80</v>
      </c>
      <c r="O1637" s="28" t="s">
        <v>4</v>
      </c>
      <c r="P1637" s="32"/>
      <c r="Q1637" s="35">
        <v>16</v>
      </c>
      <c r="R1637" s="32" t="s">
        <v>52</v>
      </c>
      <c r="S1637" s="33" t="s">
        <v>179</v>
      </c>
      <c r="T1637" s="4" t="str">
        <f>IF(OR(Tabela1[[#This Row],[Grau de Risco]]="Médio",Tabela1[[#This Row],[Grau de Risco]]="Baixo"),"Não","Sim")</f>
        <v>Não</v>
      </c>
    </row>
    <row r="1638" spans="1:20" hidden="1">
      <c r="A1638" s="4" t="s">
        <v>7</v>
      </c>
      <c r="B1638" s="10" t="s">
        <v>1805</v>
      </c>
      <c r="C1638" s="4"/>
      <c r="D1638" s="38" t="s">
        <v>1393</v>
      </c>
      <c r="E1638" s="3">
        <v>17</v>
      </c>
      <c r="F1638" s="3">
        <v>9</v>
      </c>
      <c r="G1638" s="3">
        <v>2024</v>
      </c>
      <c r="H1638" s="5" t="s">
        <v>48</v>
      </c>
      <c r="I1638" s="7" t="s">
        <v>858</v>
      </c>
      <c r="J1638" s="4" t="s">
        <v>61</v>
      </c>
      <c r="K1638" s="3"/>
      <c r="L1638" s="3"/>
      <c r="M1638" s="4"/>
      <c r="N1638" s="4"/>
      <c r="O1638" s="4" t="s">
        <v>4</v>
      </c>
      <c r="P1638" s="3"/>
      <c r="Q1638" s="11">
        <v>11</v>
      </c>
      <c r="R1638" s="3" t="s">
        <v>31</v>
      </c>
      <c r="S1638" s="5" t="s">
        <v>40</v>
      </c>
      <c r="T1638" s="4" t="str">
        <f>IF(OR(Tabela1[[#This Row],[Grau de Risco]]="Médio",Tabela1[[#This Row],[Grau de Risco]]="Baixo"),"Não","Sim")</f>
        <v>Não</v>
      </c>
    </row>
    <row r="1639" spans="1:20" hidden="1">
      <c r="A1639" s="4" t="s">
        <v>7</v>
      </c>
      <c r="B1639" s="10" t="s">
        <v>1805</v>
      </c>
      <c r="C1639" s="4"/>
      <c r="D1639" s="38" t="s">
        <v>1320</v>
      </c>
      <c r="E1639" s="3">
        <v>30</v>
      </c>
      <c r="F1639" s="3">
        <v>9</v>
      </c>
      <c r="G1639" s="3">
        <v>2024</v>
      </c>
      <c r="H1639" s="36" t="s">
        <v>82</v>
      </c>
      <c r="I1639" s="7" t="s">
        <v>862</v>
      </c>
      <c r="J1639" s="4" t="s">
        <v>61</v>
      </c>
      <c r="K1639" s="3"/>
      <c r="L1639" s="3"/>
      <c r="M1639" s="4"/>
      <c r="N1639" s="4"/>
      <c r="O1639" s="4" t="s">
        <v>4</v>
      </c>
      <c r="P1639" s="3"/>
      <c r="Q1639" s="11">
        <v>16</v>
      </c>
      <c r="R1639" s="3" t="s">
        <v>52</v>
      </c>
      <c r="S1639" s="10" t="s">
        <v>4</v>
      </c>
      <c r="T1639" s="4" t="str">
        <f>IF(OR(Tabela1[[#This Row],[Grau de Risco]]="Médio",Tabela1[[#This Row],[Grau de Risco]]="Baixo"),"Não","Sim")</f>
        <v>Não</v>
      </c>
    </row>
    <row r="1640" spans="1:20" hidden="1">
      <c r="A1640" s="47" t="s">
        <v>6</v>
      </c>
      <c r="B1640" s="10" t="s">
        <v>1805</v>
      </c>
      <c r="C1640" s="4"/>
      <c r="D1640" s="38" t="s">
        <v>1393</v>
      </c>
      <c r="E1640" s="3">
        <v>13</v>
      </c>
      <c r="F1640" s="3">
        <v>8</v>
      </c>
      <c r="G1640" s="3">
        <v>2024</v>
      </c>
      <c r="H1640" s="36" t="s">
        <v>112</v>
      </c>
      <c r="I1640" s="7" t="s">
        <v>1808</v>
      </c>
      <c r="J1640" s="4" t="s">
        <v>61</v>
      </c>
      <c r="K1640" s="3" t="s">
        <v>62</v>
      </c>
      <c r="L1640" s="3"/>
      <c r="M1640" s="4"/>
      <c r="N1640" s="4"/>
      <c r="O1640" s="4" t="s">
        <v>4</v>
      </c>
      <c r="P1640" s="3"/>
      <c r="Q1640" s="11">
        <v>15</v>
      </c>
      <c r="R1640" s="3" t="s">
        <v>52</v>
      </c>
      <c r="S1640" s="10" t="s">
        <v>178</v>
      </c>
      <c r="T1640" s="4" t="str">
        <f>IF(OR(Tabela1[[#This Row],[Grau de Risco]]="Médio",Tabela1[[#This Row],[Grau de Risco]]="Baixo"),"Não","Sim")</f>
        <v>Não</v>
      </c>
    </row>
    <row r="1641" spans="1:20" hidden="1">
      <c r="A1641" s="4" t="s">
        <v>9</v>
      </c>
      <c r="B1641" s="10" t="s">
        <v>1800</v>
      </c>
      <c r="C1641" s="4"/>
      <c r="D1641" s="38" t="s">
        <v>1320</v>
      </c>
      <c r="E1641" s="3">
        <v>26</v>
      </c>
      <c r="F1641" s="3">
        <v>8</v>
      </c>
      <c r="G1641" s="3">
        <v>2024</v>
      </c>
      <c r="H1641" s="36" t="s">
        <v>107</v>
      </c>
      <c r="I1641" s="7" t="s">
        <v>903</v>
      </c>
      <c r="J1641" s="4" t="s">
        <v>79</v>
      </c>
      <c r="K1641" s="3">
        <v>4</v>
      </c>
      <c r="L1641" s="3">
        <v>0</v>
      </c>
      <c r="M1641" s="4" t="s">
        <v>30</v>
      </c>
      <c r="N1641" s="4"/>
      <c r="O1641" s="4" t="s">
        <v>904</v>
      </c>
      <c r="P1641" s="3" t="s">
        <v>31</v>
      </c>
      <c r="Q1641" s="11">
        <v>13</v>
      </c>
      <c r="R1641" s="3" t="s">
        <v>31</v>
      </c>
      <c r="S1641" s="10" t="s">
        <v>63</v>
      </c>
      <c r="T1641" s="4" t="str">
        <f>IF(OR(Tabela1[[#This Row],[Grau de Risco]]="Médio",Tabela1[[#This Row],[Grau de Risco]]="Baixo"),"Não","Sim")</f>
        <v>Não</v>
      </c>
    </row>
    <row r="1642" spans="1:20" hidden="1">
      <c r="A1642" s="4" t="s">
        <v>7</v>
      </c>
      <c r="B1642" s="10" t="s">
        <v>1805</v>
      </c>
      <c r="C1642" s="4"/>
      <c r="D1642" s="58" t="s">
        <v>1409</v>
      </c>
      <c r="E1642" s="3">
        <v>11</v>
      </c>
      <c r="F1642" s="3">
        <v>7</v>
      </c>
      <c r="G1642" s="3">
        <v>2024</v>
      </c>
      <c r="H1642" s="5" t="s">
        <v>209</v>
      </c>
      <c r="I1642" s="7" t="s">
        <v>1763</v>
      </c>
      <c r="J1642" s="4" t="s">
        <v>79</v>
      </c>
      <c r="K1642" s="3" t="s">
        <v>44</v>
      </c>
      <c r="L1642" s="3" t="s">
        <v>44</v>
      </c>
      <c r="M1642" s="4"/>
      <c r="N1642" s="4" t="s">
        <v>44</v>
      </c>
      <c r="O1642" s="4"/>
      <c r="P1642" s="3"/>
      <c r="Q1642" s="11">
        <v>14</v>
      </c>
      <c r="R1642" s="3" t="s">
        <v>52</v>
      </c>
      <c r="S1642" s="10" t="s">
        <v>63</v>
      </c>
      <c r="T1642" s="4" t="str">
        <f>IF(OR(Tabela1[[#This Row],[Grau de Risco]]="Médio",Tabela1[[#This Row],[Grau de Risco]]="Baixo"),"Não","Sim")</f>
        <v>Não</v>
      </c>
    </row>
    <row r="1643" spans="1:20">
      <c r="A1643" s="4" t="s">
        <v>7</v>
      </c>
      <c r="B1643" s="10" t="s">
        <v>1809</v>
      </c>
      <c r="C1643" s="4"/>
      <c r="D1643" s="58" t="s">
        <v>1409</v>
      </c>
      <c r="E1643" s="3">
        <v>27</v>
      </c>
      <c r="F1643" s="3">
        <v>6</v>
      </c>
      <c r="G1643" s="3">
        <v>2024</v>
      </c>
      <c r="H1643" s="5" t="s">
        <v>332</v>
      </c>
      <c r="I1643" s="7" t="s">
        <v>918</v>
      </c>
      <c r="J1643" s="4" t="s">
        <v>290</v>
      </c>
      <c r="K1643" s="3" t="s">
        <v>44</v>
      </c>
      <c r="L1643" s="3" t="s">
        <v>44</v>
      </c>
      <c r="M1643" s="4" t="s">
        <v>30</v>
      </c>
      <c r="N1643" s="4"/>
      <c r="O1643" s="4" t="s">
        <v>396</v>
      </c>
      <c r="P1643" s="3" t="s">
        <v>102</v>
      </c>
      <c r="Q1643" s="11">
        <v>4</v>
      </c>
      <c r="R1643" s="3" t="s">
        <v>102</v>
      </c>
      <c r="S1643" s="5" t="s">
        <v>40</v>
      </c>
      <c r="T1643" s="4" t="str">
        <f>IF(OR(Tabela1[[#This Row],[Grau de Risco]]="Médio",Tabela1[[#This Row],[Grau de Risco]]="Baixo"),"Não","Sim")</f>
        <v>Sim</v>
      </c>
    </row>
    <row r="1644" spans="1:20">
      <c r="A1644" s="4" t="s">
        <v>7</v>
      </c>
      <c r="B1644" s="10" t="s">
        <v>1809</v>
      </c>
      <c r="C1644" s="4"/>
      <c r="D1644" s="38" t="s">
        <v>1320</v>
      </c>
      <c r="E1644" s="3">
        <v>28</v>
      </c>
      <c r="F1644" s="3">
        <v>10</v>
      </c>
      <c r="G1644" s="3">
        <v>2024</v>
      </c>
      <c r="H1644" s="36" t="s">
        <v>82</v>
      </c>
      <c r="I1644" s="7" t="s">
        <v>919</v>
      </c>
      <c r="J1644" s="4" t="s">
        <v>290</v>
      </c>
      <c r="K1644" s="3" t="s">
        <v>44</v>
      </c>
      <c r="L1644" s="3" t="s">
        <v>44</v>
      </c>
      <c r="M1644" s="4" t="s">
        <v>30</v>
      </c>
      <c r="N1644" s="4"/>
      <c r="O1644" s="4" t="s">
        <v>248</v>
      </c>
      <c r="P1644" s="3" t="s">
        <v>52</v>
      </c>
      <c r="Q1644" s="11">
        <v>4</v>
      </c>
      <c r="R1644" s="3" t="s">
        <v>102</v>
      </c>
      <c r="S1644" s="5" t="s">
        <v>40</v>
      </c>
      <c r="T1644" s="4" t="str">
        <f>IF(OR(Tabela1[[#This Row],[Grau de Risco]]="Médio",Tabela1[[#This Row],[Grau de Risco]]="Baixo"),"Não","Sim")</f>
        <v>Sim</v>
      </c>
    </row>
    <row r="1645" spans="1:20">
      <c r="A1645" s="4" t="s">
        <v>7</v>
      </c>
      <c r="B1645" s="10" t="s">
        <v>1809</v>
      </c>
      <c r="C1645" s="4" t="s">
        <v>81</v>
      </c>
      <c r="D1645" s="5" t="s">
        <v>148</v>
      </c>
      <c r="E1645" s="3">
        <v>15</v>
      </c>
      <c r="F1645" s="3">
        <v>9</v>
      </c>
      <c r="G1645" s="3">
        <v>2024</v>
      </c>
      <c r="H1645" s="5" t="s">
        <v>48</v>
      </c>
      <c r="I1645" s="7" t="s">
        <v>931</v>
      </c>
      <c r="J1645" s="4" t="s">
        <v>111</v>
      </c>
      <c r="K1645" s="3"/>
      <c r="L1645" s="3"/>
      <c r="M1645" s="4"/>
      <c r="N1645" s="4"/>
      <c r="O1645" s="4" t="s">
        <v>77</v>
      </c>
      <c r="P1645" s="3"/>
      <c r="Q1645" s="11">
        <v>13</v>
      </c>
      <c r="R1645" s="3" t="s">
        <v>31</v>
      </c>
      <c r="S1645" s="10" t="s">
        <v>63</v>
      </c>
      <c r="T1645" s="4" t="str">
        <f>IF(OR(Tabela1[[#This Row],[Grau de Risco]]="Médio",Tabela1[[#This Row],[Grau de Risco]]="Baixo"),"Não","Sim")</f>
        <v>Não</v>
      </c>
    </row>
    <row r="1646" spans="1:20" hidden="1">
      <c r="A1646" s="4" t="s">
        <v>7</v>
      </c>
      <c r="B1646" s="10" t="s">
        <v>1797</v>
      </c>
      <c r="C1646" s="4"/>
      <c r="D1646" s="58" t="s">
        <v>1409</v>
      </c>
      <c r="E1646" s="3">
        <v>24</v>
      </c>
      <c r="F1646" s="3">
        <v>10</v>
      </c>
      <c r="G1646" s="3">
        <v>2024</v>
      </c>
      <c r="I1646" s="7" t="s">
        <v>942</v>
      </c>
      <c r="J1646" s="4" t="s">
        <v>135</v>
      </c>
      <c r="K1646" s="3"/>
      <c r="L1646" s="3"/>
      <c r="M1646" s="4"/>
      <c r="N1646" s="4"/>
      <c r="O1646" s="4" t="s">
        <v>77</v>
      </c>
      <c r="P1646" s="3"/>
      <c r="Q1646" s="11">
        <v>13</v>
      </c>
      <c r="R1646" s="3" t="s">
        <v>31</v>
      </c>
      <c r="S1646" s="10" t="s">
        <v>63</v>
      </c>
      <c r="T1646" s="4" t="str">
        <f>IF(OR(Tabela1[[#This Row],[Grau de Risco]]="Médio",Tabela1[[#This Row],[Grau de Risco]]="Baixo"),"Não","Sim")</f>
        <v>Não</v>
      </c>
    </row>
    <row r="1647" spans="1:20">
      <c r="A1647" s="47" t="s">
        <v>6</v>
      </c>
      <c r="B1647" s="10" t="s">
        <v>1809</v>
      </c>
      <c r="C1647" s="4" t="s">
        <v>44</v>
      </c>
      <c r="D1647" s="58" t="s">
        <v>1409</v>
      </c>
      <c r="E1647" s="31">
        <v>4</v>
      </c>
      <c r="F1647" s="31">
        <v>7</v>
      </c>
      <c r="G1647" s="31">
        <v>2024</v>
      </c>
      <c r="H1647" s="5" t="s">
        <v>71</v>
      </c>
      <c r="I1647" s="47" t="s">
        <v>943</v>
      </c>
      <c r="J1647" s="47" t="s">
        <v>169</v>
      </c>
      <c r="K1647" s="41" t="s">
        <v>44</v>
      </c>
      <c r="L1647" s="41" t="s">
        <v>30</v>
      </c>
      <c r="M1647" s="41" t="s">
        <v>30</v>
      </c>
      <c r="N1647" s="41" t="s">
        <v>44</v>
      </c>
      <c r="O1647" s="47"/>
      <c r="P1647" s="47"/>
      <c r="Q1647" s="47">
        <v>4</v>
      </c>
      <c r="R1647" s="3" t="s">
        <v>102</v>
      </c>
      <c r="S1647" s="5" t="s">
        <v>40</v>
      </c>
      <c r="T1647" s="4" t="str">
        <f>IF(OR(Tabela1[[#This Row],[Grau de Risco]]="Médio",Tabela1[[#This Row],[Grau de Risco]]="Baixo"),"Não","Sim")</f>
        <v>Sim</v>
      </c>
    </row>
    <row r="1648" spans="1:20" hidden="1">
      <c r="A1648" s="5" t="s">
        <v>7</v>
      </c>
      <c r="B1648" s="33" t="s">
        <v>1800</v>
      </c>
      <c r="C1648" s="4" t="s">
        <v>44</v>
      </c>
      <c r="D1648" s="58" t="s">
        <v>1409</v>
      </c>
      <c r="E1648" s="44">
        <v>7</v>
      </c>
      <c r="F1648" s="32">
        <v>11</v>
      </c>
      <c r="G1648" s="32">
        <v>2024</v>
      </c>
      <c r="H1648" s="4" t="s">
        <v>27</v>
      </c>
      <c r="I1648" s="29" t="s">
        <v>975</v>
      </c>
      <c r="J1648" s="28" t="s">
        <v>61</v>
      </c>
      <c r="K1648" s="32" t="s">
        <v>80</v>
      </c>
      <c r="L1648" s="32" t="s">
        <v>80</v>
      </c>
      <c r="M1648" s="28" t="s">
        <v>30</v>
      </c>
      <c r="N1648" s="28" t="s">
        <v>80</v>
      </c>
      <c r="O1648" s="28" t="s">
        <v>4</v>
      </c>
      <c r="P1648" s="32" t="s">
        <v>52</v>
      </c>
      <c r="Q1648" s="35">
        <v>16</v>
      </c>
      <c r="R1648" s="3" t="s">
        <v>52</v>
      </c>
      <c r="S1648" s="10" t="s">
        <v>32</v>
      </c>
      <c r="T1648" s="4" t="str">
        <f>IF(OR(Tabela1[[#This Row],[Grau de Risco]]="Médio",Tabela1[[#This Row],[Grau de Risco]]="Baixo"),"Não","Sim")</f>
        <v>Não</v>
      </c>
    </row>
    <row r="1649" spans="1:20">
      <c r="A1649" s="5" t="s">
        <v>7</v>
      </c>
      <c r="B1649" s="10" t="s">
        <v>1809</v>
      </c>
      <c r="C1649" s="4" t="s">
        <v>44</v>
      </c>
      <c r="D1649" s="58" t="s">
        <v>1409</v>
      </c>
      <c r="E1649" s="32">
        <v>27</v>
      </c>
      <c r="F1649" s="32">
        <v>6</v>
      </c>
      <c r="G1649" s="32">
        <v>2024</v>
      </c>
      <c r="H1649" s="36" t="s">
        <v>33</v>
      </c>
      <c r="I1649" s="29" t="s">
        <v>979</v>
      </c>
      <c r="J1649" s="28" t="s">
        <v>54</v>
      </c>
      <c r="K1649" s="3" t="s">
        <v>44</v>
      </c>
      <c r="L1649" s="32" t="s">
        <v>30</v>
      </c>
      <c r="M1649" s="28" t="s">
        <v>30</v>
      </c>
      <c r="N1649" s="28" t="s">
        <v>44</v>
      </c>
      <c r="O1649" s="28"/>
      <c r="P1649" s="32"/>
      <c r="Q1649" s="35">
        <v>4</v>
      </c>
      <c r="R1649" s="3" t="s">
        <v>102</v>
      </c>
      <c r="S1649" s="33" t="s">
        <v>178</v>
      </c>
      <c r="T1649" s="4" t="str">
        <f>IF(OR(Tabela1[[#This Row],[Grau de Risco]]="Médio",Tabela1[[#This Row],[Grau de Risco]]="Baixo"),"Não","Sim")</f>
        <v>Sim</v>
      </c>
    </row>
    <row r="1650" spans="1:20" hidden="1">
      <c r="A1650" s="5" t="s">
        <v>7</v>
      </c>
      <c r="B1650" s="10" t="s">
        <v>1800</v>
      </c>
      <c r="C1650" s="4" t="s">
        <v>44</v>
      </c>
      <c r="D1650" s="5" t="s">
        <v>148</v>
      </c>
      <c r="E1650" s="3">
        <v>3</v>
      </c>
      <c r="F1650" s="3">
        <v>3</v>
      </c>
      <c r="G1650" s="3">
        <v>2024</v>
      </c>
      <c r="H1650" s="5" t="s">
        <v>442</v>
      </c>
      <c r="I1650" s="7" t="s">
        <v>992</v>
      </c>
      <c r="J1650" s="4" t="s">
        <v>54</v>
      </c>
      <c r="K1650" s="3" t="s">
        <v>44</v>
      </c>
      <c r="L1650" s="3" t="s">
        <v>30</v>
      </c>
      <c r="M1650" s="4" t="s">
        <v>30</v>
      </c>
      <c r="N1650" s="4" t="s">
        <v>44</v>
      </c>
      <c r="O1650" s="4" t="s">
        <v>44</v>
      </c>
      <c r="P1650" s="3"/>
      <c r="Q1650" s="11">
        <v>13</v>
      </c>
      <c r="R1650" s="3" t="s">
        <v>31</v>
      </c>
      <c r="S1650" s="10" t="s">
        <v>32</v>
      </c>
      <c r="T1650" s="4" t="str">
        <f>IF(OR(Tabela1[[#This Row],[Grau de Risco]]="Médio",Tabela1[[#This Row],[Grau de Risco]]="Baixo"),"Não","Sim")</f>
        <v>Não</v>
      </c>
    </row>
    <row r="1651" spans="1:20" hidden="1">
      <c r="A1651" s="4" t="s">
        <v>8</v>
      </c>
      <c r="B1651" s="10" t="s">
        <v>1800</v>
      </c>
      <c r="C1651" s="4" t="s">
        <v>41</v>
      </c>
      <c r="D1651" s="38" t="s">
        <v>1320</v>
      </c>
      <c r="E1651" s="3">
        <v>15</v>
      </c>
      <c r="F1651" s="3">
        <v>1</v>
      </c>
      <c r="G1651" s="3">
        <v>2024</v>
      </c>
      <c r="H1651" s="4" t="s">
        <v>27</v>
      </c>
      <c r="I1651" s="7" t="s">
        <v>1006</v>
      </c>
      <c r="J1651" s="4" t="s">
        <v>54</v>
      </c>
      <c r="K1651" s="3">
        <v>0</v>
      </c>
      <c r="L1651" s="3" t="s">
        <v>80</v>
      </c>
      <c r="M1651" s="4" t="s">
        <v>30</v>
      </c>
      <c r="N1651" s="4" t="s">
        <v>80</v>
      </c>
      <c r="O1651" s="4" t="s">
        <v>4</v>
      </c>
      <c r="P1651" s="3" t="s">
        <v>52</v>
      </c>
      <c r="Q1651" s="11">
        <v>16</v>
      </c>
      <c r="R1651" s="3" t="s">
        <v>52</v>
      </c>
      <c r="S1651" s="5" t="s">
        <v>56</v>
      </c>
      <c r="T1651" s="4" t="str">
        <f>IF(OR(Tabela1[[#This Row],[Grau de Risco]]="Médio",Tabela1[[#This Row],[Grau de Risco]]="Baixo"),"Não","Sim")</f>
        <v>Não</v>
      </c>
    </row>
    <row r="1652" spans="1:20" hidden="1">
      <c r="A1652" s="5" t="s">
        <v>7</v>
      </c>
      <c r="B1652" s="33" t="s">
        <v>1800</v>
      </c>
      <c r="C1652" s="39" t="s">
        <v>41</v>
      </c>
      <c r="D1652" s="5" t="s">
        <v>36</v>
      </c>
      <c r="E1652" s="44">
        <v>23</v>
      </c>
      <c r="F1652" s="32">
        <v>11</v>
      </c>
      <c r="G1652" s="32">
        <v>2024</v>
      </c>
      <c r="H1652" s="36" t="s">
        <v>82</v>
      </c>
      <c r="I1652" s="29" t="s">
        <v>1010</v>
      </c>
      <c r="J1652" s="28" t="s">
        <v>54</v>
      </c>
      <c r="K1652" s="32" t="s">
        <v>80</v>
      </c>
      <c r="L1652" s="32" t="s">
        <v>80</v>
      </c>
      <c r="M1652" s="28" t="s">
        <v>30</v>
      </c>
      <c r="N1652" s="28" t="s">
        <v>80</v>
      </c>
      <c r="O1652" s="28"/>
      <c r="P1652" s="32"/>
      <c r="Q1652" s="35">
        <v>10</v>
      </c>
      <c r="R1652" s="3" t="str">
        <f>IF(Q1652="","",IF(Q1652&lt;4,"Alto",IF(Q1652&lt;9,"Alto",IF(Q1652&lt;14,"Médio","Baixo"))))</f>
        <v>Médio</v>
      </c>
      <c r="S1652" s="33" t="s">
        <v>4</v>
      </c>
      <c r="T1652" s="4" t="str">
        <f>IF(OR(Tabela1[[#This Row],[Grau de Risco]]="Médio",Tabela1[[#This Row],[Grau de Risco]]="Baixo"),"Não","Sim")</f>
        <v>Não</v>
      </c>
    </row>
    <row r="1653" spans="1:20" hidden="1">
      <c r="A1653" s="5" t="s">
        <v>7</v>
      </c>
      <c r="B1653" s="10" t="s">
        <v>1800</v>
      </c>
      <c r="C1653" s="4" t="s">
        <v>44</v>
      </c>
      <c r="D1653" s="5" t="s">
        <v>148</v>
      </c>
      <c r="E1653" s="3">
        <v>13</v>
      </c>
      <c r="F1653" s="3">
        <v>10</v>
      </c>
      <c r="G1653" s="3">
        <v>2024</v>
      </c>
      <c r="H1653" s="36" t="s">
        <v>33</v>
      </c>
      <c r="I1653" s="7" t="s">
        <v>1764</v>
      </c>
      <c r="J1653" s="4" t="s">
        <v>54</v>
      </c>
      <c r="K1653" s="3" t="s">
        <v>80</v>
      </c>
      <c r="L1653" s="3" t="s">
        <v>80</v>
      </c>
      <c r="M1653" s="4" t="s">
        <v>30</v>
      </c>
      <c r="N1653" s="4" t="s">
        <v>80</v>
      </c>
      <c r="O1653" s="4"/>
      <c r="P1653" s="3"/>
      <c r="Q1653" s="11">
        <v>11</v>
      </c>
      <c r="R1653" s="3" t="s">
        <v>31</v>
      </c>
      <c r="S1653" s="5" t="s">
        <v>40</v>
      </c>
      <c r="T1653" s="4" t="str">
        <f>IF(OR(Tabela1[[#This Row],[Grau de Risco]]="Médio",Tabela1[[#This Row],[Grau de Risco]]="Baixo"),"Não","Sim")</f>
        <v>Não</v>
      </c>
    </row>
    <row r="1654" spans="1:20" hidden="1">
      <c r="A1654" s="4" t="s">
        <v>8</v>
      </c>
      <c r="B1654" s="10" t="s">
        <v>1797</v>
      </c>
      <c r="C1654" s="4" t="s">
        <v>81</v>
      </c>
      <c r="D1654" s="38" t="s">
        <v>1393</v>
      </c>
      <c r="E1654" s="3">
        <v>25</v>
      </c>
      <c r="F1654" s="3">
        <v>6</v>
      </c>
      <c r="G1654" s="3">
        <v>2024</v>
      </c>
      <c r="H1654" s="36" t="s">
        <v>66</v>
      </c>
      <c r="I1654" s="7" t="s">
        <v>1765</v>
      </c>
      <c r="J1654" s="4" t="s">
        <v>69</v>
      </c>
      <c r="K1654" s="3" t="s">
        <v>44</v>
      </c>
      <c r="L1654" s="3" t="s">
        <v>44</v>
      </c>
      <c r="M1654" s="4" t="s">
        <v>30</v>
      </c>
      <c r="N1654" s="4" t="s">
        <v>44</v>
      </c>
      <c r="O1654" s="4"/>
      <c r="P1654" s="3" t="s">
        <v>52</v>
      </c>
      <c r="Q1654" s="11">
        <v>14</v>
      </c>
      <c r="R1654" s="3" t="s">
        <v>52</v>
      </c>
      <c r="S1654" s="10" t="s">
        <v>32</v>
      </c>
      <c r="T1654" s="4" t="str">
        <f>IF(OR(Tabela1[[#This Row],[Grau de Risco]]="Médio",Tabela1[[#This Row],[Grau de Risco]]="Baixo"),"Não","Sim")</f>
        <v>Não</v>
      </c>
    </row>
    <row r="1655" spans="1:20" hidden="1">
      <c r="A1655" s="4" t="s">
        <v>7</v>
      </c>
      <c r="B1655" s="10" t="s">
        <v>1803</v>
      </c>
      <c r="C1655" s="4"/>
      <c r="D1655" s="38" t="s">
        <v>1393</v>
      </c>
      <c r="E1655" s="3">
        <v>5</v>
      </c>
      <c r="F1655" s="3">
        <v>11</v>
      </c>
      <c r="G1655" s="3">
        <v>2024</v>
      </c>
      <c r="H1655" s="36" t="s">
        <v>33</v>
      </c>
      <c r="I1655" s="7" t="s">
        <v>1039</v>
      </c>
      <c r="J1655" s="4" t="s">
        <v>69</v>
      </c>
      <c r="K1655" s="3" t="s">
        <v>44</v>
      </c>
      <c r="L1655" s="3" t="s">
        <v>44</v>
      </c>
      <c r="M1655" s="4"/>
      <c r="N1655" s="4" t="s">
        <v>44</v>
      </c>
      <c r="O1655" s="4"/>
      <c r="P1655" s="3"/>
      <c r="Q1655" s="11">
        <v>16</v>
      </c>
      <c r="R1655" s="3" t="s">
        <v>52</v>
      </c>
      <c r="S1655" s="10" t="s">
        <v>144</v>
      </c>
      <c r="T1655" s="4" t="str">
        <f>IF(OR(Tabela1[[#This Row],[Grau de Risco]]="Médio",Tabela1[[#This Row],[Grau de Risco]]="Baixo"),"Não","Sim")</f>
        <v>Não</v>
      </c>
    </row>
    <row r="1656" spans="1:20">
      <c r="A1656" s="4" t="s">
        <v>7</v>
      </c>
      <c r="B1656" s="10" t="s">
        <v>1809</v>
      </c>
      <c r="C1656" s="4" t="s">
        <v>26</v>
      </c>
      <c r="D1656" s="38" t="s">
        <v>1393</v>
      </c>
      <c r="E1656" s="3">
        <v>7</v>
      </c>
      <c r="F1656" s="3">
        <v>5</v>
      </c>
      <c r="G1656" s="3">
        <v>2024</v>
      </c>
      <c r="H1656" s="5" t="s">
        <v>71</v>
      </c>
      <c r="I1656" s="7" t="s">
        <v>1766</v>
      </c>
      <c r="J1656" s="4" t="s">
        <v>115</v>
      </c>
      <c r="K1656" s="3" t="s">
        <v>62</v>
      </c>
      <c r="L1656" s="3"/>
      <c r="M1656" s="4"/>
      <c r="N1656" s="4"/>
      <c r="O1656" s="4"/>
      <c r="P1656" s="3"/>
      <c r="Q1656" s="11">
        <v>11</v>
      </c>
      <c r="R1656" s="3" t="s">
        <v>31</v>
      </c>
      <c r="S1656" s="10" t="s">
        <v>63</v>
      </c>
      <c r="T1656" s="4" t="str">
        <f>IF(OR(Tabela1[[#This Row],[Grau de Risco]]="Médio",Tabela1[[#This Row],[Grau de Risco]]="Baixo"),"Não","Sim")</f>
        <v>Não</v>
      </c>
    </row>
    <row r="1657" spans="1:20" hidden="1">
      <c r="A1657" s="4" t="s">
        <v>7</v>
      </c>
      <c r="B1657" s="10" t="s">
        <v>1800</v>
      </c>
      <c r="C1657" s="4"/>
      <c r="D1657" s="38" t="s">
        <v>1393</v>
      </c>
      <c r="E1657" s="3">
        <v>9</v>
      </c>
      <c r="F1657" s="3">
        <v>4</v>
      </c>
      <c r="G1657" s="3">
        <v>2024</v>
      </c>
      <c r="H1657" s="4" t="s">
        <v>27</v>
      </c>
      <c r="I1657" s="7" t="s">
        <v>1071</v>
      </c>
      <c r="J1657" s="4" t="s">
        <v>61</v>
      </c>
      <c r="K1657" s="3" t="s">
        <v>62</v>
      </c>
      <c r="L1657" s="3"/>
      <c r="M1657" s="4"/>
      <c r="N1657" s="4"/>
      <c r="O1657" s="4" t="s">
        <v>4</v>
      </c>
      <c r="P1657" s="3"/>
      <c r="Q1657" s="11">
        <v>4</v>
      </c>
      <c r="R1657" s="3" t="s">
        <v>102</v>
      </c>
      <c r="S1657" s="10" t="s">
        <v>63</v>
      </c>
      <c r="T1657" s="4" t="str">
        <f>IF(OR(Tabela1[[#This Row],[Grau de Risco]]="Médio",Tabela1[[#This Row],[Grau de Risco]]="Baixo"),"Não","Sim")</f>
        <v>Sim</v>
      </c>
    </row>
    <row r="1658" spans="1:20" hidden="1">
      <c r="A1658" s="4" t="s">
        <v>7</v>
      </c>
      <c r="B1658" s="10" t="s">
        <v>1805</v>
      </c>
      <c r="C1658" s="4"/>
      <c r="D1658" s="5" t="s">
        <v>36</v>
      </c>
      <c r="E1658" s="3">
        <v>22</v>
      </c>
      <c r="F1658" s="3">
        <v>6</v>
      </c>
      <c r="G1658" s="3">
        <v>2024</v>
      </c>
      <c r="H1658" s="5" t="s">
        <v>71</v>
      </c>
      <c r="I1658" s="7" t="s">
        <v>1086</v>
      </c>
      <c r="J1658" s="4" t="s">
        <v>93</v>
      </c>
      <c r="K1658" s="3" t="s">
        <v>44</v>
      </c>
      <c r="L1658" s="3" t="s">
        <v>44</v>
      </c>
      <c r="M1658" s="4" t="s">
        <v>30</v>
      </c>
      <c r="N1658" s="3" t="s">
        <v>44</v>
      </c>
      <c r="O1658" s="4" t="s">
        <v>45</v>
      </c>
      <c r="P1658" s="3" t="s">
        <v>52</v>
      </c>
      <c r="Q1658" s="11">
        <v>11</v>
      </c>
      <c r="R1658" s="3" t="s">
        <v>31</v>
      </c>
      <c r="S1658" s="10" t="s">
        <v>178</v>
      </c>
      <c r="T1658" s="4" t="str">
        <f>IF(OR(Tabela1[[#This Row],[Grau de Risco]]="Médio",Tabela1[[#This Row],[Grau de Risco]]="Baixo"),"Não","Sim")</f>
        <v>Não</v>
      </c>
    </row>
    <row r="1659" spans="1:20" ht="100.8" hidden="1">
      <c r="A1659" s="47" t="s">
        <v>6</v>
      </c>
      <c r="B1659" s="10" t="s">
        <v>1804</v>
      </c>
      <c r="C1659" s="4"/>
      <c r="D1659" s="58" t="s">
        <v>1409</v>
      </c>
      <c r="E1659" s="3">
        <v>7</v>
      </c>
      <c r="F1659" s="3">
        <v>8</v>
      </c>
      <c r="G1659" s="3">
        <v>2024</v>
      </c>
      <c r="H1659" s="5" t="s">
        <v>123</v>
      </c>
      <c r="I1659" s="108" t="s">
        <v>1767</v>
      </c>
      <c r="J1659" s="4" t="s">
        <v>93</v>
      </c>
      <c r="K1659" s="3">
        <v>0</v>
      </c>
      <c r="L1659" s="3"/>
      <c r="M1659" s="4"/>
      <c r="N1659" s="4"/>
      <c r="O1659" s="4"/>
      <c r="P1659" s="3" t="s">
        <v>52</v>
      </c>
      <c r="Q1659" s="11">
        <v>11</v>
      </c>
      <c r="R1659" s="3" t="s">
        <v>31</v>
      </c>
      <c r="S1659" s="10" t="s">
        <v>4</v>
      </c>
      <c r="T1659" s="4" t="str">
        <f>IF(OR(Tabela1[[#This Row],[Grau de Risco]]="Médio",Tabela1[[#This Row],[Grau de Risco]]="Baixo"),"Não","Sim")</f>
        <v>Não</v>
      </c>
    </row>
    <row r="1660" spans="1:20" hidden="1">
      <c r="A1660" s="5" t="s">
        <v>7</v>
      </c>
      <c r="B1660" s="33" t="s">
        <v>1800</v>
      </c>
      <c r="C1660" s="4" t="s">
        <v>44</v>
      </c>
      <c r="D1660" s="58" t="s">
        <v>1409</v>
      </c>
      <c r="E1660" s="44">
        <v>14</v>
      </c>
      <c r="F1660" s="32">
        <v>11</v>
      </c>
      <c r="G1660" s="32">
        <v>2024</v>
      </c>
      <c r="H1660" s="34" t="s">
        <v>209</v>
      </c>
      <c r="I1660" s="29" t="s">
        <v>1768</v>
      </c>
      <c r="J1660" s="28" t="s">
        <v>61</v>
      </c>
      <c r="K1660" s="32" t="s">
        <v>80</v>
      </c>
      <c r="L1660" s="32" t="s">
        <v>80</v>
      </c>
      <c r="M1660" s="28" t="s">
        <v>30</v>
      </c>
      <c r="N1660" s="28" t="s">
        <v>80</v>
      </c>
      <c r="O1660" s="28"/>
      <c r="P1660" s="32" t="s">
        <v>52</v>
      </c>
      <c r="Q1660" s="35">
        <v>10</v>
      </c>
      <c r="R1660" s="3" t="str">
        <f>IF(Q1660="","",IF(Q1660&lt;4,"Alto",IF(Q1660&lt;9,"Alto",IF(Q1660&lt;14,"Médio","Baixo"))))</f>
        <v>Médio</v>
      </c>
      <c r="S1660" s="33" t="s">
        <v>4</v>
      </c>
      <c r="T1660" s="4" t="str">
        <f>IF(OR(Tabela1[[#This Row],[Grau de Risco]]="Médio",Tabela1[[#This Row],[Grau de Risco]]="Baixo"),"Não","Sim")</f>
        <v>Não</v>
      </c>
    </row>
    <row r="1661" spans="1:20" hidden="1">
      <c r="A1661" s="28" t="s">
        <v>7</v>
      </c>
      <c r="B1661" s="56" t="s">
        <v>1797</v>
      </c>
      <c r="C1661" s="28"/>
      <c r="D1661" s="58" t="s">
        <v>1409</v>
      </c>
      <c r="E1661" s="32">
        <v>2</v>
      </c>
      <c r="F1661" s="32">
        <v>1</v>
      </c>
      <c r="G1661" s="32">
        <v>2025</v>
      </c>
      <c r="H1661" s="36" t="s">
        <v>33</v>
      </c>
      <c r="I1661" s="29" t="s">
        <v>1108</v>
      </c>
      <c r="J1661" s="28" t="s">
        <v>111</v>
      </c>
      <c r="K1661" s="32"/>
      <c r="L1661" s="32"/>
      <c r="M1661" s="28"/>
      <c r="N1661" s="28"/>
      <c r="O1661" s="28" t="s">
        <v>396</v>
      </c>
      <c r="P1661" s="32"/>
      <c r="Q1661" s="35">
        <v>13</v>
      </c>
      <c r="R1661" s="32" t="s">
        <v>31</v>
      </c>
      <c r="S1661" s="10" t="s">
        <v>4</v>
      </c>
      <c r="T1661" s="4" t="str">
        <f>IF(OR(Tabela1[[#This Row],[Grau de Risco]]="Médio",Tabela1[[#This Row],[Grau de Risco]]="Baixo"),"Não","Sim")</f>
        <v>Não</v>
      </c>
    </row>
    <row r="1662" spans="1:20" hidden="1">
      <c r="A1662" s="4" t="s">
        <v>1110</v>
      </c>
      <c r="B1662" s="10" t="s">
        <v>1805</v>
      </c>
      <c r="C1662" s="4"/>
      <c r="D1662" s="58" t="s">
        <v>1409</v>
      </c>
      <c r="E1662" s="3">
        <v>2</v>
      </c>
      <c r="F1662" s="3">
        <v>1</v>
      </c>
      <c r="G1662" s="3">
        <v>2025</v>
      </c>
      <c r="H1662" s="36" t="s">
        <v>107</v>
      </c>
      <c r="I1662" s="7" t="s">
        <v>1769</v>
      </c>
      <c r="J1662" s="4" t="s">
        <v>69</v>
      </c>
      <c r="K1662" s="3" t="s">
        <v>44</v>
      </c>
      <c r="L1662" s="3" t="s">
        <v>44</v>
      </c>
      <c r="M1662" s="4"/>
      <c r="N1662" s="4" t="s">
        <v>44</v>
      </c>
      <c r="O1662" s="4"/>
      <c r="P1662" s="3"/>
      <c r="Q1662" s="11">
        <v>14</v>
      </c>
      <c r="R1662" s="3" t="s">
        <v>52</v>
      </c>
      <c r="S1662" s="10" t="s">
        <v>32</v>
      </c>
      <c r="T1662" s="4" t="str">
        <f>IF(OR(Tabela1[[#This Row],[Grau de Risco]]="Médio",Tabela1[[#This Row],[Grau de Risco]]="Baixo"),"Não","Sim")</f>
        <v>Não</v>
      </c>
    </row>
    <row r="1663" spans="1:20" hidden="1">
      <c r="A1663" s="28" t="s">
        <v>8</v>
      </c>
      <c r="B1663" s="33" t="s">
        <v>1800</v>
      </c>
      <c r="C1663" s="28" t="s">
        <v>41</v>
      </c>
      <c r="D1663" s="58" t="s">
        <v>1409</v>
      </c>
      <c r="E1663" s="32">
        <v>9</v>
      </c>
      <c r="F1663" s="32">
        <v>1</v>
      </c>
      <c r="G1663" s="32">
        <v>2025</v>
      </c>
      <c r="H1663" s="38" t="s">
        <v>112</v>
      </c>
      <c r="I1663" s="29" t="s">
        <v>1114</v>
      </c>
      <c r="J1663" s="28" t="s">
        <v>69</v>
      </c>
      <c r="K1663" s="32" t="s">
        <v>80</v>
      </c>
      <c r="L1663" s="32" t="s">
        <v>80</v>
      </c>
      <c r="M1663" s="28" t="s">
        <v>30</v>
      </c>
      <c r="N1663" s="28" t="s">
        <v>80</v>
      </c>
      <c r="O1663" s="28" t="s">
        <v>88</v>
      </c>
      <c r="P1663" s="32" t="s">
        <v>52</v>
      </c>
      <c r="Q1663" s="35">
        <v>14</v>
      </c>
      <c r="R1663" s="32" t="s">
        <v>52</v>
      </c>
      <c r="S1663" s="33" t="s">
        <v>56</v>
      </c>
      <c r="T1663" s="4" t="str">
        <f>IF(OR(Tabela1[[#This Row],[Grau de Risco]]="Médio",Tabela1[[#This Row],[Grau de Risco]]="Baixo"),"Não","Sim")</f>
        <v>Não</v>
      </c>
    </row>
    <row r="1664" spans="1:20">
      <c r="A1664" s="4" t="s">
        <v>1110</v>
      </c>
      <c r="B1664" s="10" t="s">
        <v>1809</v>
      </c>
      <c r="C1664" s="4" t="s">
        <v>81</v>
      </c>
      <c r="D1664" s="38" t="s">
        <v>1320</v>
      </c>
      <c r="E1664" s="3">
        <v>24</v>
      </c>
      <c r="F1664" s="3">
        <v>2</v>
      </c>
      <c r="G1664" s="3">
        <v>2025</v>
      </c>
      <c r="H1664" s="36" t="s">
        <v>107</v>
      </c>
      <c r="I1664" s="7" t="s">
        <v>1176</v>
      </c>
      <c r="J1664" s="4" t="s">
        <v>35</v>
      </c>
      <c r="K1664" s="3" t="s">
        <v>44</v>
      </c>
      <c r="L1664" s="3" t="s">
        <v>44</v>
      </c>
      <c r="M1664" s="4"/>
      <c r="N1664" s="4" t="s">
        <v>44</v>
      </c>
      <c r="O1664" s="4"/>
      <c r="P1664" s="3"/>
      <c r="Q1664" s="11">
        <v>7</v>
      </c>
      <c r="R1664" s="3" t="s">
        <v>102</v>
      </c>
      <c r="S1664" s="5" t="s">
        <v>40</v>
      </c>
      <c r="T1664" s="4" t="str">
        <f>IF(OR(Tabela1[[#This Row],[Grau de Risco]]="Médio",Tabela1[[#This Row],[Grau de Risco]]="Baixo"),"Não","Sim")</f>
        <v>Sim</v>
      </c>
    </row>
    <row r="1665" spans="1:20">
      <c r="A1665" s="28" t="s">
        <v>6</v>
      </c>
      <c r="B1665" s="10" t="s">
        <v>1809</v>
      </c>
      <c r="C1665" s="4" t="s">
        <v>44</v>
      </c>
      <c r="D1665" s="58" t="s">
        <v>1409</v>
      </c>
      <c r="E1665" s="32">
        <v>6</v>
      </c>
      <c r="F1665" s="32">
        <v>3</v>
      </c>
      <c r="G1665" s="32">
        <v>2025</v>
      </c>
      <c r="H1665" s="5" t="s">
        <v>48</v>
      </c>
      <c r="I1665" s="29" t="s">
        <v>1770</v>
      </c>
      <c r="J1665" s="28" t="s">
        <v>38</v>
      </c>
      <c r="K1665" s="32" t="s">
        <v>1581</v>
      </c>
      <c r="L1665" s="32" t="s">
        <v>44</v>
      </c>
      <c r="M1665" s="28" t="s">
        <v>30</v>
      </c>
      <c r="N1665" s="28" t="s">
        <v>44</v>
      </c>
      <c r="O1665" s="4"/>
      <c r="P1665" s="32"/>
      <c r="Q1665" s="35">
        <v>6</v>
      </c>
      <c r="R1665" s="32" t="s">
        <v>102</v>
      </c>
      <c r="S1665" s="5" t="s">
        <v>40</v>
      </c>
      <c r="T1665" s="4" t="str">
        <f>IF(OR(Tabela1[[#This Row],[Grau de Risco]]="Médio",Tabela1[[#This Row],[Grau de Risco]]="Baixo"),"Não","Sim")</f>
        <v>Sim</v>
      </c>
    </row>
    <row r="1666" spans="1:20" hidden="1">
      <c r="A1666" s="4" t="s">
        <v>1110</v>
      </c>
      <c r="B1666" s="10" t="s">
        <v>1805</v>
      </c>
      <c r="C1666" s="4"/>
      <c r="D1666" s="38" t="s">
        <v>47</v>
      </c>
      <c r="E1666" s="3">
        <v>14</v>
      </c>
      <c r="F1666" s="3">
        <v>3</v>
      </c>
      <c r="G1666" s="3">
        <v>2025</v>
      </c>
      <c r="H1666" s="5" t="s">
        <v>48</v>
      </c>
      <c r="I1666" s="7" t="s">
        <v>1190</v>
      </c>
      <c r="J1666" s="4" t="s">
        <v>69</v>
      </c>
      <c r="K1666" s="3" t="s">
        <v>44</v>
      </c>
      <c r="L1666" s="3" t="s">
        <v>44</v>
      </c>
      <c r="M1666" s="4"/>
      <c r="N1666" s="4" t="s">
        <v>44</v>
      </c>
      <c r="O1666" s="4"/>
      <c r="P1666" s="3"/>
      <c r="Q1666" s="11">
        <v>11</v>
      </c>
      <c r="R1666" s="3" t="s">
        <v>31</v>
      </c>
      <c r="S1666" s="10" t="s">
        <v>63</v>
      </c>
      <c r="T1666" s="4" t="str">
        <f>IF(OR(Tabela1[[#This Row],[Grau de Risco]]="Médio",Tabela1[[#This Row],[Grau de Risco]]="Baixo"),"Não","Sim")</f>
        <v>Não</v>
      </c>
    </row>
    <row r="1667" spans="1:20">
      <c r="A1667" s="28" t="s">
        <v>7</v>
      </c>
      <c r="B1667" s="10" t="s">
        <v>1809</v>
      </c>
      <c r="C1667" s="28"/>
      <c r="D1667" s="5" t="s">
        <v>36</v>
      </c>
      <c r="E1667" s="32">
        <v>26</v>
      </c>
      <c r="F1667" s="32">
        <v>4</v>
      </c>
      <c r="G1667" s="32">
        <v>2025</v>
      </c>
      <c r="H1667" s="36" t="s">
        <v>33</v>
      </c>
      <c r="I1667" s="29" t="s">
        <v>1194</v>
      </c>
      <c r="J1667" s="28" t="s">
        <v>61</v>
      </c>
      <c r="K1667" s="32"/>
      <c r="L1667" s="32"/>
      <c r="M1667" s="28"/>
      <c r="N1667" s="28"/>
      <c r="O1667" s="28" t="s">
        <v>883</v>
      </c>
      <c r="P1667" s="32"/>
      <c r="Q1667" s="11">
        <v>14</v>
      </c>
      <c r="R1667" s="3" t="s">
        <v>52</v>
      </c>
      <c r="S1667" s="5" t="s">
        <v>56</v>
      </c>
      <c r="T1667" s="4" t="str">
        <f>IF(OR(Tabela1[[#This Row],[Grau de Risco]]="Médio",Tabela1[[#This Row],[Grau de Risco]]="Baixo"),"Não","Sim")</f>
        <v>Não</v>
      </c>
    </row>
    <row r="1668" spans="1:20" hidden="1">
      <c r="A1668" s="28" t="s">
        <v>7</v>
      </c>
      <c r="B1668" s="33" t="s">
        <v>1805</v>
      </c>
      <c r="C1668" s="28"/>
      <c r="D1668" s="38" t="s">
        <v>1382</v>
      </c>
      <c r="E1668" s="32">
        <v>23</v>
      </c>
      <c r="F1668" s="32">
        <v>4</v>
      </c>
      <c r="G1668" s="32">
        <v>2025</v>
      </c>
      <c r="H1668" s="36" t="s">
        <v>107</v>
      </c>
      <c r="I1668" s="29" t="s">
        <v>1195</v>
      </c>
      <c r="J1668" s="28" t="s">
        <v>61</v>
      </c>
      <c r="K1668" s="32"/>
      <c r="L1668" s="32"/>
      <c r="M1668" s="28"/>
      <c r="N1668" s="28"/>
      <c r="O1668" s="28" t="s">
        <v>4</v>
      </c>
      <c r="P1668" s="32"/>
      <c r="Q1668" s="11">
        <v>11</v>
      </c>
      <c r="R1668" s="3" t="s">
        <v>31</v>
      </c>
      <c r="S1668" s="5" t="s">
        <v>56</v>
      </c>
      <c r="T1668" s="4" t="str">
        <f>IF(OR(Tabela1[[#This Row],[Grau de Risco]]="Médio",Tabela1[[#This Row],[Grau de Risco]]="Baixo"),"Não","Sim")</f>
        <v>Não</v>
      </c>
    </row>
    <row r="1669" spans="1:20">
      <c r="A1669" s="47" t="s">
        <v>6</v>
      </c>
      <c r="B1669" s="10" t="s">
        <v>1809</v>
      </c>
      <c r="C1669" s="4" t="s">
        <v>44</v>
      </c>
      <c r="D1669" s="38" t="s">
        <v>1382</v>
      </c>
      <c r="E1669" s="32">
        <v>14</v>
      </c>
      <c r="F1669" s="32">
        <v>5</v>
      </c>
      <c r="G1669" s="32">
        <v>2025</v>
      </c>
      <c r="H1669" s="4" t="s">
        <v>27</v>
      </c>
      <c r="I1669" s="29" t="s">
        <v>1260</v>
      </c>
      <c r="J1669" s="28" t="s">
        <v>54</v>
      </c>
      <c r="K1669" s="32" t="s">
        <v>44</v>
      </c>
      <c r="L1669" s="32" t="s">
        <v>44</v>
      </c>
      <c r="M1669" s="28" t="s">
        <v>30</v>
      </c>
      <c r="N1669" s="28" t="s">
        <v>44</v>
      </c>
      <c r="O1669" s="28"/>
      <c r="P1669" s="32"/>
      <c r="Q1669" s="35">
        <v>6</v>
      </c>
      <c r="R1669" s="32" t="s">
        <v>102</v>
      </c>
      <c r="S1669" s="5" t="s">
        <v>56</v>
      </c>
      <c r="T1669" s="4" t="str">
        <f>IF(OR(Tabela1[[#This Row],[Grau de Risco]]="Médio",Tabela1[[#This Row],[Grau de Risco]]="Baixo"),"Não","Sim")</f>
        <v>Sim</v>
      </c>
    </row>
    <row r="1670" spans="1:20">
      <c r="A1670" s="4" t="s">
        <v>7</v>
      </c>
      <c r="B1670" s="10" t="s">
        <v>1809</v>
      </c>
      <c r="C1670" s="4"/>
      <c r="D1670" s="38" t="s">
        <v>1393</v>
      </c>
      <c r="E1670" s="3">
        <v>15</v>
      </c>
      <c r="F1670" s="3">
        <v>4</v>
      </c>
      <c r="G1670" s="3">
        <v>2025</v>
      </c>
      <c r="H1670" s="5" t="s">
        <v>71</v>
      </c>
      <c r="I1670" s="7" t="s">
        <v>1771</v>
      </c>
      <c r="J1670" s="4" t="s">
        <v>43</v>
      </c>
      <c r="K1670" s="3" t="s">
        <v>44</v>
      </c>
      <c r="L1670" s="3" t="s">
        <v>44</v>
      </c>
      <c r="M1670" s="4"/>
      <c r="N1670" s="4"/>
      <c r="O1670" s="4"/>
      <c r="P1670" s="3"/>
      <c r="Q1670" s="11">
        <v>4</v>
      </c>
      <c r="R1670" s="3" t="s">
        <v>102</v>
      </c>
      <c r="S1670" s="10" t="s">
        <v>141</v>
      </c>
      <c r="T1670" s="4" t="str">
        <f>IF(OR(Tabela1[[#This Row],[Grau de Risco]]="Médio",Tabela1[[#This Row],[Grau de Risco]]="Baixo"),"Não","Sim")</f>
        <v>Sim</v>
      </c>
    </row>
    <row r="1671" spans="1:20" hidden="1">
      <c r="A1671" s="4" t="s">
        <v>2</v>
      </c>
      <c r="B1671" s="10" t="s">
        <v>1805</v>
      </c>
      <c r="C1671" s="4" t="s">
        <v>252</v>
      </c>
      <c r="D1671" s="38" t="s">
        <v>47</v>
      </c>
      <c r="E1671" s="3">
        <v>18</v>
      </c>
      <c r="F1671" s="3">
        <v>4</v>
      </c>
      <c r="G1671" s="3">
        <v>2025</v>
      </c>
      <c r="I1671" s="7" t="s">
        <v>1231</v>
      </c>
      <c r="J1671" s="4" t="s">
        <v>93</v>
      </c>
      <c r="K1671" s="3">
        <v>12</v>
      </c>
      <c r="L1671" s="3">
        <v>300</v>
      </c>
      <c r="M1671" s="4" t="s">
        <v>30</v>
      </c>
      <c r="N1671" s="4">
        <v>0</v>
      </c>
      <c r="O1671" s="4" t="s">
        <v>159</v>
      </c>
      <c r="P1671" s="3" t="s">
        <v>31</v>
      </c>
      <c r="Q1671" s="11">
        <v>5</v>
      </c>
      <c r="R1671" s="3" t="s">
        <v>102</v>
      </c>
      <c r="S1671" s="5" t="s">
        <v>56</v>
      </c>
      <c r="T1671" s="4" t="str">
        <f>IF(OR(Tabela1[[#This Row],[Grau de Risco]]="Médio",Tabela1[[#This Row],[Grau de Risco]]="Baixo"),"Não","Sim")</f>
        <v>Sim</v>
      </c>
    </row>
    <row r="1672" spans="1:20" hidden="1">
      <c r="A1672" s="4" t="s">
        <v>7</v>
      </c>
      <c r="B1672" s="10" t="s">
        <v>1797</v>
      </c>
      <c r="C1672" s="4"/>
      <c r="D1672" s="38" t="s">
        <v>1382</v>
      </c>
      <c r="E1672" s="3">
        <v>23</v>
      </c>
      <c r="F1672" s="3">
        <v>4</v>
      </c>
      <c r="G1672" s="3">
        <v>2025</v>
      </c>
      <c r="H1672" s="4" t="s">
        <v>86</v>
      </c>
      <c r="I1672" s="7" t="s">
        <v>1772</v>
      </c>
      <c r="J1672" s="4" t="s">
        <v>290</v>
      </c>
      <c r="K1672" s="3"/>
      <c r="L1672" s="3"/>
      <c r="M1672" s="4"/>
      <c r="N1672" s="4"/>
      <c r="O1672" s="4"/>
      <c r="P1672" s="3"/>
      <c r="Q1672" s="11">
        <v>10</v>
      </c>
      <c r="R1672" s="3" t="s">
        <v>31</v>
      </c>
      <c r="S1672" s="10" t="s">
        <v>63</v>
      </c>
      <c r="T1672" s="4" t="str">
        <f>IF(OR(Tabela1[[#This Row],[Grau de Risco]]="Médio",Tabela1[[#This Row],[Grau de Risco]]="Baixo"),"Não","Sim")</f>
        <v>Não</v>
      </c>
    </row>
    <row r="1673" spans="1:20" hidden="1">
      <c r="A1673" s="4" t="s">
        <v>7</v>
      </c>
      <c r="B1673" s="10" t="s">
        <v>1797</v>
      </c>
      <c r="C1673" s="4"/>
      <c r="D1673" s="38" t="s">
        <v>47</v>
      </c>
      <c r="E1673" s="3">
        <v>25</v>
      </c>
      <c r="F1673" s="3">
        <v>4</v>
      </c>
      <c r="G1673" s="3">
        <v>2025</v>
      </c>
      <c r="H1673" s="5" t="s">
        <v>123</v>
      </c>
      <c r="I1673" s="7" t="s">
        <v>1773</v>
      </c>
      <c r="J1673" s="4" t="s">
        <v>150</v>
      </c>
      <c r="K1673" s="3"/>
      <c r="L1673" s="3"/>
      <c r="M1673" s="4"/>
      <c r="N1673" s="4"/>
      <c r="O1673" s="4"/>
      <c r="P1673" s="3"/>
      <c r="Q1673" s="11">
        <v>11</v>
      </c>
      <c r="R1673" s="3" t="s">
        <v>31</v>
      </c>
      <c r="S1673" s="10" t="s">
        <v>63</v>
      </c>
      <c r="T1673" s="4" t="str">
        <f>IF(OR(Tabela1[[#This Row],[Grau de Risco]]="Médio",Tabela1[[#This Row],[Grau de Risco]]="Baixo"),"Não","Sim")</f>
        <v>Não</v>
      </c>
    </row>
    <row r="1674" spans="1:20">
      <c r="A1674" s="4" t="s">
        <v>7</v>
      </c>
      <c r="B1674" s="10" t="s">
        <v>1809</v>
      </c>
      <c r="C1674" s="4"/>
      <c r="D1674" s="38" t="s">
        <v>1320</v>
      </c>
      <c r="E1674" s="3">
        <v>28</v>
      </c>
      <c r="F1674" s="3">
        <v>4</v>
      </c>
      <c r="G1674" s="3">
        <v>2025</v>
      </c>
      <c r="H1674" s="36" t="s">
        <v>107</v>
      </c>
      <c r="I1674" s="7" t="s">
        <v>1236</v>
      </c>
      <c r="J1674" s="4" t="s">
        <v>29</v>
      </c>
      <c r="K1674" s="3" t="s">
        <v>44</v>
      </c>
      <c r="L1674" s="3" t="s">
        <v>44</v>
      </c>
      <c r="M1674" s="4"/>
      <c r="N1674" s="4" t="s">
        <v>44</v>
      </c>
      <c r="O1674" s="4"/>
      <c r="P1674" s="3"/>
      <c r="Q1674" s="11">
        <v>4</v>
      </c>
      <c r="R1674" s="3" t="s">
        <v>102</v>
      </c>
      <c r="S1674" s="10" t="s">
        <v>32</v>
      </c>
      <c r="T1674" s="4" t="str">
        <f>IF(OR(Tabela1[[#This Row],[Grau de Risco]]="Médio",Tabela1[[#This Row],[Grau de Risco]]="Baixo"),"Não","Sim")</f>
        <v>Sim</v>
      </c>
    </row>
    <row r="1675" spans="1:20" hidden="1">
      <c r="A1675" s="4" t="s">
        <v>7</v>
      </c>
      <c r="B1675" s="10" t="s">
        <v>1797</v>
      </c>
      <c r="C1675" s="4"/>
      <c r="D1675" s="58" t="s">
        <v>1409</v>
      </c>
      <c r="E1675" s="3">
        <v>1</v>
      </c>
      <c r="F1675" s="3">
        <v>5</v>
      </c>
      <c r="G1675" s="3">
        <v>2025</v>
      </c>
      <c r="H1675" s="60" t="s">
        <v>109</v>
      </c>
      <c r="I1675" s="7" t="s">
        <v>1242</v>
      </c>
      <c r="J1675" s="4" t="s">
        <v>150</v>
      </c>
      <c r="K1675" s="3"/>
      <c r="L1675" s="3"/>
      <c r="M1675" s="4"/>
      <c r="N1675" s="4"/>
      <c r="O1675" s="4"/>
      <c r="P1675" s="3"/>
      <c r="Q1675" s="11">
        <v>11</v>
      </c>
      <c r="R1675" s="3" t="s">
        <v>31</v>
      </c>
      <c r="S1675" s="10" t="s">
        <v>63</v>
      </c>
      <c r="T1675" s="4" t="str">
        <f>IF(OR(Tabela1[[#This Row],[Grau de Risco]]="Médio",Tabela1[[#This Row],[Grau de Risco]]="Baixo"),"Não","Sim")</f>
        <v>Não</v>
      </c>
    </row>
    <row r="1676" spans="1:20">
      <c r="A1676" s="4" t="s">
        <v>7</v>
      </c>
      <c r="B1676" s="10" t="s">
        <v>1809</v>
      </c>
      <c r="C1676" s="4"/>
      <c r="D1676" s="5" t="s">
        <v>148</v>
      </c>
      <c r="E1676" s="3">
        <v>4</v>
      </c>
      <c r="F1676" s="3">
        <v>5</v>
      </c>
      <c r="G1676" s="3">
        <v>2025</v>
      </c>
      <c r="H1676" s="5" t="s">
        <v>48</v>
      </c>
      <c r="I1676" s="7" t="s">
        <v>1774</v>
      </c>
      <c r="J1676" s="4" t="s">
        <v>29</v>
      </c>
      <c r="K1676" s="3" t="s">
        <v>44</v>
      </c>
      <c r="L1676" s="3" t="s">
        <v>44</v>
      </c>
      <c r="M1676" s="4"/>
      <c r="N1676" s="4" t="s">
        <v>44</v>
      </c>
      <c r="O1676" s="4"/>
      <c r="P1676" s="3"/>
      <c r="Q1676" s="11">
        <v>8</v>
      </c>
      <c r="R1676" s="3" t="s">
        <v>102</v>
      </c>
      <c r="S1676" s="10" t="s">
        <v>32</v>
      </c>
      <c r="T1676" s="4" t="str">
        <f>IF(OR(Tabela1[[#This Row],[Grau de Risco]]="Médio",Tabela1[[#This Row],[Grau de Risco]]="Baixo"),"Não","Sim")</f>
        <v>Sim</v>
      </c>
    </row>
    <row r="1677" spans="1:20" hidden="1">
      <c r="A1677" s="4" t="s">
        <v>7</v>
      </c>
      <c r="B1677" s="10" t="s">
        <v>1805</v>
      </c>
      <c r="C1677" s="4"/>
      <c r="D1677" s="38" t="s">
        <v>47</v>
      </c>
      <c r="E1677" s="3">
        <v>9</v>
      </c>
      <c r="F1677" s="3">
        <v>5</v>
      </c>
      <c r="G1677" s="3">
        <v>2025</v>
      </c>
      <c r="H1677" s="5" t="s">
        <v>48</v>
      </c>
      <c r="I1677" s="7" t="s">
        <v>1775</v>
      </c>
      <c r="J1677" s="4" t="s">
        <v>76</v>
      </c>
      <c r="K1677" s="3" t="s">
        <v>44</v>
      </c>
      <c r="L1677" s="3" t="s">
        <v>44</v>
      </c>
      <c r="M1677" s="4"/>
      <c r="N1677" s="4" t="s">
        <v>44</v>
      </c>
      <c r="O1677" s="4"/>
      <c r="P1677" s="3"/>
      <c r="Q1677" s="11">
        <v>11</v>
      </c>
      <c r="R1677" s="3" t="s">
        <v>31</v>
      </c>
      <c r="S1677" s="10" t="s">
        <v>63</v>
      </c>
      <c r="T1677" s="4" t="str">
        <f>IF(OR(Tabela1[[#This Row],[Grau de Risco]]="Médio",Tabela1[[#This Row],[Grau de Risco]]="Baixo"),"Não","Sim")</f>
        <v>Não</v>
      </c>
    </row>
    <row r="1678" spans="1:20" hidden="1">
      <c r="A1678" s="4" t="s">
        <v>7</v>
      </c>
      <c r="B1678" s="10" t="s">
        <v>1805</v>
      </c>
      <c r="C1678" s="4"/>
      <c r="D1678" s="5" t="s">
        <v>36</v>
      </c>
      <c r="E1678" s="3">
        <v>10</v>
      </c>
      <c r="F1678" s="3">
        <v>5</v>
      </c>
      <c r="G1678" s="3">
        <v>2025</v>
      </c>
      <c r="H1678" s="4" t="s">
        <v>86</v>
      </c>
      <c r="I1678" s="7" t="s">
        <v>1776</v>
      </c>
      <c r="J1678" s="4" t="s">
        <v>93</v>
      </c>
      <c r="K1678" s="3"/>
      <c r="L1678" s="3"/>
      <c r="M1678" s="4"/>
      <c r="N1678" s="4"/>
      <c r="O1678" s="4"/>
      <c r="P1678" s="3"/>
      <c r="Q1678" s="11">
        <v>11</v>
      </c>
      <c r="R1678" s="3" t="s">
        <v>31</v>
      </c>
      <c r="S1678" s="10" t="s">
        <v>4</v>
      </c>
      <c r="T1678" s="4" t="str">
        <f>IF(OR(Tabela1[[#This Row],[Grau de Risco]]="Médio",Tabela1[[#This Row],[Grau de Risco]]="Baixo"),"Não","Sim")</f>
        <v>Não</v>
      </c>
    </row>
    <row r="1679" spans="1:20" hidden="1">
      <c r="A1679" s="4" t="s">
        <v>8</v>
      </c>
      <c r="B1679" s="10" t="s">
        <v>1797</v>
      </c>
      <c r="C1679" s="4" t="s">
        <v>252</v>
      </c>
      <c r="D1679" s="38" t="s">
        <v>1393</v>
      </c>
      <c r="E1679" s="3">
        <v>13</v>
      </c>
      <c r="F1679" s="3">
        <v>5</v>
      </c>
      <c r="G1679" s="3">
        <v>2025</v>
      </c>
      <c r="H1679" s="36" t="s">
        <v>66</v>
      </c>
      <c r="I1679" s="7" t="s">
        <v>1259</v>
      </c>
      <c r="J1679" s="4" t="s">
        <v>93</v>
      </c>
      <c r="K1679" s="3">
        <v>0</v>
      </c>
      <c r="L1679" s="3">
        <v>0</v>
      </c>
      <c r="M1679" s="4" t="s">
        <v>30</v>
      </c>
      <c r="N1679" s="4">
        <v>0</v>
      </c>
      <c r="O1679" s="4" t="s">
        <v>39</v>
      </c>
      <c r="P1679" s="3" t="s">
        <v>52</v>
      </c>
      <c r="Q1679" s="11">
        <v>15</v>
      </c>
      <c r="R1679" s="3" t="s">
        <v>52</v>
      </c>
      <c r="S1679" s="5" t="s">
        <v>56</v>
      </c>
      <c r="T1679" s="4" t="str">
        <f>IF(OR(Tabela1[[#This Row],[Grau de Risco]]="Médio",Tabela1[[#This Row],[Grau de Risco]]="Baixo"),"Não","Sim")</f>
        <v>Não</v>
      </c>
    </row>
    <row r="1680" spans="1:20" hidden="1">
      <c r="A1680" s="4" t="s">
        <v>10</v>
      </c>
      <c r="B1680" s="10" t="s">
        <v>1797</v>
      </c>
      <c r="C1680" s="4" t="s">
        <v>252</v>
      </c>
      <c r="D1680" s="38" t="s">
        <v>47</v>
      </c>
      <c r="E1680" s="3">
        <v>16</v>
      </c>
      <c r="F1680" s="3">
        <v>5</v>
      </c>
      <c r="G1680" s="3">
        <v>2025</v>
      </c>
      <c r="H1680" s="4" t="s">
        <v>86</v>
      </c>
      <c r="I1680" s="7" t="s">
        <v>1777</v>
      </c>
      <c r="J1680" s="4" t="s">
        <v>93</v>
      </c>
      <c r="K1680" s="3">
        <v>3</v>
      </c>
      <c r="L1680" s="3"/>
      <c r="M1680" s="4"/>
      <c r="N1680" s="4"/>
      <c r="O1680" s="4"/>
      <c r="P1680" s="3" t="s">
        <v>52</v>
      </c>
      <c r="Q1680" s="11">
        <v>15</v>
      </c>
      <c r="R1680" s="3" t="s">
        <v>52</v>
      </c>
      <c r="S1680" s="10" t="s">
        <v>63</v>
      </c>
      <c r="T1680" s="4" t="str">
        <f>IF(OR(Tabela1[[#This Row],[Grau de Risco]]="Médio",Tabela1[[#This Row],[Grau de Risco]]="Baixo"),"Não","Sim")</f>
        <v>Não</v>
      </c>
    </row>
    <row r="1681" spans="1:20" hidden="1">
      <c r="A1681" s="28" t="s">
        <v>9</v>
      </c>
      <c r="B1681" s="33" t="s">
        <v>1800</v>
      </c>
      <c r="C1681" s="28" t="s">
        <v>26</v>
      </c>
      <c r="D1681" s="38" t="s">
        <v>47</v>
      </c>
      <c r="E1681" s="32">
        <v>6</v>
      </c>
      <c r="F1681" s="32">
        <v>6</v>
      </c>
      <c r="G1681" s="32">
        <v>2025</v>
      </c>
      <c r="H1681" s="38" t="s">
        <v>86</v>
      </c>
      <c r="I1681" s="29" t="s">
        <v>1285</v>
      </c>
      <c r="J1681" s="28" t="s">
        <v>35</v>
      </c>
      <c r="K1681" s="32">
        <v>61</v>
      </c>
      <c r="L1681" s="32" t="s">
        <v>80</v>
      </c>
      <c r="M1681" s="28" t="s">
        <v>30</v>
      </c>
      <c r="N1681" s="28" t="s">
        <v>80</v>
      </c>
      <c r="O1681" s="28" t="s">
        <v>386</v>
      </c>
      <c r="P1681" s="32" t="s">
        <v>102</v>
      </c>
      <c r="Q1681" s="35">
        <v>2</v>
      </c>
      <c r="R1681" s="3" t="str">
        <f>IF(Q1681="","",IF(Q1681&lt;4,"Crítico",IF(Q1681&lt;9,"Alto",IF(Q1681&lt;14,"Médio","Baixo"))))</f>
        <v>Crítico</v>
      </c>
      <c r="S1681" s="33" t="s">
        <v>63</v>
      </c>
      <c r="T1681" s="4" t="str">
        <f>IF(OR(Tabela1[[#This Row],[Grau de Risco]]="Médio",Tabela1[[#This Row],[Grau de Risco]]="Baixo"),"Não","Sim")</f>
        <v>Sim</v>
      </c>
    </row>
    <row r="1682" spans="1:20" hidden="1">
      <c r="A1682" s="28" t="s">
        <v>10</v>
      </c>
      <c r="B1682" s="33" t="s">
        <v>1800</v>
      </c>
      <c r="C1682" s="28"/>
      <c r="D1682" s="38" t="s">
        <v>1382</v>
      </c>
      <c r="E1682" s="32">
        <v>11</v>
      </c>
      <c r="F1682" s="32">
        <v>6</v>
      </c>
      <c r="G1682" s="32">
        <v>2025</v>
      </c>
      <c r="H1682" s="38" t="s">
        <v>112</v>
      </c>
      <c r="I1682" s="29" t="s">
        <v>1296</v>
      </c>
      <c r="J1682" s="28" t="s">
        <v>69</v>
      </c>
      <c r="K1682" s="32" t="s">
        <v>80</v>
      </c>
      <c r="L1682" s="32" t="s">
        <v>80</v>
      </c>
      <c r="M1682" s="28" t="s">
        <v>30</v>
      </c>
      <c r="N1682" s="28" t="s">
        <v>80</v>
      </c>
      <c r="O1682" s="4" t="s">
        <v>386</v>
      </c>
      <c r="P1682" s="32" t="s">
        <v>52</v>
      </c>
      <c r="Q1682" s="35">
        <v>15</v>
      </c>
      <c r="R1682" s="32" t="s">
        <v>52</v>
      </c>
      <c r="S1682" s="33" t="s">
        <v>63</v>
      </c>
      <c r="T1682" s="4" t="str">
        <f>IF(OR(Tabela1[[#This Row],[Grau de Risco]]="Médio",Tabela1[[#This Row],[Grau de Risco]]="Baixo"),"Não","Sim")</f>
        <v>Não</v>
      </c>
    </row>
    <row r="1683" spans="1:20">
      <c r="A1683" s="4" t="s">
        <v>7</v>
      </c>
      <c r="B1683" s="10" t="s">
        <v>1809</v>
      </c>
      <c r="C1683" s="4" t="s">
        <v>44</v>
      </c>
      <c r="D1683" s="36" t="s">
        <v>148</v>
      </c>
      <c r="E1683" s="32">
        <v>15</v>
      </c>
      <c r="F1683" s="32">
        <v>6</v>
      </c>
      <c r="G1683" s="32">
        <v>2025</v>
      </c>
      <c r="H1683" s="36" t="s">
        <v>66</v>
      </c>
      <c r="I1683" s="29" t="s">
        <v>1304</v>
      </c>
      <c r="J1683" s="28" t="s">
        <v>38</v>
      </c>
      <c r="K1683" s="32"/>
      <c r="L1683" s="32" t="s">
        <v>44</v>
      </c>
      <c r="M1683" s="28" t="s">
        <v>30</v>
      </c>
      <c r="N1683" s="28" t="s">
        <v>44</v>
      </c>
      <c r="O1683" s="28"/>
      <c r="P1683" s="32"/>
      <c r="Q1683" s="35">
        <v>10</v>
      </c>
      <c r="R1683" s="32" t="s">
        <v>31</v>
      </c>
      <c r="S1683" s="57" t="s">
        <v>1261</v>
      </c>
      <c r="T1683" s="4" t="str">
        <f>IF(OR(Tabela1[[#This Row],[Grau de Risco]]="Médio",Tabela1[[#This Row],[Grau de Risco]]="Baixo"),"Não","Sim")</f>
        <v>Não</v>
      </c>
    </row>
    <row r="1684" spans="1:20" hidden="1">
      <c r="A1684" s="28" t="s">
        <v>10</v>
      </c>
      <c r="B1684" s="33" t="s">
        <v>1800</v>
      </c>
      <c r="C1684" s="28" t="s">
        <v>26</v>
      </c>
      <c r="D1684" s="38" t="s">
        <v>1382</v>
      </c>
      <c r="E1684" s="32">
        <v>18</v>
      </c>
      <c r="F1684" s="32">
        <v>6</v>
      </c>
      <c r="G1684" s="32">
        <v>2025</v>
      </c>
      <c r="H1684" s="38" t="s">
        <v>66</v>
      </c>
      <c r="I1684" s="29" t="s">
        <v>1311</v>
      </c>
      <c r="J1684" s="28" t="s">
        <v>69</v>
      </c>
      <c r="K1684" s="32" t="s">
        <v>80</v>
      </c>
      <c r="L1684" s="32" t="s">
        <v>80</v>
      </c>
      <c r="M1684" s="28" t="s">
        <v>80</v>
      </c>
      <c r="N1684" s="30" t="s">
        <v>80</v>
      </c>
      <c r="O1684" s="28" t="s">
        <v>77</v>
      </c>
      <c r="P1684" s="32" t="s">
        <v>52</v>
      </c>
      <c r="Q1684" s="35">
        <v>8</v>
      </c>
      <c r="R1684" s="32" t="s">
        <v>102</v>
      </c>
      <c r="S1684" s="33" t="s">
        <v>63</v>
      </c>
      <c r="T1684" s="4" t="str">
        <f>IF(OR(Tabela1[[#This Row],[Grau de Risco]]="Médio",Tabela1[[#This Row],[Grau de Risco]]="Baixo"),"Não","Sim")</f>
        <v>Sim</v>
      </c>
    </row>
    <row r="1685" spans="1:20" hidden="1">
      <c r="A1685" s="28" t="s">
        <v>10</v>
      </c>
      <c r="B1685" s="33" t="s">
        <v>1800</v>
      </c>
      <c r="C1685" s="28" t="s">
        <v>252</v>
      </c>
      <c r="D1685" s="58" t="s">
        <v>1409</v>
      </c>
      <c r="E1685" s="32">
        <v>19</v>
      </c>
      <c r="F1685" s="32">
        <v>6</v>
      </c>
      <c r="G1685" s="32">
        <v>2025</v>
      </c>
      <c r="H1685" s="38" t="s">
        <v>71</v>
      </c>
      <c r="I1685" s="29" t="s">
        <v>1312</v>
      </c>
      <c r="J1685" s="28" t="s">
        <v>229</v>
      </c>
      <c r="K1685" s="32" t="s">
        <v>80</v>
      </c>
      <c r="L1685" s="32" t="s">
        <v>80</v>
      </c>
      <c r="M1685" s="28" t="s">
        <v>30</v>
      </c>
      <c r="N1685" s="28" t="s">
        <v>80</v>
      </c>
      <c r="O1685" s="28" t="s">
        <v>386</v>
      </c>
      <c r="P1685" s="32" t="s">
        <v>52</v>
      </c>
      <c r="Q1685" s="35">
        <v>11</v>
      </c>
      <c r="R1685" s="32" t="s">
        <v>31</v>
      </c>
      <c r="S1685" s="33" t="s">
        <v>63</v>
      </c>
      <c r="T1685" s="4" t="str">
        <f>IF(OR(Tabela1[[#This Row],[Grau de Risco]]="Médio",Tabela1[[#This Row],[Grau de Risco]]="Baixo"),"Não","Sim")</f>
        <v>Não</v>
      </c>
    </row>
    <row r="1686" spans="1:20">
      <c r="A1686" s="4" t="s">
        <v>7</v>
      </c>
      <c r="B1686" s="10" t="s">
        <v>1809</v>
      </c>
      <c r="C1686" s="4"/>
      <c r="D1686" s="38" t="s">
        <v>47</v>
      </c>
      <c r="E1686" s="3">
        <v>20</v>
      </c>
      <c r="F1686" s="3">
        <v>6</v>
      </c>
      <c r="G1686" s="3">
        <v>2025</v>
      </c>
      <c r="H1686" s="36" t="s">
        <v>33</v>
      </c>
      <c r="I1686" s="7" t="s">
        <v>1316</v>
      </c>
      <c r="J1686" s="4" t="s">
        <v>84</v>
      </c>
      <c r="K1686" s="3" t="s">
        <v>44</v>
      </c>
      <c r="L1686" s="3" t="s">
        <v>44</v>
      </c>
      <c r="M1686" s="4"/>
      <c r="N1686" s="4" t="s">
        <v>44</v>
      </c>
      <c r="O1686" s="4"/>
      <c r="P1686" s="3"/>
      <c r="Q1686" s="11">
        <v>15</v>
      </c>
      <c r="R1686" s="3" t="s">
        <v>52</v>
      </c>
      <c r="S1686" s="10" t="s">
        <v>144</v>
      </c>
      <c r="T1686" s="4" t="str">
        <f>IF(OR(Tabela1[[#This Row],[Grau de Risco]]="Médio",Tabela1[[#This Row],[Grau de Risco]]="Baixo"),"Não","Sim")</f>
        <v>Não</v>
      </c>
    </row>
    <row r="1687" spans="1:20" hidden="1">
      <c r="A1687" s="28" t="s">
        <v>7</v>
      </c>
      <c r="B1687" s="33" t="s">
        <v>1800</v>
      </c>
      <c r="C1687" s="28" t="s">
        <v>125</v>
      </c>
      <c r="D1687" s="38" t="s">
        <v>1382</v>
      </c>
      <c r="E1687" s="32">
        <v>25</v>
      </c>
      <c r="F1687" s="32">
        <v>6</v>
      </c>
      <c r="G1687" s="32">
        <v>2025</v>
      </c>
      <c r="H1687" s="38" t="s">
        <v>27</v>
      </c>
      <c r="I1687" s="29" t="s">
        <v>1324</v>
      </c>
      <c r="J1687" s="28" t="s">
        <v>61</v>
      </c>
      <c r="K1687" s="32" t="s">
        <v>80</v>
      </c>
      <c r="L1687" s="32" t="s">
        <v>80</v>
      </c>
      <c r="M1687" s="28" t="s">
        <v>30</v>
      </c>
      <c r="N1687" s="28" t="s">
        <v>80</v>
      </c>
      <c r="O1687" s="28" t="s">
        <v>85</v>
      </c>
      <c r="P1687" s="32" t="s">
        <v>44</v>
      </c>
      <c r="Q1687" s="35">
        <v>11</v>
      </c>
      <c r="R1687" s="32" t="s">
        <v>31</v>
      </c>
      <c r="S1687" s="5" t="s">
        <v>40</v>
      </c>
      <c r="T1687" s="4" t="str">
        <f>IF(OR(Tabela1[[#This Row],[Grau de Risco]]="Médio",Tabela1[[#This Row],[Grau de Risco]]="Baixo"),"Não","Sim")</f>
        <v>Não</v>
      </c>
    </row>
    <row r="1688" spans="1:20" hidden="1">
      <c r="A1688" s="28" t="s">
        <v>7</v>
      </c>
      <c r="B1688" s="33" t="s">
        <v>1800</v>
      </c>
      <c r="C1688" s="28" t="s">
        <v>41</v>
      </c>
      <c r="D1688" s="38" t="s">
        <v>1409</v>
      </c>
      <c r="E1688" s="32">
        <v>26</v>
      </c>
      <c r="F1688" s="32">
        <v>6</v>
      </c>
      <c r="G1688" s="32">
        <v>2025</v>
      </c>
      <c r="H1688" s="38" t="s">
        <v>66</v>
      </c>
      <c r="I1688" s="29" t="s">
        <v>1325</v>
      </c>
      <c r="J1688" s="28" t="s">
        <v>229</v>
      </c>
      <c r="K1688" s="32" t="s">
        <v>80</v>
      </c>
      <c r="L1688" s="32" t="s">
        <v>80</v>
      </c>
      <c r="M1688" s="28" t="s">
        <v>30</v>
      </c>
      <c r="N1688" s="28" t="s">
        <v>80</v>
      </c>
      <c r="O1688" s="4" t="s">
        <v>77</v>
      </c>
      <c r="P1688" s="32" t="s">
        <v>52</v>
      </c>
      <c r="Q1688" s="35">
        <v>8</v>
      </c>
      <c r="R1688" s="32" t="s">
        <v>102</v>
      </c>
      <c r="S1688" s="33" t="s">
        <v>63</v>
      </c>
      <c r="T1688" s="4" t="str">
        <f>IF(OR(Tabela1[[#This Row],[Grau de Risco]]="Médio",Tabela1[[#This Row],[Grau de Risco]]="Baixo"),"Não","Sim")</f>
        <v>Sim</v>
      </c>
    </row>
    <row r="1689" spans="1:20" hidden="1">
      <c r="A1689" s="28" t="s">
        <v>9</v>
      </c>
      <c r="B1689" s="33" t="s">
        <v>1800</v>
      </c>
      <c r="C1689" s="28" t="s">
        <v>81</v>
      </c>
      <c r="D1689" s="38" t="s">
        <v>1393</v>
      </c>
      <c r="E1689" s="32">
        <v>8</v>
      </c>
      <c r="F1689" s="32">
        <v>7</v>
      </c>
      <c r="G1689" s="32">
        <v>2025</v>
      </c>
      <c r="H1689" s="38" t="s">
        <v>112</v>
      </c>
      <c r="I1689" s="29" t="s">
        <v>1345</v>
      </c>
      <c r="J1689" s="28" t="s">
        <v>290</v>
      </c>
      <c r="K1689" s="32">
        <v>100</v>
      </c>
      <c r="L1689" s="32" t="s">
        <v>80</v>
      </c>
      <c r="M1689" s="28" t="s">
        <v>30</v>
      </c>
      <c r="N1689" s="28" t="s">
        <v>80</v>
      </c>
      <c r="O1689" s="28" t="s">
        <v>386</v>
      </c>
      <c r="P1689" s="32" t="s">
        <v>52</v>
      </c>
      <c r="Q1689" s="35">
        <v>8</v>
      </c>
      <c r="R1689" s="32" t="s">
        <v>102</v>
      </c>
      <c r="S1689" s="33" t="s">
        <v>63</v>
      </c>
      <c r="T1689" s="4" t="str">
        <f>IF(OR(Tabela1[[#This Row],[Grau de Risco]]="Médio",Tabela1[[#This Row],[Grau de Risco]]="Baixo"),"Não","Sim")</f>
        <v>Sim</v>
      </c>
    </row>
    <row r="1690" spans="1:20" hidden="1">
      <c r="A1690" s="28" t="s">
        <v>7</v>
      </c>
      <c r="B1690" s="33" t="s">
        <v>1800</v>
      </c>
      <c r="C1690" s="28" t="s">
        <v>125</v>
      </c>
      <c r="D1690" s="38" t="s">
        <v>47</v>
      </c>
      <c r="E1690" s="32">
        <v>11</v>
      </c>
      <c r="F1690" s="32">
        <v>7</v>
      </c>
      <c r="G1690" s="32">
        <v>2025</v>
      </c>
      <c r="H1690" s="38" t="s">
        <v>48</v>
      </c>
      <c r="I1690" s="29" t="s">
        <v>1351</v>
      </c>
      <c r="J1690" s="28" t="s">
        <v>76</v>
      </c>
      <c r="K1690" s="32" t="s">
        <v>80</v>
      </c>
      <c r="L1690" s="32" t="s">
        <v>80</v>
      </c>
      <c r="M1690" s="28" t="s">
        <v>30</v>
      </c>
      <c r="N1690" s="28" t="s">
        <v>80</v>
      </c>
      <c r="O1690" s="28" t="s">
        <v>167</v>
      </c>
      <c r="P1690" s="32" t="s">
        <v>52</v>
      </c>
      <c r="Q1690" s="35">
        <v>14</v>
      </c>
      <c r="R1690" s="32" t="s">
        <v>52</v>
      </c>
      <c r="S1690" s="33" t="s">
        <v>63</v>
      </c>
      <c r="T1690" s="4" t="str">
        <f>IF(OR(Tabela1[[#This Row],[Grau de Risco]]="Médio",Tabela1[[#This Row],[Grau de Risco]]="Baixo"),"Não","Sim")</f>
        <v>Não</v>
      </c>
    </row>
    <row r="1691" spans="1:20" hidden="1">
      <c r="A1691" s="28" t="s">
        <v>10</v>
      </c>
      <c r="B1691" s="33" t="s">
        <v>1800</v>
      </c>
      <c r="C1691" s="28" t="s">
        <v>252</v>
      </c>
      <c r="D1691" s="38" t="s">
        <v>47</v>
      </c>
      <c r="E1691" s="32">
        <v>18</v>
      </c>
      <c r="F1691" s="32">
        <v>7</v>
      </c>
      <c r="G1691" s="32">
        <v>2025</v>
      </c>
      <c r="H1691" s="38" t="s">
        <v>112</v>
      </c>
      <c r="I1691" s="29" t="s">
        <v>1359</v>
      </c>
      <c r="J1691" s="28" t="s">
        <v>61</v>
      </c>
      <c r="K1691" s="32" t="s">
        <v>80</v>
      </c>
      <c r="L1691" s="32" t="s">
        <v>80</v>
      </c>
      <c r="M1691" s="28" t="s">
        <v>30</v>
      </c>
      <c r="N1691" s="28" t="s">
        <v>80</v>
      </c>
      <c r="O1691" s="28" t="s">
        <v>77</v>
      </c>
      <c r="P1691" s="32" t="s">
        <v>52</v>
      </c>
      <c r="Q1691" s="35">
        <v>8</v>
      </c>
      <c r="R1691" s="32" t="s">
        <v>102</v>
      </c>
      <c r="S1691" s="33" t="s">
        <v>63</v>
      </c>
      <c r="T1691" s="4" t="str">
        <f>IF(OR(Tabela1[[#This Row],[Grau de Risco]]="Médio",Tabela1[[#This Row],[Grau de Risco]]="Baixo"),"Não","Sim")</f>
        <v>Sim</v>
      </c>
    </row>
    <row r="1692" spans="1:20" ht="15.75" hidden="1" customHeight="1">
      <c r="A1692" s="28" t="s">
        <v>7</v>
      </c>
      <c r="B1692" s="33" t="s">
        <v>1800</v>
      </c>
      <c r="C1692" s="28" t="s">
        <v>252</v>
      </c>
      <c r="D1692" s="38" t="s">
        <v>1393</v>
      </c>
      <c r="E1692" s="32">
        <v>29</v>
      </c>
      <c r="F1692" s="32">
        <v>7</v>
      </c>
      <c r="G1692" s="32">
        <v>2025</v>
      </c>
      <c r="H1692" s="38" t="s">
        <v>1132</v>
      </c>
      <c r="I1692" s="29" t="s">
        <v>1367</v>
      </c>
      <c r="J1692" s="28" t="s">
        <v>69</v>
      </c>
      <c r="K1692" s="32" t="s">
        <v>80</v>
      </c>
      <c r="L1692" s="32" t="s">
        <v>80</v>
      </c>
      <c r="M1692" s="28" t="s">
        <v>30</v>
      </c>
      <c r="N1692" s="28" t="s">
        <v>80</v>
      </c>
      <c r="O1692" s="4" t="s">
        <v>699</v>
      </c>
      <c r="P1692" s="32" t="s">
        <v>52</v>
      </c>
      <c r="Q1692" s="35">
        <v>11</v>
      </c>
      <c r="R1692" s="32" t="s">
        <v>31</v>
      </c>
      <c r="S1692" s="33" t="s">
        <v>32</v>
      </c>
      <c r="T1692" s="4" t="str">
        <f>IF(OR(Tabela1[[#This Row],[Grau de Risco]]="Médio",Tabela1[[#This Row],[Grau de Risco]]="Baixo"),"Não","Sim")</f>
        <v>Não</v>
      </c>
    </row>
    <row r="1693" spans="1:20">
      <c r="A1693" s="4" t="s">
        <v>7</v>
      </c>
      <c r="B1693" s="10" t="s">
        <v>1809</v>
      </c>
      <c r="C1693" s="4"/>
      <c r="D1693" s="5" t="s">
        <v>1382</v>
      </c>
      <c r="E1693" s="3">
        <v>6</v>
      </c>
      <c r="F1693" s="3">
        <v>8</v>
      </c>
      <c r="G1693" s="3">
        <v>2025</v>
      </c>
      <c r="H1693" s="5" t="s">
        <v>307</v>
      </c>
      <c r="I1693" s="7" t="s">
        <v>1778</v>
      </c>
      <c r="J1693" s="4" t="s">
        <v>290</v>
      </c>
      <c r="K1693" s="3">
        <v>0</v>
      </c>
      <c r="L1693" s="3">
        <v>0</v>
      </c>
      <c r="M1693" s="4">
        <v>0</v>
      </c>
      <c r="N1693" s="67">
        <v>0</v>
      </c>
      <c r="O1693" s="4"/>
      <c r="P1693" s="3"/>
      <c r="Q1693" s="11">
        <v>11</v>
      </c>
      <c r="R1693" s="3" t="s">
        <v>31</v>
      </c>
      <c r="S1693" s="5" t="s">
        <v>40</v>
      </c>
      <c r="T1693" s="4" t="str">
        <f>IF(OR(Tabela1[[#This Row],[Grau de Risco]]="Médio",Tabela1[[#This Row],[Grau de Risco]]="Baixo"),"Não","Sim")</f>
        <v>Não</v>
      </c>
    </row>
    <row r="1694" spans="1:20" hidden="1">
      <c r="A1694" s="28" t="s">
        <v>1110</v>
      </c>
      <c r="B1694" s="10" t="s">
        <v>1797</v>
      </c>
      <c r="C1694" s="4"/>
      <c r="D1694" s="4" t="s">
        <v>1409</v>
      </c>
      <c r="E1694" s="3">
        <v>7</v>
      </c>
      <c r="F1694" s="3">
        <v>8</v>
      </c>
      <c r="G1694" s="3">
        <v>2025</v>
      </c>
      <c r="H1694" s="21" t="s">
        <v>48</v>
      </c>
      <c r="I1694" s="7" t="s">
        <v>1779</v>
      </c>
      <c r="J1694" s="4" t="s">
        <v>35</v>
      </c>
      <c r="K1694" s="3" t="s">
        <v>44</v>
      </c>
      <c r="L1694" s="3" t="s">
        <v>44</v>
      </c>
      <c r="M1694" s="4"/>
      <c r="N1694" s="67" t="s">
        <v>44</v>
      </c>
      <c r="O1694" s="4"/>
      <c r="P1694" s="3"/>
      <c r="Q1694" s="11">
        <v>6</v>
      </c>
      <c r="R1694" s="3" t="str">
        <f>IF(Q1694="","",IF(Q1694&lt;4,"Crítico",IF(Q1694&lt;9,"Alto",IF(Q1694&lt;14,"Médio","Baixo"))))</f>
        <v>Alto</v>
      </c>
      <c r="S1694" s="10" t="s">
        <v>56</v>
      </c>
      <c r="T1694" s="4" t="str">
        <f>IF(OR(Tabela1[[#This Row],[Grau de Risco]]="Médio",Tabela1[[#This Row],[Grau de Risco]]="Baixo"),"Não","Sim")</f>
        <v>Sim</v>
      </c>
    </row>
    <row r="1695" spans="1:20" hidden="1">
      <c r="A1695" s="4" t="s">
        <v>7</v>
      </c>
      <c r="B1695" s="10" t="s">
        <v>1797</v>
      </c>
      <c r="C1695" s="4"/>
      <c r="D1695" s="5" t="s">
        <v>47</v>
      </c>
      <c r="E1695" s="3">
        <v>8</v>
      </c>
      <c r="F1695" s="3">
        <v>8</v>
      </c>
      <c r="G1695" s="3">
        <v>2025</v>
      </c>
      <c r="H1695" s="5" t="s">
        <v>71</v>
      </c>
      <c r="I1695" s="7" t="s">
        <v>1780</v>
      </c>
      <c r="J1695" s="4" t="s">
        <v>93</v>
      </c>
      <c r="K1695" s="3">
        <v>0</v>
      </c>
      <c r="L1695" s="3">
        <v>0</v>
      </c>
      <c r="M1695" s="4" t="s">
        <v>30</v>
      </c>
      <c r="N1695" s="67">
        <v>0</v>
      </c>
      <c r="O1695" s="4"/>
      <c r="P1695" s="3"/>
      <c r="Q1695" s="11">
        <v>10</v>
      </c>
      <c r="R1695" s="3" t="s">
        <v>31</v>
      </c>
      <c r="S1695" s="10" t="s">
        <v>56</v>
      </c>
      <c r="T1695" s="4" t="str">
        <f>IF(OR(Tabela1[[#This Row],[Grau de Risco]]="Médio",Tabela1[[#This Row],[Grau de Risco]]="Baixo"),"Não","Sim")</f>
        <v>Não</v>
      </c>
    </row>
    <row r="1696" spans="1:20" hidden="1">
      <c r="A1696" s="28" t="s">
        <v>7</v>
      </c>
      <c r="B1696" s="33" t="s">
        <v>1797</v>
      </c>
      <c r="C1696" s="28"/>
      <c r="D1696" s="28" t="s">
        <v>1320</v>
      </c>
      <c r="E1696" s="32">
        <v>11</v>
      </c>
      <c r="F1696" s="32">
        <v>8</v>
      </c>
      <c r="G1696" s="32">
        <v>2025</v>
      </c>
      <c r="H1696" s="34" t="s">
        <v>1132</v>
      </c>
      <c r="I1696" s="29" t="s">
        <v>1392</v>
      </c>
      <c r="J1696" s="28" t="s">
        <v>50</v>
      </c>
      <c r="K1696" s="32" t="s">
        <v>44</v>
      </c>
      <c r="L1696" s="32" t="s">
        <v>44</v>
      </c>
      <c r="M1696" s="28"/>
      <c r="N1696" s="70" t="s">
        <v>44</v>
      </c>
      <c r="O1696" s="28"/>
      <c r="P1696" s="32"/>
      <c r="Q1696" s="35">
        <v>14</v>
      </c>
      <c r="R1696" s="3" t="s">
        <v>52</v>
      </c>
      <c r="S1696" s="33" t="s">
        <v>56</v>
      </c>
      <c r="T1696" s="4" t="str">
        <f>IF(OR(Tabela1[[#This Row],[Grau de Risco]]="Médio",Tabela1[[#This Row],[Grau de Risco]]="Baixo"),"Não","Sim")</f>
        <v>Não</v>
      </c>
    </row>
    <row r="1697" spans="1:20" hidden="1">
      <c r="A1697" s="4" t="s">
        <v>1110</v>
      </c>
      <c r="B1697" s="10" t="s">
        <v>1797</v>
      </c>
      <c r="C1697" s="4" t="s">
        <v>81</v>
      </c>
      <c r="D1697" s="4" t="s">
        <v>47</v>
      </c>
      <c r="E1697" s="3">
        <v>15</v>
      </c>
      <c r="F1697" s="3">
        <v>8</v>
      </c>
      <c r="G1697" s="3">
        <v>2025</v>
      </c>
      <c r="H1697" s="21" t="s">
        <v>71</v>
      </c>
      <c r="I1697" s="7" t="s">
        <v>1781</v>
      </c>
      <c r="J1697" s="4" t="s">
        <v>69</v>
      </c>
      <c r="K1697" s="3" t="s">
        <v>44</v>
      </c>
      <c r="L1697" s="3" t="s">
        <v>44</v>
      </c>
      <c r="M1697" s="4"/>
      <c r="N1697" s="67" t="s">
        <v>44</v>
      </c>
      <c r="O1697" s="4"/>
      <c r="P1697" s="3"/>
      <c r="Q1697" s="11">
        <v>16</v>
      </c>
      <c r="R1697" s="3" t="str">
        <f>IF(Q1697="","",IF(Q1697&lt;4,"Crítico",IF(Q1697&lt;9,"Alto",IF(Q1697&lt;14,"Médio","Baixo"))))</f>
        <v>Baixo</v>
      </c>
      <c r="S1697" s="10" t="s">
        <v>63</v>
      </c>
      <c r="T1697" s="4" t="str">
        <f>IF(OR(Tabela1[[#This Row],[Grau de Risco]]="Médio",Tabela1[[#This Row],[Grau de Risco]]="Baixo"),"Não","Sim")</f>
        <v>Não</v>
      </c>
    </row>
    <row r="1698" spans="1:20" hidden="1">
      <c r="A1698" s="28" t="s">
        <v>7</v>
      </c>
      <c r="B1698" s="33" t="s">
        <v>1800</v>
      </c>
      <c r="C1698" s="28" t="s">
        <v>81</v>
      </c>
      <c r="D1698" s="38" t="s">
        <v>47</v>
      </c>
      <c r="E1698" s="32">
        <v>22</v>
      </c>
      <c r="F1698" s="32">
        <v>8</v>
      </c>
      <c r="G1698" s="32">
        <v>2025</v>
      </c>
      <c r="H1698" s="38" t="s">
        <v>86</v>
      </c>
      <c r="I1698" s="7" t="s">
        <v>1408</v>
      </c>
      <c r="J1698" s="28" t="s">
        <v>84</v>
      </c>
      <c r="K1698" s="32" t="s">
        <v>80</v>
      </c>
      <c r="L1698" s="32" t="s">
        <v>80</v>
      </c>
      <c r="M1698" s="28" t="s">
        <v>30</v>
      </c>
      <c r="N1698" s="28" t="s">
        <v>80</v>
      </c>
      <c r="O1698" s="4" t="s">
        <v>4</v>
      </c>
      <c r="P1698" s="32" t="s">
        <v>44</v>
      </c>
      <c r="Q1698" s="35">
        <v>11</v>
      </c>
      <c r="R1698" s="32" t="s">
        <v>31</v>
      </c>
      <c r="S1698" s="33" t="s">
        <v>32</v>
      </c>
      <c r="T1698" s="4" t="str">
        <f>IF(OR(Tabela1[[#This Row],[Grau de Risco]]="Médio",Tabela1[[#This Row],[Grau de Risco]]="Baixo"),"Não","Sim")</f>
        <v>Não</v>
      </c>
    </row>
    <row r="1699" spans="1:20" hidden="1">
      <c r="A1699" s="28" t="s">
        <v>8</v>
      </c>
      <c r="B1699" s="33" t="s">
        <v>1800</v>
      </c>
      <c r="C1699" s="28" t="s">
        <v>252</v>
      </c>
      <c r="D1699" s="38" t="s">
        <v>47</v>
      </c>
      <c r="E1699" s="32">
        <v>22</v>
      </c>
      <c r="F1699" s="32">
        <v>8</v>
      </c>
      <c r="G1699" s="32">
        <v>2025</v>
      </c>
      <c r="H1699" s="38" t="s">
        <v>86</v>
      </c>
      <c r="I1699" s="7" t="s">
        <v>1434</v>
      </c>
      <c r="J1699" s="28" t="s">
        <v>61</v>
      </c>
      <c r="K1699" s="32" t="s">
        <v>80</v>
      </c>
      <c r="L1699" s="32" t="s">
        <v>80</v>
      </c>
      <c r="M1699" s="28" t="s">
        <v>30</v>
      </c>
      <c r="N1699" s="28" t="s">
        <v>80</v>
      </c>
      <c r="O1699" s="4" t="s">
        <v>45</v>
      </c>
      <c r="P1699" s="32" t="s">
        <v>52</v>
      </c>
      <c r="Q1699" s="35">
        <v>11</v>
      </c>
      <c r="R1699" s="32" t="s">
        <v>31</v>
      </c>
      <c r="S1699" s="33" t="s">
        <v>56</v>
      </c>
      <c r="T1699" s="4" t="str">
        <f>IF(OR(Tabela1[[#This Row],[Grau de Risco]]="Médio",Tabela1[[#This Row],[Grau de Risco]]="Baixo"),"Não","Sim")</f>
        <v>Não</v>
      </c>
    </row>
    <row r="1700" spans="1:20" hidden="1">
      <c r="A1700" s="28" t="s">
        <v>7</v>
      </c>
      <c r="B1700" s="33" t="s">
        <v>1800</v>
      </c>
      <c r="C1700" s="28" t="s">
        <v>41</v>
      </c>
      <c r="D1700" s="38" t="s">
        <v>1409</v>
      </c>
      <c r="E1700" s="32">
        <v>30</v>
      </c>
      <c r="F1700" s="32">
        <v>4</v>
      </c>
      <c r="G1700" s="32">
        <v>2025</v>
      </c>
      <c r="H1700" s="38" t="s">
        <v>1132</v>
      </c>
      <c r="I1700" s="29" t="s">
        <v>1438</v>
      </c>
      <c r="J1700" s="28" t="s">
        <v>229</v>
      </c>
      <c r="K1700" s="32" t="s">
        <v>80</v>
      </c>
      <c r="L1700" s="32" t="s">
        <v>80</v>
      </c>
      <c r="M1700" s="28" t="s">
        <v>30</v>
      </c>
      <c r="N1700" s="28" t="s">
        <v>80</v>
      </c>
      <c r="O1700" s="28" t="s">
        <v>4</v>
      </c>
      <c r="P1700" s="32" t="s">
        <v>52</v>
      </c>
      <c r="Q1700" s="35">
        <v>14</v>
      </c>
      <c r="R1700" s="32" t="s">
        <v>52</v>
      </c>
      <c r="S1700" s="33" t="s">
        <v>32</v>
      </c>
      <c r="T1700" s="4" t="str">
        <f>IF(OR(Tabela1[[#This Row],[Grau de Risco]]="Médio",Tabela1[[#This Row],[Grau de Risco]]="Baixo"),"Não","Sim")</f>
        <v>Não</v>
      </c>
    </row>
    <row r="1701" spans="1:20" hidden="1">
      <c r="A1701" s="28" t="s">
        <v>8</v>
      </c>
      <c r="B1701" s="33" t="s">
        <v>1800</v>
      </c>
      <c r="C1701" s="28" t="s">
        <v>41</v>
      </c>
      <c r="D1701" s="38" t="s">
        <v>47</v>
      </c>
      <c r="E1701" s="32">
        <v>18</v>
      </c>
      <c r="F1701" s="32">
        <v>7</v>
      </c>
      <c r="G1701" s="32">
        <v>2025</v>
      </c>
      <c r="H1701" s="38" t="s">
        <v>33</v>
      </c>
      <c r="I1701" s="29" t="s">
        <v>1439</v>
      </c>
      <c r="J1701" s="28" t="s">
        <v>69</v>
      </c>
      <c r="K1701" s="32" t="s">
        <v>80</v>
      </c>
      <c r="L1701" s="32" t="s">
        <v>80</v>
      </c>
      <c r="M1701" s="28" t="s">
        <v>30</v>
      </c>
      <c r="N1701" s="28" t="s">
        <v>80</v>
      </c>
      <c r="O1701" s="4" t="s">
        <v>51</v>
      </c>
      <c r="P1701" s="32" t="s">
        <v>52</v>
      </c>
      <c r="Q1701" s="35">
        <v>11</v>
      </c>
      <c r="R1701" s="32" t="s">
        <v>31</v>
      </c>
      <c r="S1701" s="33" t="s">
        <v>32</v>
      </c>
      <c r="T1701" s="4" t="str">
        <f>IF(OR(Tabela1[[#This Row],[Grau de Risco]]="Médio",Tabela1[[#This Row],[Grau de Risco]]="Baixo"),"Não","Sim")</f>
        <v>Não</v>
      </c>
    </row>
    <row r="1702" spans="1:20" hidden="1">
      <c r="A1702" s="28" t="s">
        <v>7</v>
      </c>
      <c r="B1702" s="33" t="s">
        <v>1805</v>
      </c>
      <c r="C1702" s="28"/>
      <c r="D1702" s="28" t="s">
        <v>1393</v>
      </c>
      <c r="E1702" s="32">
        <v>2</v>
      </c>
      <c r="F1702" s="32">
        <v>9</v>
      </c>
      <c r="G1702" s="32">
        <v>2025</v>
      </c>
      <c r="H1702" s="34" t="s">
        <v>107</v>
      </c>
      <c r="I1702" s="29" t="s">
        <v>1442</v>
      </c>
      <c r="J1702" s="28" t="s">
        <v>79</v>
      </c>
      <c r="K1702" s="68" t="s">
        <v>44</v>
      </c>
      <c r="L1702" s="68" t="s">
        <v>44</v>
      </c>
      <c r="M1702" s="30" t="s">
        <v>44</v>
      </c>
      <c r="N1702" s="30" t="s">
        <v>44</v>
      </c>
      <c r="O1702" s="28"/>
      <c r="P1702" s="32"/>
      <c r="Q1702" s="35">
        <v>11</v>
      </c>
      <c r="R1702" s="32" t="s">
        <v>31</v>
      </c>
      <c r="S1702" s="33" t="s">
        <v>4</v>
      </c>
      <c r="T1702" s="4" t="str">
        <f>IF(OR(Tabela1[[#This Row],[Grau de Risco]]="Médio",Tabela1[[#This Row],[Grau de Risco]]="Baixo"),"Não","Sim")</f>
        <v>Não</v>
      </c>
    </row>
    <row r="1703" spans="1:20" hidden="1">
      <c r="A1703" s="28" t="s">
        <v>10</v>
      </c>
      <c r="B1703" s="40" t="s">
        <v>1805</v>
      </c>
      <c r="C1703" s="39"/>
      <c r="D1703" s="39" t="s">
        <v>47</v>
      </c>
      <c r="E1703" s="66">
        <v>19</v>
      </c>
      <c r="F1703" s="66">
        <v>9</v>
      </c>
      <c r="G1703" s="66">
        <v>2025</v>
      </c>
      <c r="H1703" s="34" t="s">
        <v>86</v>
      </c>
      <c r="I1703" s="7" t="s">
        <v>1449</v>
      </c>
      <c r="J1703" s="28" t="s">
        <v>93</v>
      </c>
      <c r="K1703" s="32"/>
      <c r="L1703" s="32"/>
      <c r="M1703" s="28"/>
      <c r="N1703" s="28"/>
      <c r="O1703" s="28" t="s">
        <v>101</v>
      </c>
      <c r="P1703" s="32" t="s">
        <v>31</v>
      </c>
      <c r="Q1703" s="35">
        <v>10</v>
      </c>
      <c r="R1703" s="32" t="s">
        <v>31</v>
      </c>
      <c r="S1703" s="40" t="s">
        <v>63</v>
      </c>
      <c r="T1703" s="4" t="str">
        <f>IF(OR(Tabela1[[#This Row],[Grau de Risco]]="Médio",Tabela1[[#This Row],[Grau de Risco]]="Baixo"),"Não","Sim")</f>
        <v>Não</v>
      </c>
    </row>
    <row r="1704" spans="1:20" hidden="1">
      <c r="A1704" s="28" t="s">
        <v>10</v>
      </c>
      <c r="B1704" s="40" t="s">
        <v>1805</v>
      </c>
      <c r="C1704" s="39"/>
      <c r="D1704" s="39" t="s">
        <v>47</v>
      </c>
      <c r="E1704" s="66">
        <v>19</v>
      </c>
      <c r="F1704" s="66">
        <v>9</v>
      </c>
      <c r="G1704" s="66">
        <v>2025</v>
      </c>
      <c r="H1704" s="34" t="s">
        <v>86</v>
      </c>
      <c r="I1704" s="7" t="s">
        <v>1449</v>
      </c>
      <c r="J1704" s="28" t="s">
        <v>93</v>
      </c>
      <c r="K1704" s="32">
        <v>0</v>
      </c>
      <c r="L1704" s="32">
        <v>0</v>
      </c>
      <c r="M1704" s="4" t="s">
        <v>30</v>
      </c>
      <c r="N1704" s="4">
        <v>0</v>
      </c>
      <c r="O1704" s="28" t="s">
        <v>101</v>
      </c>
      <c r="P1704" s="32" t="s">
        <v>31</v>
      </c>
      <c r="Q1704" s="35">
        <v>10</v>
      </c>
      <c r="R1704" s="32" t="s">
        <v>31</v>
      </c>
      <c r="S1704" s="40" t="s">
        <v>63</v>
      </c>
      <c r="T1704" s="4" t="str">
        <f>IF(OR(Tabela1[[#This Row],[Grau de Risco]]="Médio",Tabela1[[#This Row],[Grau de Risco]]="Baixo"),"Não","Sim")</f>
        <v>Não</v>
      </c>
    </row>
    <row r="1705" spans="1:20" hidden="1">
      <c r="A1705" s="28" t="s">
        <v>7</v>
      </c>
      <c r="B1705" s="33" t="s">
        <v>1800</v>
      </c>
      <c r="C1705" s="28" t="s">
        <v>41</v>
      </c>
      <c r="D1705" s="38" t="s">
        <v>36</v>
      </c>
      <c r="E1705" s="32">
        <v>20</v>
      </c>
      <c r="F1705" s="32">
        <v>9</v>
      </c>
      <c r="G1705" s="32">
        <v>2025</v>
      </c>
      <c r="H1705" s="38" t="s">
        <v>33</v>
      </c>
      <c r="I1705" s="7" t="s">
        <v>1459</v>
      </c>
      <c r="J1705" s="28" t="s">
        <v>69</v>
      </c>
      <c r="K1705" s="32" t="s">
        <v>80</v>
      </c>
      <c r="L1705" s="32" t="s">
        <v>80</v>
      </c>
      <c r="M1705" s="28" t="s">
        <v>30</v>
      </c>
      <c r="N1705" s="28" t="s">
        <v>80</v>
      </c>
      <c r="O1705" s="4" t="s">
        <v>4</v>
      </c>
      <c r="P1705" s="32" t="s">
        <v>52</v>
      </c>
      <c r="Q1705" s="35">
        <v>14</v>
      </c>
      <c r="R1705" s="3" t="s">
        <v>52</v>
      </c>
      <c r="S1705" s="33" t="s">
        <v>63</v>
      </c>
      <c r="T1705" s="4" t="str">
        <f>IF(OR(Tabela1[[#This Row],[Grau de Risco]]="Médio",Tabela1[[#This Row],[Grau de Risco]]="Baixo"),"Não","Sim")</f>
        <v>Não</v>
      </c>
    </row>
    <row r="1706" spans="1:20" hidden="1">
      <c r="A1706" s="28" t="s">
        <v>7</v>
      </c>
      <c r="B1706" s="33" t="s">
        <v>1800</v>
      </c>
      <c r="C1706" s="28" t="s">
        <v>41</v>
      </c>
      <c r="D1706" s="38" t="s">
        <v>1393</v>
      </c>
      <c r="E1706" s="32">
        <v>30</v>
      </c>
      <c r="F1706" s="32">
        <v>9</v>
      </c>
      <c r="G1706" s="32">
        <v>2025</v>
      </c>
      <c r="H1706" s="38" t="s">
        <v>71</v>
      </c>
      <c r="I1706" s="7" t="s">
        <v>1460</v>
      </c>
      <c r="J1706" s="28" t="s">
        <v>69</v>
      </c>
      <c r="K1706" s="32" t="s">
        <v>80</v>
      </c>
      <c r="L1706" s="32" t="s">
        <v>80</v>
      </c>
      <c r="M1706" s="28" t="s">
        <v>30</v>
      </c>
      <c r="N1706" s="28" t="s">
        <v>80</v>
      </c>
      <c r="O1706" s="4" t="s">
        <v>77</v>
      </c>
      <c r="P1706" s="32" t="s">
        <v>52</v>
      </c>
      <c r="Q1706" s="35">
        <v>14</v>
      </c>
      <c r="R1706" s="3" t="s">
        <v>52</v>
      </c>
      <c r="S1706" s="33" t="s">
        <v>63</v>
      </c>
      <c r="T1706" s="4" t="str">
        <f>IF(OR(Tabela1[[#This Row],[Grau de Risco]]="Médio",Tabela1[[#This Row],[Grau de Risco]]="Baixo"),"Não","Sim")</f>
        <v>Não</v>
      </c>
    </row>
    <row r="1707" spans="1:20">
      <c r="A1707" s="28" t="s">
        <v>7</v>
      </c>
      <c r="B1707" s="10" t="s">
        <v>1809</v>
      </c>
      <c r="C1707" s="28"/>
      <c r="D1707" s="28" t="s">
        <v>1382</v>
      </c>
      <c r="E1707" s="32">
        <v>24</v>
      </c>
      <c r="F1707" s="32">
        <v>9</v>
      </c>
      <c r="G1707" s="32">
        <v>2025</v>
      </c>
      <c r="H1707" s="34" t="s">
        <v>71</v>
      </c>
      <c r="I1707" s="29" t="s">
        <v>1468</v>
      </c>
      <c r="J1707" s="28" t="s">
        <v>61</v>
      </c>
      <c r="K1707" s="32"/>
      <c r="L1707" s="32"/>
      <c r="M1707" s="28"/>
      <c r="N1707" s="28"/>
      <c r="O1707" s="28" t="s">
        <v>4</v>
      </c>
      <c r="P1707" s="32"/>
      <c r="Q1707" s="35">
        <v>13</v>
      </c>
      <c r="R1707" s="32" t="s">
        <v>31</v>
      </c>
      <c r="S1707" s="5" t="s">
        <v>40</v>
      </c>
      <c r="T1707" s="4" t="str">
        <f>IF(OR(Tabela1[[#This Row],[Grau de Risco]]="Médio",Tabela1[[#This Row],[Grau de Risco]]="Baixo"),"Não","Sim")</f>
        <v>Não</v>
      </c>
    </row>
    <row r="1708" spans="1:20" hidden="1">
      <c r="A1708" s="28" t="s">
        <v>7</v>
      </c>
      <c r="B1708" s="33" t="s">
        <v>1797</v>
      </c>
      <c r="C1708" s="28"/>
      <c r="D1708" s="28" t="s">
        <v>1320</v>
      </c>
      <c r="E1708" s="32">
        <v>6</v>
      </c>
      <c r="F1708" s="32">
        <v>10</v>
      </c>
      <c r="G1708" s="32">
        <v>2025</v>
      </c>
      <c r="H1708" s="34" t="s">
        <v>27</v>
      </c>
      <c r="I1708" s="29" t="s">
        <v>1473</v>
      </c>
      <c r="J1708" s="28" t="s">
        <v>115</v>
      </c>
      <c r="K1708" s="32"/>
      <c r="L1708" s="32"/>
      <c r="M1708" s="28"/>
      <c r="N1708" s="28"/>
      <c r="O1708" s="28" t="s">
        <v>167</v>
      </c>
      <c r="P1708" s="32"/>
      <c r="Q1708" s="35">
        <v>15</v>
      </c>
      <c r="R1708" s="32" t="s">
        <v>52</v>
      </c>
      <c r="S1708" s="10" t="s">
        <v>56</v>
      </c>
      <c r="T1708" s="4" t="str">
        <f>IF(OR(Tabela1[[#This Row],[Grau de Risco]]="Médio",Tabela1[[#This Row],[Grau de Risco]]="Baixo"),"Não","Sim")</f>
        <v>Não</v>
      </c>
    </row>
    <row r="1709" spans="1:20" hidden="1">
      <c r="A1709" s="28" t="s">
        <v>7</v>
      </c>
      <c r="B1709" s="33" t="s">
        <v>1805</v>
      </c>
      <c r="C1709" s="28"/>
      <c r="D1709" s="28" t="s">
        <v>1382</v>
      </c>
      <c r="E1709" s="32">
        <v>8</v>
      </c>
      <c r="F1709" s="32">
        <v>10</v>
      </c>
      <c r="G1709" s="32">
        <v>2025</v>
      </c>
      <c r="H1709" s="34" t="s">
        <v>66</v>
      </c>
      <c r="I1709" s="29" t="s">
        <v>1474</v>
      </c>
      <c r="J1709" s="28" t="s">
        <v>61</v>
      </c>
      <c r="K1709" s="32"/>
      <c r="L1709" s="32"/>
      <c r="M1709" s="28"/>
      <c r="N1709" s="28"/>
      <c r="O1709" s="28" t="s">
        <v>4</v>
      </c>
      <c r="P1709" s="32"/>
      <c r="Q1709" s="35">
        <v>8</v>
      </c>
      <c r="R1709" s="32" t="s">
        <v>102</v>
      </c>
      <c r="S1709" s="10" t="s">
        <v>32</v>
      </c>
      <c r="T1709" s="4" t="str">
        <f>IF(OR(Tabela1[[#This Row],[Grau de Risco]]="Médio",Tabela1[[#This Row],[Grau de Risco]]="Baixo"),"Não","Sim")</f>
        <v>Sim</v>
      </c>
    </row>
    <row r="1710" spans="1:20" hidden="1">
      <c r="A1710" s="28" t="s">
        <v>7</v>
      </c>
      <c r="B1710" s="33" t="s">
        <v>1805</v>
      </c>
      <c r="C1710" s="28"/>
      <c r="D1710" s="28" t="s">
        <v>47</v>
      </c>
      <c r="E1710" s="32">
        <v>3</v>
      </c>
      <c r="F1710" s="32">
        <v>10</v>
      </c>
      <c r="G1710" s="32">
        <v>2025</v>
      </c>
      <c r="H1710" s="34" t="s">
        <v>71</v>
      </c>
      <c r="I1710" s="7" t="s">
        <v>1489</v>
      </c>
      <c r="J1710" s="28" t="s">
        <v>93</v>
      </c>
      <c r="K1710" s="32">
        <v>0</v>
      </c>
      <c r="L1710" s="32">
        <v>0</v>
      </c>
      <c r="M1710" s="28" t="s">
        <v>30</v>
      </c>
      <c r="N1710" s="28">
        <v>0</v>
      </c>
      <c r="O1710" s="28"/>
      <c r="P1710" s="32"/>
      <c r="Q1710" s="35">
        <v>11</v>
      </c>
      <c r="R1710" s="32" t="s">
        <v>31</v>
      </c>
      <c r="S1710" s="33" t="s">
        <v>178</v>
      </c>
      <c r="T1710" s="4" t="str">
        <f>IF(OR(Tabela1[[#This Row],[Grau de Risco]]="Médio",Tabela1[[#This Row],[Grau de Risco]]="Baixo"),"Não","Sim")</f>
        <v>Não</v>
      </c>
    </row>
    <row r="1711" spans="1:20" hidden="1">
      <c r="A1711" s="28" t="s">
        <v>7</v>
      </c>
      <c r="B1711" s="33" t="s">
        <v>1805</v>
      </c>
      <c r="C1711" s="28"/>
      <c r="D1711" s="28" t="s">
        <v>1382</v>
      </c>
      <c r="E1711" s="32">
        <v>15</v>
      </c>
      <c r="F1711" s="32">
        <v>10</v>
      </c>
      <c r="G1711" s="32">
        <v>2025</v>
      </c>
      <c r="H1711" s="34" t="s">
        <v>82</v>
      </c>
      <c r="I1711" s="7" t="s">
        <v>1782</v>
      </c>
      <c r="J1711" s="28" t="s">
        <v>150</v>
      </c>
      <c r="K1711" s="32">
        <v>0</v>
      </c>
      <c r="L1711" s="32">
        <v>0</v>
      </c>
      <c r="M1711" s="28" t="s">
        <v>30</v>
      </c>
      <c r="N1711" s="28">
        <v>0</v>
      </c>
      <c r="O1711" s="28"/>
      <c r="P1711" s="32"/>
      <c r="Q1711" s="35">
        <v>11</v>
      </c>
      <c r="R1711" s="32" t="s">
        <v>31</v>
      </c>
      <c r="S1711" s="33" t="s">
        <v>144</v>
      </c>
      <c r="T1711" s="4" t="str">
        <f>IF(OR(Tabela1[[#This Row],[Grau de Risco]]="Médio",Tabela1[[#This Row],[Grau de Risco]]="Baixo"),"Não","Sim")</f>
        <v>Não</v>
      </c>
    </row>
    <row r="1712" spans="1:20" hidden="1">
      <c r="A1712" s="28" t="s">
        <v>7</v>
      </c>
      <c r="B1712" s="33" t="s">
        <v>1805</v>
      </c>
      <c r="C1712" s="28"/>
      <c r="D1712" s="28" t="s">
        <v>1320</v>
      </c>
      <c r="E1712" s="32">
        <v>20</v>
      </c>
      <c r="F1712" s="32">
        <v>10</v>
      </c>
      <c r="G1712" s="32">
        <v>2025</v>
      </c>
      <c r="H1712" s="34" t="s">
        <v>27</v>
      </c>
      <c r="I1712" s="7" t="s">
        <v>1490</v>
      </c>
      <c r="J1712" s="28" t="s">
        <v>93</v>
      </c>
      <c r="K1712" s="32">
        <v>0</v>
      </c>
      <c r="L1712" s="32">
        <v>0</v>
      </c>
      <c r="M1712" s="28" t="s">
        <v>30</v>
      </c>
      <c r="N1712" s="28">
        <v>0</v>
      </c>
      <c r="O1712" s="28"/>
      <c r="P1712" s="32" t="s">
        <v>52</v>
      </c>
      <c r="Q1712" s="35">
        <v>13</v>
      </c>
      <c r="R1712" s="32" t="s">
        <v>31</v>
      </c>
      <c r="S1712" s="33" t="s">
        <v>178</v>
      </c>
      <c r="T1712" s="4" t="str">
        <f>IF(OR(Tabela1[[#This Row],[Grau de Risco]]="Médio",Tabela1[[#This Row],[Grau de Risco]]="Baixo"),"Não","Sim")</f>
        <v>Não</v>
      </c>
    </row>
    <row r="1713" spans="1:20" hidden="1">
      <c r="A1713" s="28" t="s">
        <v>7</v>
      </c>
      <c r="B1713" s="33" t="s">
        <v>1805</v>
      </c>
      <c r="C1713" s="28"/>
      <c r="D1713" s="28" t="s">
        <v>1382</v>
      </c>
      <c r="E1713" s="32">
        <v>22</v>
      </c>
      <c r="F1713" s="32">
        <v>10</v>
      </c>
      <c r="G1713" s="32">
        <v>2025</v>
      </c>
      <c r="H1713" s="34" t="s">
        <v>33</v>
      </c>
      <c r="I1713" s="7" t="s">
        <v>1783</v>
      </c>
      <c r="J1713" s="28" t="s">
        <v>93</v>
      </c>
      <c r="K1713" s="32">
        <v>0</v>
      </c>
      <c r="L1713" s="32">
        <v>0</v>
      </c>
      <c r="M1713" s="28" t="s">
        <v>30</v>
      </c>
      <c r="N1713" s="28">
        <v>0</v>
      </c>
      <c r="O1713" s="28"/>
      <c r="P1713" s="32" t="s">
        <v>52</v>
      </c>
      <c r="Q1713" s="35">
        <v>13</v>
      </c>
      <c r="R1713" s="32" t="s">
        <v>31</v>
      </c>
      <c r="S1713" s="33" t="s">
        <v>178</v>
      </c>
      <c r="T1713" s="4" t="str">
        <f>IF(OR(Tabela1[[#This Row],[Grau de Risco]]="Médio",Tabela1[[#This Row],[Grau de Risco]]="Baixo"),"Não","Sim")</f>
        <v>Não</v>
      </c>
    </row>
    <row r="1714" spans="1:20" hidden="1">
      <c r="A1714" s="4" t="s">
        <v>6</v>
      </c>
      <c r="B1714" s="10" t="s">
        <v>1793</v>
      </c>
      <c r="C1714" s="4"/>
      <c r="D1714" s="5" t="s">
        <v>148</v>
      </c>
      <c r="E1714" s="3">
        <v>17</v>
      </c>
      <c r="F1714" s="3">
        <v>8</v>
      </c>
      <c r="G1714" s="3">
        <v>2025</v>
      </c>
      <c r="H1714" s="5" t="s">
        <v>27</v>
      </c>
      <c r="I1714" s="7" t="s">
        <v>1528</v>
      </c>
      <c r="J1714" s="4" t="s">
        <v>84</v>
      </c>
      <c r="K1714" s="3" t="s">
        <v>44</v>
      </c>
      <c r="L1714" s="3" t="s">
        <v>44</v>
      </c>
      <c r="M1714" s="4"/>
      <c r="N1714" s="4" t="s">
        <v>44</v>
      </c>
      <c r="O1714" s="4"/>
      <c r="P1714" s="3"/>
      <c r="Q1714" s="11">
        <v>16</v>
      </c>
      <c r="R1714" s="3" t="s">
        <v>52</v>
      </c>
      <c r="S1714" s="10" t="s">
        <v>56</v>
      </c>
      <c r="T1714" s="4" t="str">
        <f>IF(OR(Tabela1[[#This Row],[Grau de Risco]]="Médio",Tabela1[[#This Row],[Grau de Risco]]="Baixo"),"Não","Sim")</f>
        <v>Não</v>
      </c>
    </row>
    <row r="1715" spans="1:20" hidden="1">
      <c r="A1715" s="28" t="s">
        <v>6</v>
      </c>
      <c r="B1715" s="10" t="s">
        <v>1805</v>
      </c>
      <c r="C1715" s="4"/>
      <c r="D1715" s="5" t="s">
        <v>1382</v>
      </c>
      <c r="E1715" s="3">
        <v>3</v>
      </c>
      <c r="F1715" s="3">
        <v>4</v>
      </c>
      <c r="G1715" s="3">
        <v>2025</v>
      </c>
      <c r="H1715" s="36" t="s">
        <v>33</v>
      </c>
      <c r="I1715" s="7" t="s">
        <v>1784</v>
      </c>
      <c r="J1715" s="4" t="s">
        <v>817</v>
      </c>
      <c r="K1715" s="3"/>
      <c r="L1715" s="3"/>
      <c r="M1715" s="4"/>
      <c r="N1715" s="4"/>
      <c r="O1715" s="4"/>
      <c r="P1715" s="3"/>
      <c r="Q1715" s="11">
        <v>11</v>
      </c>
      <c r="R1715" s="3" t="s">
        <v>31</v>
      </c>
      <c r="S1715" s="10" t="s">
        <v>32</v>
      </c>
      <c r="T1715" s="4" t="str">
        <f>IF(OR(Tabela1[[#This Row],[Grau de Risco]]="Médio",Tabela1[[#This Row],[Grau de Risco]]="Baixo"),"Não","Sim")</f>
        <v>Não</v>
      </c>
    </row>
    <row r="1716" spans="1:20">
      <c r="A1716" s="28" t="s">
        <v>7</v>
      </c>
      <c r="B1716" s="10" t="s">
        <v>1809</v>
      </c>
      <c r="C1716" s="28"/>
      <c r="D1716" s="28" t="s">
        <v>148</v>
      </c>
      <c r="E1716" s="32">
        <v>12</v>
      </c>
      <c r="F1716" s="32">
        <v>10</v>
      </c>
      <c r="G1716" s="32">
        <v>2025</v>
      </c>
      <c r="H1716" s="34" t="s">
        <v>86</v>
      </c>
      <c r="I1716" s="29" t="s">
        <v>1785</v>
      </c>
      <c r="J1716" s="28" t="s">
        <v>29</v>
      </c>
      <c r="K1716" s="32" t="s">
        <v>44</v>
      </c>
      <c r="L1716" s="32" t="s">
        <v>44</v>
      </c>
      <c r="M1716" s="28"/>
      <c r="N1716" s="28" t="s">
        <v>44</v>
      </c>
      <c r="O1716" s="28"/>
      <c r="P1716" s="32"/>
      <c r="Q1716" s="35">
        <v>15</v>
      </c>
      <c r="R1716" s="3" t="s">
        <v>52</v>
      </c>
      <c r="S1716" s="33" t="s">
        <v>32</v>
      </c>
      <c r="T1716" s="4" t="str">
        <f>IF(OR(Tabela1[[#This Row],[Grau de Risco]]="Médio",Tabela1[[#This Row],[Grau de Risco]]="Baixo"),"Não","Sim")</f>
        <v>Não</v>
      </c>
    </row>
    <row r="1717" spans="1:20" s="97" customFormat="1" hidden="1">
      <c r="A1717" s="98" t="s">
        <v>6</v>
      </c>
      <c r="B1717" s="93" t="s">
        <v>1804</v>
      </c>
      <c r="C1717" s="92"/>
      <c r="D1717" s="99" t="s">
        <v>1409</v>
      </c>
      <c r="E1717" s="94">
        <v>8</v>
      </c>
      <c r="F1717" s="94">
        <v>5</v>
      </c>
      <c r="G1717" s="94">
        <v>2025</v>
      </c>
      <c r="H1717" s="91" t="s">
        <v>48</v>
      </c>
      <c r="I1717" s="95" t="s">
        <v>1786</v>
      </c>
      <c r="J1717" s="92" t="s">
        <v>79</v>
      </c>
      <c r="K1717" s="94"/>
      <c r="L1717" s="94">
        <v>0</v>
      </c>
      <c r="M1717" s="92" t="s">
        <v>30</v>
      </c>
      <c r="N1717" s="92">
        <v>0</v>
      </c>
      <c r="O1717" s="92"/>
      <c r="P1717" s="94"/>
      <c r="Q1717" s="96">
        <v>10</v>
      </c>
      <c r="R1717" s="94" t="s">
        <v>31</v>
      </c>
      <c r="S1717" s="91" t="s">
        <v>56</v>
      </c>
      <c r="T1717" s="92" t="str">
        <f>IF(OR(Tabela1[[#This Row],[Grau de Risco]]="Médio",Tabela1[[#This Row],[Grau de Risco]]="Baixo"),"Não","Sim")</f>
        <v>Não</v>
      </c>
    </row>
    <row r="1718" spans="1:20">
      <c r="A1718" s="28" t="s">
        <v>7</v>
      </c>
      <c r="B1718" s="10" t="s">
        <v>1809</v>
      </c>
      <c r="C1718" s="32"/>
      <c r="D1718" s="32" t="s">
        <v>1409</v>
      </c>
      <c r="E1718" s="32">
        <v>6</v>
      </c>
      <c r="F1718" s="32">
        <v>11</v>
      </c>
      <c r="G1718" s="32">
        <v>2025</v>
      </c>
      <c r="H1718" s="32" t="s">
        <v>33</v>
      </c>
      <c r="I1718" s="73" t="s">
        <v>1787</v>
      </c>
      <c r="J1718" s="32" t="s">
        <v>79</v>
      </c>
      <c r="K1718" s="32">
        <v>0</v>
      </c>
      <c r="L1718" s="32">
        <v>0</v>
      </c>
      <c r="M1718" s="32" t="s">
        <v>30</v>
      </c>
      <c r="N1718" s="32">
        <v>0</v>
      </c>
      <c r="O1718" s="32"/>
      <c r="P1718" s="32"/>
      <c r="Q1718" s="32">
        <v>11</v>
      </c>
      <c r="R1718" s="32" t="s">
        <v>31</v>
      </c>
      <c r="S1718" s="28" t="s">
        <v>178</v>
      </c>
      <c r="T1718" s="4" t="str">
        <f>IF(OR(Tabela1[[#This Row],[Grau de Risco]]="Médio",Tabela1[[#This Row],[Grau de Risco]]="Baixo"),"Não","Sim")</f>
        <v>Não</v>
      </c>
    </row>
    <row r="1719" spans="1:20">
      <c r="A1719" s="28" t="s">
        <v>7</v>
      </c>
      <c r="B1719" s="10" t="s">
        <v>1809</v>
      </c>
      <c r="C1719" s="32"/>
      <c r="D1719" s="32"/>
      <c r="E1719" s="32">
        <v>6</v>
      </c>
      <c r="F1719" s="32">
        <v>11</v>
      </c>
      <c r="G1719" s="32">
        <v>2025</v>
      </c>
      <c r="H1719" s="32" t="s">
        <v>1132</v>
      </c>
      <c r="I1719" s="76" t="s">
        <v>1551</v>
      </c>
      <c r="J1719" s="32" t="s">
        <v>61</v>
      </c>
      <c r="K1719" s="32"/>
      <c r="L1719" s="32"/>
      <c r="M1719" s="32"/>
      <c r="N1719" s="32"/>
      <c r="O1719" s="32" t="s">
        <v>4</v>
      </c>
      <c r="P1719" s="32"/>
      <c r="Q1719" s="32">
        <v>13</v>
      </c>
      <c r="R1719" s="32" t="s">
        <v>31</v>
      </c>
      <c r="S1719" s="4" t="s">
        <v>141</v>
      </c>
      <c r="T1719" s="4" t="str">
        <f>IF(OR(Tabela1[[#This Row],[Grau de Risco]]="Médio",Tabela1[[#This Row],[Grau de Risco]]="Baixo"),"Não","Sim")</f>
        <v>Não</v>
      </c>
    </row>
  </sheetData>
  <sheetProtection formatCells="0" formatColumns="0" formatRows="0" insertColumns="0" insertRows="0" insertHyperlinks="0" sort="0" autoFilter="0" pivotTables="0"/>
  <phoneticPr fontId="4" type="noConversion"/>
  <dataValidations disablePrompts="1" count="2">
    <dataValidation type="list" allowBlank="1" showInputMessage="1" showErrorMessage="1" sqref="M154:M155 M298 M334:M339 M190:M191 M160:M162 M23:M34 M1381 M772:M863 M342:M604 M1387:M1416 M1510:M1511 M1516 M1531 M1536 M1541:M1559 M1564:M1568 M1573:M1574 M1584:M1594 M1598 M1615:M1622 M1646:M1663 M1675 M1690:M1697 M1706:M1715" xr:uid="{4C439BEE-54BA-4ED3-8B70-6033F0FF62A0}">
      <formula1>"Sim, Não"</formula1>
    </dataValidation>
    <dataValidation type="list" allowBlank="1" showInputMessage="1" showErrorMessage="1" sqref="R298 R161 P298 P155 R338:R339 R190:R191 P1690:P1697 R797:R799 P1706:P1715 R841:R848 R851:R863 P1381 R1381 R786:R795 R804 R1548:R1557 P581:P604 P833:P863 P1510 R836:R837 P1531 R1536 P1536 P1397:P1416 R1398:R1405 P1584:P1594 R1595 R1598:R1610 P1598 P1610:P1622 R1703:R1704 R833:R834 P1646:P1663 P1675 R1676 P1571:P1574 R779:R780 P497:P575 P577 P579 P772:P828 P830 P1387:P1395 P1541:P1566 P1568 R772:R773 R811:R829 R806:R809 R1389:R1396 R1698:R1701 R1542:R1546 R783:R784" xr:uid="{CCC4811B-DA04-4164-9BDB-DCDB449916C8}">
      <formula1>"Baixo, Médio, Alto"</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7C4E5150D0C3489F3029629C83CE76" ma:contentTypeVersion="14" ma:contentTypeDescription="Create a new document." ma:contentTypeScope="" ma:versionID="52817b14dc3d8b9a1a46b6eb6222219a">
  <xsd:schema xmlns:xsd="http://www.w3.org/2001/XMLSchema" xmlns:xs="http://www.w3.org/2001/XMLSchema" xmlns:p="http://schemas.microsoft.com/office/2006/metadata/properties" xmlns:ns2="ceffc8e0-a06a-462b-82ef-726e0e4569a1" xmlns:ns3="7fd9ae66-65e3-40b3-bdd0-72d637fc0688" targetNamespace="http://schemas.microsoft.com/office/2006/metadata/properties" ma:root="true" ma:fieldsID="9c631f92e60abfb65c19c21b43b5961d" ns2:_="" ns3:_="">
    <xsd:import namespace="ceffc8e0-a06a-462b-82ef-726e0e4569a1"/>
    <xsd:import namespace="7fd9ae66-65e3-40b3-bdd0-72d637fc06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ffc8e0-a06a-462b-82ef-726e0e4569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2ddb3fa-8f10-4620-af5e-d7e75631869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d9ae66-65e3-40b3-bdd0-72d637fc06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3dc06e-8a89-4875-a9ec-10e663328d03}" ma:internalName="TaxCatchAll" ma:showField="CatchAllData" ma:web="7fd9ae66-65e3-40b3-bdd0-72d637fc06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ffc8e0-a06a-462b-82ef-726e0e4569a1">
      <Terms xmlns="http://schemas.microsoft.com/office/infopath/2007/PartnerControls"/>
    </lcf76f155ced4ddcb4097134ff3c332f>
    <TaxCatchAll xmlns="7fd9ae66-65e3-40b3-bdd0-72d637fc06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82FC4FE-4AA6-47B2-A2F7-9D5A130C91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ffc8e0-a06a-462b-82ef-726e0e4569a1"/>
    <ds:schemaRef ds:uri="7fd9ae66-65e3-40b3-bdd0-72d637fc06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DF9F4B-559F-4CA3-AFF5-F5B1257858C3}">
  <ds:schemaRefs>
    <ds:schemaRef ds:uri="http://purl.org/dc/elements/1.1/"/>
    <ds:schemaRef ds:uri="http://schemas.microsoft.com/office/2006/documentManagement/types"/>
    <ds:schemaRef ds:uri="http://purl.org/dc/dcmitype/"/>
    <ds:schemaRef ds:uri="7fd9ae66-65e3-40b3-bdd0-72d637fc0688"/>
    <ds:schemaRef ds:uri="http://www.w3.org/XML/1998/namespace"/>
    <ds:schemaRef ds:uri="http://schemas.microsoft.com/office/2006/metadata/properties"/>
    <ds:schemaRef ds:uri="ceffc8e0-a06a-462b-82ef-726e0e4569a1"/>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B2203F0A-6EA8-425C-9824-586AFB202002}">
  <ds:schemaRefs>
    <ds:schemaRef ds:uri="http://schemas.microsoft.com/sharepoint/v3/contenttype/forms"/>
  </ds:schemaRefs>
</ds:datastoreItem>
</file>

<file path=customXml/itemProps4.xml><?xml version="1.0" encoding="utf-8"?>
<ds:datastoreItem xmlns:ds="http://schemas.openxmlformats.org/officeDocument/2006/customXml" ds:itemID="{352834D5-B41A-4353-B8DE-5A6D1E7CC7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BD_Acidentes</vt:lpstr>
    </vt:vector>
  </TitlesOfParts>
  <Manager/>
  <Company>ELETROBRAS - CENTRAIS ELETRICAS BRASILEIRAS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Joyce Rodrigues de Jesus</dc:creator>
  <cp:keywords/>
  <dc:description/>
  <cp:lastModifiedBy>ALEXANDRE MAGALHAES</cp:lastModifiedBy>
  <cp:revision/>
  <dcterms:created xsi:type="dcterms:W3CDTF">2023-06-28T13:56:39Z</dcterms:created>
  <dcterms:modified xsi:type="dcterms:W3CDTF">2026-06-29T11:30:19Z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bec2f-76ff-4ec4-a400-40fa874b44be_Enabled">
    <vt:lpwstr>true</vt:lpwstr>
  </property>
  <property fmtid="{D5CDD505-2E9C-101B-9397-08002B2CF9AE}" pid="3" name="MSIP_Label_1d1bec2f-76ff-4ec4-a400-40fa874b44be_SetDate">
    <vt:lpwstr>2023-06-28T13:57:19Z</vt:lpwstr>
  </property>
  <property fmtid="{D5CDD505-2E9C-101B-9397-08002B2CF9AE}" pid="4" name="MSIP_Label_1d1bec2f-76ff-4ec4-a400-40fa874b44be_Method">
    <vt:lpwstr>Privileged</vt:lpwstr>
  </property>
  <property fmtid="{D5CDD505-2E9C-101B-9397-08002B2CF9AE}" pid="5" name="MSIP_Label_1d1bec2f-76ff-4ec4-a400-40fa874b44be_Name">
    <vt:lpwstr>Interno</vt:lpwstr>
  </property>
  <property fmtid="{D5CDD505-2E9C-101B-9397-08002B2CF9AE}" pid="6" name="MSIP_Label_1d1bec2f-76ff-4ec4-a400-40fa874b44be_SiteId">
    <vt:lpwstr>8a0ffb54-9716-4a93-9158-9e3a7206f18e</vt:lpwstr>
  </property>
  <property fmtid="{D5CDD505-2E9C-101B-9397-08002B2CF9AE}" pid="7" name="MSIP_Label_1d1bec2f-76ff-4ec4-a400-40fa874b44be_ActionId">
    <vt:lpwstr>3d0f21c9-d1ab-43fa-8ab1-3eb8cf244de7</vt:lpwstr>
  </property>
  <property fmtid="{D5CDD505-2E9C-101B-9397-08002B2CF9AE}" pid="8" name="MSIP_Label_1d1bec2f-76ff-4ec4-a400-40fa874b44be_ContentBits">
    <vt:lpwstr>2</vt:lpwstr>
  </property>
  <property fmtid="{D5CDD505-2E9C-101B-9397-08002B2CF9AE}" pid="9" name="ContentTypeId">
    <vt:lpwstr>0x010100527C4E5150D0C3489F3029629C83CE76</vt:lpwstr>
  </property>
  <property fmtid="{D5CDD505-2E9C-101B-9397-08002B2CF9AE}" pid="10" name="MediaServiceImageTags">
    <vt:lpwstr/>
  </property>
</Properties>
</file>